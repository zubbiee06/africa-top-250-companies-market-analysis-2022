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slicers/slicer1.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ml.chartshapes+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chartEx5.xml" ContentType="application/vnd.ms-office.chartex+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Ex6.xml" ContentType="application/vnd.ms-office.chartex+xml"/>
  <Override PartName="/xl/charts/style16.xml" ContentType="application/vnd.ms-office.chartstyle+xml"/>
  <Override PartName="/xl/charts/colors16.xml" ContentType="application/vnd.ms-office.chartcolorstyle+xml"/>
  <Override PartName="/xl/charts/chart12.xml" ContentType="application/vnd.openxmlformats-officedocument.drawingml.chart+xml"/>
  <Override PartName="/xl/charts/style17.xml" ContentType="application/vnd.ms-office.chartstyle+xml"/>
  <Override PartName="/xl/charts/colors17.xml" ContentType="application/vnd.ms-office.chartcolorstyle+xml"/>
  <Override PartName="/xl/charts/chartEx7.xml" ContentType="application/vnd.ms-office.chartex+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C:\Users\georg\Desktop\Vephla data school assignments\TASK 23\"/>
    </mc:Choice>
  </mc:AlternateContent>
  <xr:revisionPtr revIDLastSave="0" documentId="13_ncr:1_{418A88E1-80F1-489A-8BF8-3C50093CFF9E}" xr6:coauthVersionLast="47" xr6:coauthVersionMax="47" xr10:uidLastSave="{00000000-0000-0000-0000-000000000000}"/>
  <bookViews>
    <workbookView xWindow="-108" yWindow="492" windowWidth="23256" windowHeight="12576" firstSheet="7" activeTab="8" xr2:uid="{D2F58746-983A-4FA9-889C-BB4236C293A2}"/>
  </bookViews>
  <sheets>
    <sheet name="africas_top_250_companies_2022" sheetId="1" r:id="rId1"/>
    <sheet name="TOP COUNTRIES BY MCAP" sheetId="6" r:id="rId2"/>
    <sheet name="SECTOR SHARE OF TOTAL MCAP" sheetId="7" r:id="rId3"/>
    <sheet name="TOP 5 GAINERS" sheetId="9" r:id="rId4"/>
    <sheet name="TOP 5 LOSERS" sheetId="10" r:id="rId5"/>
    <sheet name="MARKET CAP BY COMPANY" sheetId="11" r:id="rId6"/>
    <sheet name="PROFITABILITY BY SECTOR" sheetId="13" r:id="rId7"/>
    <sheet name="DASHBOARD SKETCH" sheetId="14" r:id="rId8"/>
    <sheet name="DASHBOARD" sheetId="16" r:id="rId9"/>
    <sheet name="CLEANED DATA" sheetId="3" r:id="rId10"/>
    <sheet name="PRE ANALYSIS BOARD" sheetId="2" r:id="rId11"/>
    <sheet name="POST ANALYSIS BOARD" sheetId="18" r:id="rId12"/>
    <sheet name="RECOMMENDATIONS" sheetId="19" r:id="rId13"/>
    <sheet name="CHARTS TODO" sheetId="4" r:id="rId14"/>
    <sheet name="Dashboard Replication" sheetId="17" r:id="rId15"/>
  </sheets>
  <externalReferences>
    <externalReference r:id="rId16"/>
  </externalReferences>
  <definedNames>
    <definedName name="_xlchart.v1.11" hidden="1">'MARKET CAP BY COMPANY'!$A$13:$A$18</definedName>
    <definedName name="_xlchart.v1.12" hidden="1">'MARKET CAP BY COMPANY'!$B$12</definedName>
    <definedName name="_xlchart.v1.13" hidden="1">'MARKET CAP BY COMPANY'!$B$13:$B$18</definedName>
    <definedName name="_xlchart.v1.16" hidden="1">'[1]Sales by Category'!$D$4:$D$9</definedName>
    <definedName name="_xlchart.v1.17" hidden="1">'[1]Sales by Category'!$E$3</definedName>
    <definedName name="_xlchart.v1.18" hidden="1">'[1]Sales by Category'!$E$4:$E$9</definedName>
    <definedName name="_xlchart.v1.4" hidden="1">'MARKET CAP BY COMPANY'!$A$13:$A$18</definedName>
    <definedName name="_xlchart.v1.5" hidden="1">'MARKET CAP BY COMPANY'!$B$12</definedName>
    <definedName name="_xlchart.v1.6" hidden="1">'MARKET CAP BY COMPANY'!$B$13:$B$18</definedName>
    <definedName name="_xlchart.v2.14" hidden="1">'[1]Top Ship Cities'!$P$3:$P$8</definedName>
    <definedName name="_xlchart.v2.15" hidden="1">'[1]Top Ship Cities'!$Q$3:$Q$8</definedName>
    <definedName name="_xlchart.v5.0" hidden="1">'TOP COUNTRIES BY MCAP'!$A$23</definedName>
    <definedName name="_xlchart.v5.1" hidden="1">'TOP COUNTRIES BY MCAP'!$A$24:$A$39</definedName>
    <definedName name="_xlchart.v5.10" hidden="1">'TOP COUNTRIES BY MCAP'!$B$24:$B$39</definedName>
    <definedName name="_xlchart.v5.19" hidden="1">'[1]States performance'!$D$3</definedName>
    <definedName name="_xlchart.v5.2" hidden="1">'TOP COUNTRIES BY MCAP'!$B$23</definedName>
    <definedName name="_xlchart.v5.20" hidden="1">'[1]States performance'!$D$4:$D$36</definedName>
    <definedName name="_xlchart.v5.21" hidden="1">'[1]States performance'!$E$3</definedName>
    <definedName name="_xlchart.v5.22" hidden="1">'[1]States performance'!$E$4:$E$36</definedName>
    <definedName name="_xlchart.v5.3" hidden="1">'TOP COUNTRIES BY MCAP'!$B$24:$B$39</definedName>
    <definedName name="_xlchart.v5.7" hidden="1">'TOP COUNTRIES BY MCAP'!$A$23</definedName>
    <definedName name="_xlchart.v5.8" hidden="1">'TOP COUNTRIES BY MCAP'!$A$24:$A$39</definedName>
    <definedName name="_xlchart.v5.9" hidden="1">'TOP COUNTRIES BY MCAP'!$B$23</definedName>
    <definedName name="Slicer_Country">#N/A</definedName>
    <definedName name="Slicer_Product_Name">#N/A</definedName>
    <definedName name="Slicer_Salesperson">#N/A</definedName>
    <definedName name="Slicer_Sector">#N/A</definedName>
  </definedNames>
  <calcPr calcId="191029"/>
  <pivotCaches>
    <pivotCache cacheId="0" r:id="rId17"/>
    <pivotCache cacheId="1" r:id="rId18"/>
    <pivotCache cacheId="2" r:id="rId19"/>
  </pivotCaches>
  <extLst>
    <ext xmlns:x14="http://schemas.microsoft.com/office/spreadsheetml/2009/9/main" uri="{876F7934-8845-4945-9796-88D515C7AA90}">
      <x14:pivotCaches>
        <pivotCache cacheId="3" r:id="rId20"/>
      </x14:pivotCaches>
    </ext>
    <ext xmlns:x14="http://schemas.microsoft.com/office/spreadsheetml/2009/9/main" uri="{BBE1A952-AA13-448e-AADC-164F8A28A991}">
      <x14:slicerCaches>
        <x14:slicerCache r:id="rId21"/>
        <x14:slicerCache r:id="rId22"/>
        <x14:slicerCache r:id="rId23"/>
        <x14:slicerCache r:id="rId2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2" i="3" l="1" a="1"/>
  <c r="L62" i="3" s="1"/>
  <c r="J2" i="3"/>
  <c r="K2" i="3"/>
  <c r="J3" i="3"/>
  <c r="K3" i="3"/>
  <c r="J4" i="3"/>
  <c r="K4" i="3"/>
  <c r="J5" i="3"/>
  <c r="K5" i="3"/>
  <c r="J6" i="3"/>
  <c r="K6" i="3"/>
  <c r="J7" i="3"/>
  <c r="K7" i="3"/>
  <c r="J8" i="3"/>
  <c r="K8" i="3"/>
  <c r="J9" i="3"/>
  <c r="K9" i="3"/>
  <c r="J10" i="3"/>
  <c r="K10" i="3"/>
  <c r="J11" i="3"/>
  <c r="K11" i="3"/>
  <c r="J12" i="3"/>
  <c r="K12" i="3"/>
  <c r="J13" i="3"/>
  <c r="K13" i="3"/>
  <c r="J14" i="3"/>
  <c r="K14" i="3"/>
  <c r="J15" i="3"/>
  <c r="K15" i="3"/>
  <c r="J16" i="3"/>
  <c r="K16" i="3"/>
  <c r="J17" i="3"/>
  <c r="K17" i="3"/>
  <c r="J18" i="3"/>
  <c r="K18" i="3"/>
  <c r="J19" i="3"/>
  <c r="K19" i="3"/>
  <c r="J20" i="3"/>
  <c r="K20" i="3"/>
  <c r="J21" i="3"/>
  <c r="K21" i="3"/>
  <c r="J22" i="3"/>
  <c r="K22" i="3"/>
  <c r="J23" i="3"/>
  <c r="K23" i="3"/>
  <c r="J24" i="3"/>
  <c r="K24" i="3"/>
  <c r="J25" i="3"/>
  <c r="K25" i="3"/>
  <c r="J26" i="3"/>
  <c r="K26" i="3"/>
  <c r="J27" i="3"/>
  <c r="K27" i="3"/>
  <c r="J28" i="3"/>
  <c r="K28" i="3"/>
  <c r="J29" i="3"/>
  <c r="K29" i="3"/>
  <c r="J30" i="3"/>
  <c r="K30" i="3"/>
  <c r="J31" i="3"/>
  <c r="K31" i="3"/>
  <c r="J32" i="3"/>
  <c r="K32" i="3"/>
  <c r="J33" i="3"/>
  <c r="K33" i="3"/>
  <c r="J34" i="3"/>
  <c r="K34" i="3"/>
  <c r="J35" i="3"/>
  <c r="K35" i="3"/>
  <c r="J36" i="3"/>
  <c r="K36" i="3"/>
  <c r="J37" i="3"/>
  <c r="K37" i="3"/>
  <c r="J38" i="3"/>
  <c r="K38" i="3"/>
  <c r="J39" i="3"/>
  <c r="K39" i="3"/>
  <c r="J40" i="3"/>
  <c r="K40" i="3"/>
  <c r="J41" i="3"/>
  <c r="K41" i="3"/>
  <c r="J42" i="3"/>
  <c r="K42" i="3"/>
  <c r="J43" i="3"/>
  <c r="K43" i="3"/>
  <c r="J44" i="3"/>
  <c r="K44" i="3"/>
  <c r="J45" i="3"/>
  <c r="K45" i="3"/>
  <c r="J46" i="3"/>
  <c r="K46" i="3"/>
  <c r="J47" i="3"/>
  <c r="K47" i="3"/>
  <c r="J48" i="3"/>
  <c r="K48" i="3"/>
  <c r="J49" i="3"/>
  <c r="K49" i="3"/>
  <c r="J50" i="3"/>
  <c r="K50" i="3"/>
  <c r="J51" i="3"/>
  <c r="K51" i="3"/>
  <c r="J52" i="3"/>
  <c r="K52" i="3"/>
  <c r="J53" i="3"/>
  <c r="K53" i="3"/>
  <c r="J54" i="3"/>
  <c r="K54" i="3"/>
  <c r="J55" i="3"/>
  <c r="K55" i="3"/>
  <c r="J56" i="3"/>
  <c r="K56" i="3"/>
  <c r="J57" i="3"/>
  <c r="K57" i="3"/>
  <c r="J58" i="3"/>
  <c r="K58" i="3"/>
  <c r="J59" i="3"/>
  <c r="K59" i="3"/>
  <c r="J60" i="3"/>
  <c r="K60" i="3"/>
  <c r="J61" i="3"/>
  <c r="K61" i="3"/>
  <c r="J62" i="3"/>
  <c r="K62" i="3"/>
  <c r="J63" i="3"/>
  <c r="K63" i="3"/>
  <c r="J64" i="3"/>
  <c r="K64" i="3"/>
  <c r="J65" i="3"/>
  <c r="K65" i="3"/>
  <c r="J66" i="3"/>
  <c r="K66" i="3"/>
  <c r="J67" i="3"/>
  <c r="K67" i="3"/>
  <c r="J68" i="3"/>
  <c r="K68" i="3"/>
  <c r="J69" i="3"/>
  <c r="K69" i="3"/>
  <c r="J70" i="3"/>
  <c r="K70" i="3"/>
  <c r="J71" i="3"/>
  <c r="K71" i="3"/>
  <c r="J72" i="3"/>
  <c r="K72" i="3"/>
  <c r="J73" i="3"/>
  <c r="K73" i="3"/>
  <c r="J74" i="3"/>
  <c r="K74" i="3"/>
  <c r="J75" i="3"/>
  <c r="K75" i="3"/>
  <c r="J76" i="3"/>
  <c r="K76" i="3"/>
  <c r="J77" i="3"/>
  <c r="K77" i="3"/>
  <c r="J78" i="3"/>
  <c r="K78" i="3"/>
  <c r="J79" i="3"/>
  <c r="K79" i="3"/>
  <c r="J80" i="3"/>
  <c r="K80" i="3"/>
  <c r="J81" i="3"/>
  <c r="K81" i="3"/>
  <c r="J82" i="3"/>
  <c r="K82" i="3"/>
  <c r="J83" i="3"/>
  <c r="K83" i="3"/>
  <c r="J84" i="3"/>
  <c r="K84" i="3"/>
  <c r="J85" i="3"/>
  <c r="K85" i="3"/>
  <c r="J86" i="3"/>
  <c r="K86" i="3"/>
  <c r="J87" i="3"/>
  <c r="K87" i="3"/>
  <c r="J88" i="3"/>
  <c r="K88" i="3"/>
  <c r="J89" i="3"/>
  <c r="K89" i="3"/>
  <c r="J90" i="3"/>
  <c r="K90" i="3"/>
  <c r="J91" i="3"/>
  <c r="K91" i="3"/>
  <c r="J92" i="3"/>
  <c r="J93" i="3"/>
  <c r="K93" i="3"/>
  <c r="J94" i="3"/>
  <c r="K94" i="3"/>
  <c r="J95" i="3"/>
  <c r="K95" i="3"/>
  <c r="J96" i="3"/>
  <c r="K96" i="3"/>
  <c r="J97" i="3"/>
  <c r="K97" i="3"/>
  <c r="J98" i="3"/>
  <c r="K98" i="3"/>
  <c r="J99" i="3"/>
  <c r="K99" i="3"/>
  <c r="J100" i="3"/>
  <c r="K100" i="3"/>
  <c r="J101" i="3"/>
  <c r="K101" i="3"/>
  <c r="J102" i="3"/>
  <c r="K102" i="3"/>
  <c r="J103" i="3"/>
  <c r="K103" i="3"/>
  <c r="J104" i="3"/>
  <c r="K104" i="3"/>
  <c r="J105" i="3"/>
  <c r="K105" i="3"/>
  <c r="J106" i="3"/>
  <c r="K106" i="3"/>
  <c r="J107" i="3"/>
  <c r="K107" i="3"/>
  <c r="J108" i="3"/>
  <c r="K108" i="3"/>
  <c r="J109" i="3"/>
  <c r="K109" i="3"/>
  <c r="J110" i="3"/>
  <c r="K110" i="3"/>
  <c r="J111" i="3"/>
  <c r="K111" i="3"/>
  <c r="J112" i="3"/>
  <c r="K112" i="3"/>
  <c r="J113" i="3"/>
  <c r="K113" i="3"/>
  <c r="J114" i="3"/>
  <c r="K114" i="3"/>
  <c r="J115" i="3"/>
  <c r="K115" i="3"/>
  <c r="J116" i="3"/>
  <c r="K116" i="3"/>
  <c r="J117" i="3"/>
  <c r="K117" i="3"/>
  <c r="J118" i="3"/>
  <c r="K118" i="3"/>
  <c r="J119" i="3"/>
  <c r="J120" i="3"/>
  <c r="K120" i="3"/>
  <c r="J121" i="3"/>
  <c r="K121" i="3"/>
  <c r="J122" i="3"/>
  <c r="K122" i="3"/>
  <c r="J123" i="3"/>
  <c r="K123" i="3"/>
  <c r="J124" i="3"/>
  <c r="K124" i="3"/>
  <c r="J125" i="3"/>
  <c r="K125" i="3"/>
  <c r="J126" i="3"/>
  <c r="K126" i="3"/>
  <c r="J127" i="3"/>
  <c r="K127" i="3"/>
  <c r="J128" i="3"/>
  <c r="K128" i="3"/>
  <c r="J129" i="3"/>
  <c r="K129" i="3"/>
  <c r="J130" i="3"/>
  <c r="K130" i="3"/>
  <c r="J131" i="3"/>
  <c r="K131" i="3"/>
  <c r="J132" i="3"/>
  <c r="K132" i="3"/>
  <c r="J133" i="3"/>
  <c r="K133" i="3"/>
  <c r="J134" i="3"/>
  <c r="K134" i="3"/>
  <c r="J135" i="3"/>
  <c r="K135" i="3"/>
  <c r="J136" i="3"/>
  <c r="K136" i="3"/>
  <c r="J137" i="3"/>
  <c r="K137" i="3"/>
  <c r="J138" i="3"/>
  <c r="K138" i="3"/>
  <c r="J139" i="3"/>
  <c r="K139" i="3"/>
  <c r="J140" i="3"/>
  <c r="K140" i="3"/>
  <c r="J141" i="3"/>
  <c r="K141" i="3"/>
  <c r="J142" i="3"/>
  <c r="K142" i="3"/>
  <c r="J143" i="3"/>
  <c r="K143" i="3"/>
  <c r="J144" i="3"/>
  <c r="K144" i="3"/>
  <c r="J145" i="3"/>
  <c r="K145" i="3"/>
  <c r="J146" i="3"/>
  <c r="K146" i="3"/>
  <c r="J147" i="3"/>
  <c r="K147" i="3"/>
  <c r="J148" i="3"/>
  <c r="J149" i="3"/>
  <c r="K149" i="3"/>
  <c r="J150" i="3"/>
  <c r="K150" i="3"/>
  <c r="J151" i="3"/>
  <c r="K151" i="3"/>
  <c r="J152" i="3"/>
  <c r="K152" i="3"/>
  <c r="J153" i="3"/>
  <c r="K153" i="3"/>
  <c r="J154" i="3"/>
  <c r="K154" i="3"/>
  <c r="J155" i="3"/>
  <c r="K155" i="3"/>
  <c r="J156" i="3"/>
  <c r="K156" i="3"/>
  <c r="J157" i="3"/>
  <c r="K157" i="3"/>
  <c r="J158" i="3"/>
  <c r="K158" i="3"/>
  <c r="J159" i="3"/>
  <c r="K159" i="3"/>
  <c r="J160" i="3"/>
  <c r="K160" i="3"/>
  <c r="J161" i="3"/>
  <c r="K161" i="3"/>
  <c r="J162" i="3"/>
  <c r="K162" i="3"/>
  <c r="J163" i="3"/>
  <c r="K163" i="3"/>
  <c r="J164" i="3"/>
  <c r="K164" i="3"/>
  <c r="J165" i="3"/>
  <c r="K165" i="3"/>
  <c r="J166" i="3"/>
  <c r="K166" i="3"/>
  <c r="J167" i="3"/>
  <c r="K167" i="3"/>
  <c r="J168" i="3"/>
  <c r="K168" i="3"/>
  <c r="J169" i="3"/>
  <c r="K169" i="3"/>
  <c r="J170" i="3"/>
  <c r="K170" i="3"/>
  <c r="J171" i="3"/>
  <c r="K171" i="3"/>
  <c r="J172" i="3"/>
  <c r="K172" i="3"/>
  <c r="J173" i="3"/>
  <c r="K173" i="3"/>
  <c r="J174" i="3"/>
  <c r="K174" i="3"/>
  <c r="J175" i="3"/>
  <c r="K175" i="3"/>
  <c r="J176" i="3"/>
  <c r="K176" i="3"/>
  <c r="J177" i="3"/>
  <c r="K177" i="3"/>
  <c r="J178" i="3"/>
  <c r="K178" i="3"/>
  <c r="J179" i="3"/>
  <c r="K179" i="3"/>
  <c r="J180" i="3"/>
  <c r="K180" i="3"/>
  <c r="J181" i="3"/>
  <c r="K181" i="3"/>
  <c r="J182" i="3"/>
  <c r="K182" i="3"/>
  <c r="J183" i="3"/>
  <c r="K183" i="3"/>
  <c r="J184" i="3"/>
  <c r="K184" i="3"/>
  <c r="J185" i="3"/>
  <c r="K185" i="3"/>
  <c r="J186" i="3"/>
  <c r="K186" i="3"/>
  <c r="J187" i="3"/>
  <c r="K187" i="3"/>
  <c r="J188" i="3"/>
  <c r="K188" i="3"/>
  <c r="J189" i="3"/>
  <c r="J190" i="3"/>
  <c r="K190" i="3"/>
  <c r="J191" i="3"/>
  <c r="K191" i="3"/>
  <c r="J192" i="3"/>
  <c r="K192" i="3"/>
  <c r="J193" i="3"/>
  <c r="K193" i="3"/>
  <c r="J194" i="3"/>
  <c r="K194" i="3"/>
  <c r="J195" i="3"/>
  <c r="K195" i="3"/>
  <c r="J196" i="3"/>
  <c r="K196" i="3"/>
  <c r="J197" i="3"/>
  <c r="K197" i="3"/>
  <c r="J198" i="3"/>
  <c r="K198" i="3"/>
  <c r="J199" i="3"/>
  <c r="K199" i="3"/>
  <c r="J200" i="3"/>
  <c r="K200" i="3"/>
  <c r="J201" i="3"/>
  <c r="K201" i="3"/>
  <c r="J202" i="3"/>
  <c r="K202" i="3"/>
  <c r="J203" i="3"/>
  <c r="K203" i="3"/>
  <c r="J204" i="3"/>
  <c r="K204" i="3"/>
  <c r="J205" i="3"/>
  <c r="K205" i="3"/>
  <c r="J206" i="3"/>
  <c r="K206" i="3"/>
  <c r="J207" i="3"/>
  <c r="K207" i="3"/>
  <c r="J208" i="3"/>
  <c r="K208" i="3"/>
  <c r="J209" i="3"/>
  <c r="K209" i="3"/>
  <c r="J210" i="3"/>
  <c r="J211" i="3"/>
  <c r="K211" i="3"/>
  <c r="J212" i="3"/>
  <c r="K212" i="3"/>
  <c r="J213" i="3"/>
  <c r="K213" i="3"/>
  <c r="J214" i="3"/>
  <c r="K214" i="3"/>
  <c r="J215" i="3"/>
  <c r="K215" i="3"/>
  <c r="J216" i="3"/>
  <c r="K216" i="3"/>
  <c r="J217" i="3"/>
  <c r="K217" i="3"/>
  <c r="J218" i="3"/>
  <c r="K218" i="3"/>
  <c r="J219" i="3"/>
  <c r="K219" i="3"/>
  <c r="J220" i="3"/>
  <c r="K220" i="3"/>
  <c r="J221" i="3"/>
  <c r="K221" i="3"/>
  <c r="J222" i="3"/>
  <c r="K222" i="3"/>
  <c r="J223" i="3"/>
  <c r="K223" i="3"/>
  <c r="J224" i="3"/>
  <c r="K224" i="3"/>
  <c r="J225" i="3"/>
  <c r="K225" i="3"/>
  <c r="J226" i="3"/>
  <c r="K226" i="3"/>
  <c r="J227" i="3"/>
  <c r="K227" i="3"/>
  <c r="J228" i="3"/>
  <c r="K228" i="3"/>
  <c r="J229" i="3"/>
  <c r="K229" i="3"/>
  <c r="J230" i="3"/>
  <c r="K230" i="3"/>
  <c r="J231" i="3"/>
  <c r="K231" i="3"/>
  <c r="J232" i="3"/>
  <c r="K232" i="3"/>
  <c r="J233" i="3"/>
  <c r="K233" i="3"/>
  <c r="J234" i="3"/>
  <c r="K234" i="3"/>
  <c r="J235" i="3"/>
  <c r="K235" i="3"/>
  <c r="J236" i="3"/>
  <c r="K236" i="3"/>
  <c r="J237" i="3"/>
  <c r="K237" i="3"/>
  <c r="J238" i="3"/>
  <c r="K238" i="3"/>
  <c r="J239" i="3"/>
  <c r="K239" i="3"/>
  <c r="J240" i="3"/>
  <c r="K240" i="3"/>
  <c r="J241" i="3"/>
  <c r="K241" i="3"/>
  <c r="J242" i="3"/>
  <c r="K242" i="3"/>
  <c r="J243" i="3"/>
  <c r="K243" i="3"/>
  <c r="J244" i="3"/>
  <c r="K244" i="3"/>
  <c r="J245" i="3"/>
  <c r="K245" i="3"/>
  <c r="J246" i="3"/>
  <c r="J247" i="3"/>
  <c r="J248" i="3"/>
  <c r="K248" i="3"/>
  <c r="J249" i="3"/>
  <c r="K249" i="3"/>
  <c r="J250" i="3"/>
  <c r="K250" i="3"/>
  <c r="J251" i="3"/>
  <c r="K251"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<sst xmlns="http://schemas.openxmlformats.org/spreadsheetml/2006/main" count="1757" uniqueCount="311">
  <si>
    <t>Ranking</t>
  </si>
  <si>
    <t>2021 Ranking</t>
  </si>
  <si>
    <t>Company</t>
  </si>
  <si>
    <t>Country</t>
  </si>
  <si>
    <t>Market cap 2022 ($m)</t>
  </si>
  <si>
    <t>Market cap 2021 ($m)</t>
  </si>
  <si>
    <t>Revenues ($m)</t>
  </si>
  <si>
    <t>Net income ($m)</t>
  </si>
  <si>
    <t>Sector</t>
  </si>
  <si>
    <t>Naspers</t>
  </si>
  <si>
    <t>SOUTH AFRICA</t>
  </si>
  <si>
    <t>Consumer Non-Cyclicals</t>
  </si>
  <si>
    <t>Anglo American Platinum</t>
  </si>
  <si>
    <t>Non-Energy Materials</t>
  </si>
  <si>
    <t>FirstRand</t>
  </si>
  <si>
    <t>Finance</t>
  </si>
  <si>
    <t>MTN Group</t>
  </si>
  <si>
    <t>Telecommunications</t>
  </si>
  <si>
    <t>Standard Bank Group</t>
  </si>
  <si>
    <t>Vodacom Group</t>
  </si>
  <si>
    <t>Capitec Bank Holdings</t>
  </si>
  <si>
    <t>Sasol</t>
  </si>
  <si>
    <t>Kumba Iron Ore</t>
  </si>
  <si>
    <t>Gold Fields</t>
  </si>
  <si>
    <t>Impala Platinum Holdings</t>
  </si>
  <si>
    <t>Safaricom</t>
  </si>
  <si>
    <t>KENYA</t>
  </si>
  <si>
    <t>Maroc Telecom</t>
  </si>
  <si>
    <t>MOROCCO</t>
  </si>
  <si>
    <t>Sibanye Stillwater</t>
  </si>
  <si>
    <t>Dangote Cement</t>
  </si>
  <si>
    <t>NIGERIA</t>
  </si>
  <si>
    <t>Absa Group</t>
  </si>
  <si>
    <t>Sanlam</t>
  </si>
  <si>
    <t>MTN Nigeria</t>
  </si>
  <si>
    <t>Attijariwafa Bank</t>
  </si>
  <si>
    <t>AngloGold Ashanti</t>
  </si>
  <si>
    <t>Shoprite Holdings</t>
  </si>
  <si>
    <t>Discovery</t>
  </si>
  <si>
    <t>Nedbank Group</t>
  </si>
  <si>
    <t>Bid Corp</t>
  </si>
  <si>
    <t>Consumer Services</t>
  </si>
  <si>
    <t>Airtel Africa</t>
  </si>
  <si>
    <t>Investec</t>
  </si>
  <si>
    <t>Aspen Pharmacare Holdings</t>
  </si>
  <si>
    <t>Healthcare</t>
  </si>
  <si>
    <t>Northam Platinum</t>
  </si>
  <si>
    <t>Pepkor</t>
  </si>
  <si>
    <t>Consumer Cyclicals</t>
  </si>
  <si>
    <t>Remgro</t>
  </si>
  <si>
    <t>BUA Cement</t>
  </si>
  <si>
    <t>Banque Centrale Populaire</t>
  </si>
  <si>
    <t>Rand Merchant Investment</t>
  </si>
  <si>
    <t>Exxaro Resources</t>
  </si>
  <si>
    <t>Energy</t>
  </si>
  <si>
    <t>Bidvest Group</t>
  </si>
  <si>
    <t>Clicks Group</t>
  </si>
  <si>
    <t>Commercial International Bank</t>
  </si>
  <si>
    <t>EGYPT</t>
  </si>
  <si>
    <t>B2gold Corp</t>
  </si>
  <si>
    <t>NAMIBIA</t>
  </si>
  <si>
    <t>LafargeHolcim Maroc</t>
  </si>
  <si>
    <t>n/a</t>
  </si>
  <si>
    <t>Old Mutual</t>
  </si>
  <si>
    <t>African Rainbow Minerals</t>
  </si>
  <si>
    <t>Bank of Africa (formerly BMCE)</t>
  </si>
  <si>
    <t>Woolworths Holdings</t>
  </si>
  <si>
    <t>Multichoice</t>
  </si>
  <si>
    <t>Mr Price Group</t>
  </si>
  <si>
    <t>new</t>
  </si>
  <si>
    <t>Afreximbank (DRs)</t>
  </si>
  <si>
    <t>MAURITIUS</t>
  </si>
  <si>
    <t>Econet Wireless</t>
  </si>
  <si>
    <t>ZIMBABWE</t>
  </si>
  <si>
    <t>Growthpoint Properties</t>
  </si>
  <si>
    <t>?32</t>
  </si>
  <si>
    <t>The Foschini Group</t>
  </si>
  <si>
    <t>?114</t>
  </si>
  <si>
    <t>Royal Bafokeng Platinum</t>
  </si>
  <si>
    <t>Harmony Gold Mining</t>
  </si>
  <si>
    <t>Ninety One (previously part of Investec)</t>
  </si>
  <si>
    <t>African Rainbow Capital Investments</t>
  </si>
  <si>
    <t>Ciments du Maroc</t>
  </si>
  <si>
    <t>SONATEL</t>
  </si>
  <si>
    <t>IVORY COAST</t>
  </si>
  <si>
    <t>Nestle Nigeria</t>
  </si>
  <si>
    <t>Distell Group</t>
  </si>
  <si>
    <t>TAQA Morocco</t>
  </si>
  <si>
    <t>Utilities</t>
  </si>
  <si>
    <t>BUA Foods</t>
  </si>
  <si>
    <t>Transaction Capital</t>
  </si>
  <si>
    <t>COSUMAR</t>
  </si>
  <si>
    <t>Life Healthcare</t>
  </si>
  <si>
    <t>Vivo Energy</t>
  </si>
  <si>
    <t>Santam</t>
  </si>
  <si>
    <t>Dis-Chem Pharmacies</t>
  </si>
  <si>
    <t>Spar Group</t>
  </si>
  <si>
    <t>Sappi</t>
  </si>
  <si>
    <t>Delta Corporation</t>
  </si>
  <si>
    <t>Qatar National Bank AlAhli</t>
  </si>
  <si>
    <t>Tiger Brands</t>
  </si>
  <si>
    <t>Managem</t>
  </si>
  <si>
    <t>Marsa Maroc</t>
  </si>
  <si>
    <t>Industrials</t>
  </si>
  <si>
    <t>Pick N Pay Stores</t>
  </si>
  <si>
    <t>Momentum Metropolitan</t>
  </si>
  <si>
    <t>Wafa Assurance</t>
  </si>
  <si>
    <t>Scancom (MTN Ghana)</t>
  </si>
  <si>
    <t>GHANA</t>
  </si>
  <si>
    <t>MCB Group</t>
  </si>
  <si>
    <t>Abou Kir Fertilizers &amp; Chemicals</t>
  </si>
  <si>
    <t>Thungela Resources</t>
  </si>
  <si>
    <t>?268</t>
  </si>
  <si>
    <t>Afriquia Gaz</t>
  </si>
  <si>
    <t>Zenith Bank</t>
  </si>
  <si>
    <t>Truworths International</t>
  </si>
  <si>
    <t>AVI</t>
  </si>
  <si>
    <t>Equity Group Holdings</t>
  </si>
  <si>
    <t>Telecom Egypt</t>
  </si>
  <si>
    <t>Barloworld</t>
  </si>
  <si>
    <t>Netcare</t>
  </si>
  <si>
    <t>Guaranty Trust Holding Company</t>
  </si>
  <si>
    <t>Total Maroc</t>
  </si>
  <si>
    <t>Telkom</t>
  </si>
  <si>
    <t>e-finance for Digital and Financial Investments S.A.E.</t>
  </si>
  <si>
    <t>Italtile</t>
  </si>
  <si>
    <t>Eastern Company</t>
  </si>
  <si>
    <t>PSG Group</t>
  </si>
  <si>
    <t>Societe de Fabrication des Boissons de Tunisie (SFBT)</t>
  </si>
  <si>
    <t>TUNISIA</t>
  </si>
  <si>
    <t>Egypt Kuwait Holding</t>
  </si>
  <si>
    <t>Label Vie</t>
  </si>
  <si>
    <t>Tanzania Breweries</t>
  </si>
  <si>
    <t>TANZANIA</t>
  </si>
  <si>
    <t>Motus Holdings</t>
  </si>
  <si>
    <t>EcoCash Holdings (formerly Cassava)</t>
  </si>
  <si>
    <t>?14</t>
  </si>
  <si>
    <t>Misr Fertilizers Production</t>
  </si>
  <si>
    <t>KCB Group</t>
  </si>
  <si>
    <t>Innscor Africa</t>
  </si>
  <si>
    <t>PSG Konsult</t>
  </si>
  <si>
    <t>MTN Uganda</t>
  </si>
  <si>
    <t>UGANDA</t>
  </si>
  <si>
    <t>Sothema</t>
  </si>
  <si>
    <t>Coronation Fund Managers</t>
  </si>
  <si>
    <t>FBN Holdings</t>
  </si>
  <si>
    <t>Stanbic IBTC Holdings</t>
  </si>
  <si>
    <t>East African Breweries</t>
  </si>
  <si>
    <t>Tullow Oil**</t>
  </si>
  <si>
    <t>?81</t>
  </si>
  <si>
    <t>Credit Immobilier et Hotelier</t>
  </si>
  <si>
    <t>MAS P.L.C.</t>
  </si>
  <si>
    <t>El Sewedy Electric</t>
  </si>
  <si>
    <t>Talaat Moustafa Group</t>
  </si>
  <si>
    <t>EFG Hermes</t>
  </si>
  <si>
    <t>Fawry For Banking Technology And Electronic Payment</t>
  </si>
  <si>
    <t>Karooooo (previously Cartrack)</t>
  </si>
  <si>
    <t>Technology</t>
  </si>
  <si>
    <t>Lafarge Africa</t>
  </si>
  <si>
    <t>Simbisa Brands</t>
  </si>
  <si>
    <t>Omnia Holdings</t>
  </si>
  <si>
    <t>Tsogo Sun</t>
  </si>
  <si>
    <t>National Foods Holdings</t>
  </si>
  <si>
    <t>Alexandria Containers &amp; Goods</t>
  </si>
  <si>
    <t>KAP Industrial Holdings</t>
  </si>
  <si>
    <t>AECI</t>
  </si>
  <si>
    <t>Golden Pyramids Plaza</t>
  </si>
  <si>
    <t>?6</t>
  </si>
  <si>
    <t>Access Holdings</t>
  </si>
  <si>
    <t>IBL</t>
  </si>
  <si>
    <t>Societe Des Brasseries Du Maroc</t>
  </si>
  <si>
    <t>DRDGOLD</t>
  </si>
  <si>
    <t>Banque Marocaine pour le Commerce et l'Industrie</t>
  </si>
  <si>
    <t>Atlanta</t>
  </si>
  <si>
    <t>Banque Internationale Arabe de Tunisie (BIAT)</t>
  </si>
  <si>
    <t>Nigerian Breweries</t>
  </si>
  <si>
    <t>RCL Foods</t>
  </si>
  <si>
    <t>Arcelormittal South Africa</t>
  </si>
  <si>
    <t>Super Group</t>
  </si>
  <si>
    <t>Vodacom Tanzania</t>
  </si>
  <si>
    <t>?13</t>
  </si>
  <si>
    <t>Tanzania Ciggarette Co.</t>
  </si>
  <si>
    <t>Credit du Maroc</t>
  </si>
  <si>
    <t>Emaar Misr for Development</t>
  </si>
  <si>
    <t>Afrimat</t>
  </si>
  <si>
    <t>Hosken Consolidated Investments</t>
  </si>
  <si>
    <t>Massmart Holdings</t>
  </si>
  <si>
    <t>?108</t>
  </si>
  <si>
    <t>Societe Generale de Banques en Cote d'Ivoire</t>
  </si>
  <si>
    <t>Crytel Mauritius</t>
  </si>
  <si>
    <t>ADvTECH</t>
  </si>
  <si>
    <t>JSE</t>
  </si>
  <si>
    <t>Co-operative Bank of Kenya</t>
  </si>
  <si>
    <t>Namibia Breweries</t>
  </si>
  <si>
    <t>United Bank for Africa</t>
  </si>
  <si>
    <t>Adcock Ingram Holdings</t>
  </si>
  <si>
    <t>Saham Assurance</t>
  </si>
  <si>
    <t>Poulina Group Holding</t>
  </si>
  <si>
    <t>Datatec</t>
  </si>
  <si>
    <t>Absa Bank Kenya</t>
  </si>
  <si>
    <t>NMB Bank</t>
  </si>
  <si>
    <t>El Ezz Aldekhela Steel</t>
  </si>
  <si>
    <t>?296</t>
  </si>
  <si>
    <t>First National Bank Botswana</t>
  </si>
  <si>
    <t>BOTSWANA</t>
  </si>
  <si>
    <t>Tharisa</t>
  </si>
  <si>
    <t>Onatel</t>
  </si>
  <si>
    <t>Reunert</t>
  </si>
  <si>
    <t>Airtel Malawi</t>
  </si>
  <si>
    <t>MALAWI</t>
  </si>
  <si>
    <t>National Bank of Kuwait - Egypt</t>
  </si>
  <si>
    <t>Coris Bank</t>
  </si>
  <si>
    <t>National Bank of Malawi</t>
  </si>
  <si>
    <t>Sun International</t>
  </si>
  <si>
    <t>FirstRand Namibia</t>
  </si>
  <si>
    <t>Centrale Danone</t>
  </si>
  <si>
    <t>British American Tobacco Zimbabwe Limited</t>
  </si>
  <si>
    <t>Ecobank Transnational, Inc.</t>
  </si>
  <si>
    <t>Travaux Generaux de Construction de Casablanca</t>
  </si>
  <si>
    <t>Aradei Capital</t>
  </si>
  <si>
    <t>Faisal Islamic Bank of Egypt</t>
  </si>
  <si>
    <t>Credit Agricole Egypt</t>
  </si>
  <si>
    <t>Oceana Group</t>
  </si>
  <si>
    <t>Aluminium Company of Egypt</t>
  </si>
  <si>
    <t>?93</t>
  </si>
  <si>
    <t>Capricorn Group</t>
  </si>
  <si>
    <t>Raubex Group</t>
  </si>
  <si>
    <t>Lesieur Cristal</t>
  </si>
  <si>
    <t>Standard Chartered Bank Kenya</t>
  </si>
  <si>
    <t>Cashbuild</t>
  </si>
  <si>
    <t>Auto Hall</t>
  </si>
  <si>
    <t>Dangote Sugar Refinery</t>
  </si>
  <si>
    <t>Curro Holdings</t>
  </si>
  <si>
    <t>Banque de Tunisie</t>
  </si>
  <si>
    <t>Oragroup</t>
  </si>
  <si>
    <t>bew</t>
  </si>
  <si>
    <t>Ste de Limonaderies et Brasseries d'Afrique SOLIBRA</t>
  </si>
  <si>
    <t>PPC</t>
  </si>
  <si>
    <t>Medtech Holdings</t>
  </si>
  <si>
    <t>Astral Foods</t>
  </si>
  <si>
    <t>Hightech Payment Systems</t>
  </si>
  <si>
    <t>Cleopatra Hospital</t>
  </si>
  <si>
    <t>Banque Attijari de Tunisie</t>
  </si>
  <si>
    <t>Famous Brands</t>
  </si>
  <si>
    <t>?8</t>
  </si>
  <si>
    <t>CRDB Bank</t>
  </si>
  <si>
    <t>Botswana Insurance</t>
  </si>
  <si>
    <t>British American Tobacco Kenya</t>
  </si>
  <si>
    <t>Union Bank Nigeria</t>
  </si>
  <si>
    <t>Ezz Steel</t>
  </si>
  <si>
    <t>Alexander Forbes</t>
  </si>
  <si>
    <t>Heliopolis Housing</t>
  </si>
  <si>
    <t>Mobile Telecommunications</t>
  </si>
  <si>
    <t>Metair Investments</t>
  </si>
  <si>
    <t>Hippo Valley Estates</t>
  </si>
  <si>
    <t>Standard Bank Malawi</t>
  </si>
  <si>
    <t>Murray &amp; Roberts</t>
  </si>
  <si>
    <t>Renergen</t>
  </si>
  <si>
    <t>?3</t>
  </si>
  <si>
    <t>Guinness Nigeria</t>
  </si>
  <si>
    <t>Juhayna Food Industries</t>
  </si>
  <si>
    <t>NCBA Group</t>
  </si>
  <si>
    <t>Societe Ivoirienne de Banque</t>
  </si>
  <si>
    <t>Standard Chartered Bank Ghana</t>
  </si>
  <si>
    <t>Stanbic Bank Uganda</t>
  </si>
  <si>
    <t>Stanbic</t>
  </si>
  <si>
    <t>CFAO Motors Cote d'Ivoire</t>
  </si>
  <si>
    <t>Absa Bank Botswana</t>
  </si>
  <si>
    <t>Okomu Oil Palm Co.</t>
  </si>
  <si>
    <t>Housing &amp; Development Bank</t>
  </si>
  <si>
    <t>Tsogo Sun Hotels</t>
  </si>
  <si>
    <t>?55</t>
  </si>
  <si>
    <t>SBM Holdings</t>
  </si>
  <si>
    <t>Letshego Holdings</t>
  </si>
  <si>
    <t>Mpact</t>
  </si>
  <si>
    <t>CBZ</t>
  </si>
  <si>
    <t>Wilson Bayly Holmes</t>
  </si>
  <si>
    <t>Hudaco Industries</t>
  </si>
  <si>
    <t>Cairo Investment &amp; Real Estate Development</t>
  </si>
  <si>
    <t>Oriental Weavers</t>
  </si>
  <si>
    <t>Grindrod</t>
  </si>
  <si>
    <t>?22</t>
  </si>
  <si>
    <t>Presco PLC</t>
  </si>
  <si>
    <t>Tanzania Portland Cement</t>
  </si>
  <si>
    <t>Compagnie Miniere de Touissit</t>
  </si>
  <si>
    <t>Merafe Resources</t>
  </si>
  <si>
    <t>Seed Co</t>
  </si>
  <si>
    <t>Copperbelt Energy Corporation</t>
  </si>
  <si>
    <t>ZAMBIA</t>
  </si>
  <si>
    <t>Zambia Sugar</t>
  </si>
  <si>
    <t>Les Eaux Minerales d'Oulmes</t>
  </si>
  <si>
    <t>Libstar Holdings</t>
  </si>
  <si>
    <t>Douja Promotion Groupe Addoha</t>
  </si>
  <si>
    <t>?10</t>
  </si>
  <si>
    <t>Egyptian International Tourism Projects</t>
  </si>
  <si>
    <t>I&amp;M Holdings</t>
  </si>
  <si>
    <t>Sidi Kerir Petrochemicals</t>
  </si>
  <si>
    <t>SONASID</t>
  </si>
  <si>
    <t>Arindo Holdings (Mauritius)</t>
  </si>
  <si>
    <t>Deep Yellow Limited</t>
  </si>
  <si>
    <t>Edita Food Industries</t>
  </si>
  <si>
    <t>Long4Life</t>
  </si>
  <si>
    <t>Delice Holding</t>
  </si>
  <si>
    <t>Sea Harvest Group</t>
  </si>
  <si>
    <t>Row Labels</t>
  </si>
  <si>
    <t>Grand Total</t>
  </si>
  <si>
    <t>Sum of Market cap 2022 ($m)</t>
  </si>
  <si>
    <t>% Growth</t>
  </si>
  <si>
    <t>Sum of % Growth</t>
  </si>
  <si>
    <t>Net Margin %</t>
  </si>
  <si>
    <t>Average of Net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</si>
</sst>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0"/>
    <numFmt numFmtId="165" formatCode="0.0%"/>
    <numFmt numFmtId="166"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6" fillId="34" borderId="10" xfId="0" applyFont="1" applyFill="1" applyBorder="1"/>
    <xf numFmtId="10" fontId="0" fillId="0" borderId="0" xfId="0" applyNumberFormat="1"/>
    <xf numFmtId="0" fontId="0" fillId="34" borderId="11" xfId="0" applyFill="1" applyBorder="1"/>
    <xf numFmtId="164" fontId="0" fillId="34" borderId="11" xfId="0" applyNumberFormat="1" applyFill="1" applyBorder="1"/>
    <xf numFmtId="0" fontId="0" fillId="0" borderId="11" xfId="0" applyBorder="1"/>
    <xf numFmtId="164" fontId="0" fillId="0" borderId="11" xfId="0" applyNumberFormat="1" applyBorder="1"/>
    <xf numFmtId="10" fontId="0" fillId="34" borderId="11" xfId="0" applyNumberFormat="1" applyFill="1" applyBorder="1"/>
    <xf numFmtId="10" fontId="0" fillId="0" borderId="11" xfId="0" applyNumberFormat="1" applyBorder="1"/>
    <xf numFmtId="0" fontId="13" fillId="33" borderId="0" xfId="0" applyFont="1" applyFill="1"/>
    <xf numFmtId="164" fontId="13" fillId="33" borderId="0" xfId="0" applyNumberFormat="1" applyFont="1" applyFill="1"/>
    <xf numFmtId="10" fontId="13" fillId="33" borderId="0" xfId="0" applyNumberFormat="1" applyFont="1" applyFill="1"/>
    <xf numFmtId="165"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font>
        <b val="0"/>
        <i val="0"/>
        <strike val="0"/>
        <condense val="0"/>
        <extend val="0"/>
        <outline val="0"/>
        <shadow val="0"/>
        <u val="none"/>
        <vertAlign val="baseline"/>
        <sz val="11"/>
        <color theme="1"/>
        <name val="Aptos Narrow"/>
        <family val="2"/>
        <scheme val="minor"/>
      </font>
      <numFmt numFmtId="14" formatCode="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4" formatCode="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64" formatCode="[$$-409]#,##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64" formatCode="[$$-409]#,##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64" formatCode="[$$-409]#,##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64" formatCode="[$$-409]#,##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dxf>
    <dxf>
      <font>
        <color theme="1"/>
        <name val="Aptos Narrow"/>
        <family val="2"/>
        <scheme val="minor"/>
      </font>
      <border>
        <bottom style="thin">
          <color rgb="FF4F81BD"/>
        </bottom>
        <vertical/>
        <horizontal/>
      </border>
    </dxf>
    <dxf>
      <font>
        <b/>
        <i val="0"/>
        <sz val="8"/>
        <color theme="0"/>
        <name val="Aptos Narrow"/>
        <family val="2"/>
        <scheme val="minor"/>
      </font>
      <fill>
        <patternFill patternType="none">
          <bgColor auto="1"/>
        </patternFill>
      </fill>
      <border diagonalUp="0" diagonalDown="0">
        <left/>
        <right/>
        <top/>
        <bottom/>
        <vertical/>
        <horizontal/>
      </border>
    </dxf>
    <dxf>
      <font>
        <b/>
        <color theme="1"/>
      </font>
      <border>
        <bottom style="thin">
          <color rgb="FF4F81BD"/>
        </bottom>
        <vertical/>
        <horizontal/>
      </border>
    </dxf>
    <dxf>
      <font>
        <b/>
        <i val="0"/>
        <sz val="8"/>
        <color theme="0"/>
        <name val="Century Gothic"/>
        <family val="2"/>
        <scheme val="none"/>
      </font>
      <fill>
        <patternFill patternType="none">
          <bgColor auto="1"/>
        </patternFill>
      </fill>
      <border diagonalUp="0" diagonalDown="0">
        <left/>
        <right/>
        <top/>
        <bottom/>
        <vertical/>
        <horizontal/>
      </border>
    </dxf>
  </dxfs>
  <tableStyles count="2" defaultTableStyle="TableStyleMedium2" defaultPivotStyle="PivotStyleLight16">
    <tableStyle name="Da angels 3" pivot="0" table="0" count="10" xr9:uid="{DCE362D1-5269-4F72-B17F-88B9D4D4E450}">
      <tableStyleElement type="wholeTable" dxfId="16"/>
      <tableStyleElement type="headerRow" dxfId="15"/>
    </tableStyle>
    <tableStyle name="Da angels 3 2" pivot="0" table="0" count="10" xr9:uid="{81012745-CBE0-4298-B631-949328770AF9}">
      <tableStyleElement type="wholeTable" dxfId="14"/>
      <tableStyleElement type="headerRow" dxfId="13"/>
    </tableStyle>
  </tableStyles>
  <colors>
    <mruColors>
      <color rgb="FF0F766E"/>
      <color rgb="FF129087"/>
      <color rgb="FF16AEA3"/>
      <color rgb="FFC1F7F3"/>
      <color rgb="FF156082"/>
      <color rgb="FFBFF7F3"/>
      <color rgb="FF5FEBE1"/>
      <color rgb="FF1DE1D3"/>
      <color rgb="FF19C1B5"/>
      <color rgb="FF16AA9F"/>
    </mruColors>
  </colors>
  <extLst>
    <ext xmlns:x14="http://schemas.microsoft.com/office/spreadsheetml/2009/9/main" uri="{46F421CA-312F-682f-3DD2-61675219B42D}">
      <x14:dxfs count="16">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sz val="8"/>
            <color theme="0" tint="-4.9989318521683403E-2"/>
            <name val="Aptos Narrow"/>
            <family val="2"/>
            <scheme val="minor"/>
          </font>
          <fill>
            <patternFill patternType="solid">
              <fgColor auto="1"/>
              <bgColor theme="0" tint="-0.24994659260841701"/>
            </patternFill>
          </fill>
          <border diagonalUp="0" diagonalDown="0">
            <left/>
            <right/>
            <top/>
            <bottom/>
            <vertical/>
            <horizontal/>
          </border>
        </dxf>
        <dxf>
          <font>
            <sz val="8"/>
            <color theme="0" tint="-4.9989318521683403E-2"/>
            <name val="Aptos Narrow"/>
            <family val="2"/>
            <scheme val="minor"/>
          </font>
          <fill>
            <patternFill patternType="solid">
              <fgColor auto="1"/>
              <bgColor theme="0" tint="-0.24994659260841701"/>
            </patternFill>
          </fill>
          <border diagonalUp="0" diagonalDown="0">
            <left/>
            <right/>
            <top/>
            <bottom/>
            <vertical/>
            <horizontal/>
          </border>
        </dxf>
        <dxf>
          <font>
            <color rgb="FF828282"/>
          </font>
          <fill>
            <patternFill patternType="solid">
              <fgColor auto="1"/>
              <bgColor rgb="FFB8E2C5"/>
            </patternFill>
          </fill>
          <border>
            <left style="thin">
              <color rgb="FFCCCCCC"/>
            </left>
            <right style="thin">
              <color rgb="FFCCCCCC"/>
            </right>
            <top style="thin">
              <color rgb="FFCCCCCC"/>
            </top>
            <bottom style="thin">
              <color rgb="FFCCCCCC"/>
            </bottom>
            <vertical/>
            <horizontal/>
          </border>
        </dxf>
        <dxf>
          <font>
            <sz val="8"/>
            <color theme="0"/>
            <name val="Aptos Narrow"/>
            <family val="2"/>
            <scheme val="minor"/>
          </font>
          <fill>
            <patternFill patternType="solid">
              <fgColor auto="1"/>
              <bgColor rgb="FF0F766E"/>
            </patternFill>
          </fill>
          <border diagonalUp="0" diagonalDown="0">
            <left/>
            <right/>
            <top/>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sz val="8"/>
            <color theme="0"/>
            <name val="Aptos Narrow"/>
            <family val="2"/>
            <scheme val="minor"/>
          </font>
          <fill>
            <patternFill patternType="solid">
              <fgColor auto="1"/>
              <bgColor theme="0" tint="-0.14996795556505021"/>
            </patternFill>
          </fill>
          <border diagonalUp="0" diagonalDown="0">
            <left/>
            <right/>
            <top/>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sz val="8"/>
            <color theme="0" tint="-4.9989318521683403E-2"/>
            <name val="Century Gothic"/>
            <family val="2"/>
            <scheme val="none"/>
          </font>
          <fill>
            <patternFill patternType="solid">
              <fgColor auto="1"/>
              <bgColor theme="0" tint="-0.24994659260841701"/>
            </patternFill>
          </fill>
          <border diagonalUp="0" diagonalDown="0">
            <left/>
            <right/>
            <top/>
            <bottom/>
            <vertical/>
            <horizontal/>
          </border>
        </dxf>
        <dxf>
          <font>
            <sz val="8"/>
            <color theme="0" tint="-4.9989318521683403E-2"/>
            <name val="Century Gothic"/>
            <family val="2"/>
            <scheme val="none"/>
          </font>
          <fill>
            <patternFill patternType="solid">
              <fgColor auto="1"/>
              <bgColor theme="0" tint="-0.24994659260841701"/>
            </patternFill>
          </fill>
          <border diagonalUp="0" diagonalDown="0">
            <left/>
            <right/>
            <top/>
            <bottom/>
            <vertical/>
            <horizontal/>
          </border>
        </dxf>
        <dxf>
          <font>
            <color rgb="FF828282"/>
          </font>
          <fill>
            <patternFill patternType="solid">
              <fgColor auto="1"/>
              <bgColor rgb="FFB8E2C5"/>
            </patternFill>
          </fill>
          <border>
            <left style="thin">
              <color rgb="FFCCCCCC"/>
            </left>
            <right style="thin">
              <color rgb="FFCCCCCC"/>
            </right>
            <top style="thin">
              <color rgb="FFCCCCCC"/>
            </top>
            <bottom style="thin">
              <color rgb="FFCCCCCC"/>
            </bottom>
            <vertical/>
            <horizontal/>
          </border>
        </dxf>
        <dxf>
          <font>
            <sz val="8"/>
            <color theme="0"/>
            <name val="Century Gothic"/>
            <family val="2"/>
            <scheme val="none"/>
          </font>
          <fill>
            <patternFill patternType="solid">
              <fgColor auto="1"/>
              <bgColor rgb="FF235733"/>
            </patternFill>
          </fill>
          <border diagonalUp="0" diagonalDown="0">
            <left/>
            <right/>
            <top/>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sz val="8"/>
            <color theme="0"/>
            <name val="Century Gothic"/>
            <family val="2"/>
            <scheme val="none"/>
          </font>
          <fill>
            <patternFill patternType="solid">
              <fgColor auto="1"/>
              <bgColor theme="0" tint="-0.1499679555650502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Da angels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Da angels 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pivotCacheDefinition" Target="pivotCache/pivotCacheDefinition4.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 GEORGE NZUBECHI CHIBUIKEM.xlsx]SECTOR SHARE OF TOTAL MCAP!PivotTable2</c:name>
    <c:fmtId val="0"/>
  </c:pivotSource>
  <c:chart>
    <c:autoTitleDeleted val="1"/>
    <c:pivotFmts>
      <c:pivotFmt>
        <c:idx val="0"/>
        <c:spPr>
          <a:solidFill>
            <a:srgbClr val="0F766E"/>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39188"/>
          </a:solidFill>
          <a:ln w="19050">
            <a:noFill/>
          </a:ln>
          <a:effectLst/>
        </c:spPr>
      </c:pivotFmt>
      <c:pivotFmt>
        <c:idx val="2"/>
        <c:spPr>
          <a:solidFill>
            <a:srgbClr val="16AA9F"/>
          </a:solidFill>
          <a:ln w="19050">
            <a:noFill/>
          </a:ln>
          <a:effectLst/>
        </c:spPr>
      </c:pivotFmt>
      <c:pivotFmt>
        <c:idx val="3"/>
        <c:spPr>
          <a:solidFill>
            <a:srgbClr val="19C1B5"/>
          </a:solidFill>
          <a:ln w="19050">
            <a:noFill/>
          </a:ln>
          <a:effectLst/>
        </c:spPr>
      </c:pivotFmt>
      <c:pivotFmt>
        <c:idx val="4"/>
        <c:spPr>
          <a:solidFill>
            <a:srgbClr val="45E7DB"/>
          </a:solidFill>
          <a:ln w="19050">
            <a:noFill/>
          </a:ln>
          <a:effectLst/>
        </c:spPr>
      </c:pivotFmt>
      <c:pivotFmt>
        <c:idx val="5"/>
        <c:spPr>
          <a:solidFill>
            <a:srgbClr val="0F766E"/>
          </a:solidFill>
          <a:ln w="19050">
            <a:noFill/>
          </a:ln>
          <a:effectLst/>
        </c:spPr>
      </c:pivotFmt>
    </c:pivotFmts>
    <c:plotArea>
      <c:layout/>
      <c:pieChart>
        <c:varyColors val="1"/>
        <c:ser>
          <c:idx val="0"/>
          <c:order val="0"/>
          <c:tx>
            <c:strRef>
              <c:f>'SECTOR SHARE OF TOTAL MCAP'!$B$3</c:f>
              <c:strCache>
                <c:ptCount val="1"/>
                <c:pt idx="0">
                  <c:v>Total</c:v>
                </c:pt>
              </c:strCache>
            </c:strRef>
          </c:tx>
          <c:spPr>
            <a:solidFill>
              <a:srgbClr val="0F766E"/>
            </a:solidFill>
            <a:ln>
              <a:noFill/>
            </a:ln>
          </c:spPr>
          <c:explosion val="1"/>
          <c:dPt>
            <c:idx val="0"/>
            <c:bubble3D val="0"/>
            <c:spPr>
              <a:solidFill>
                <a:srgbClr val="0F766E"/>
              </a:solidFill>
              <a:ln w="19050">
                <a:noFill/>
              </a:ln>
              <a:effectLst/>
            </c:spPr>
            <c:extLst>
              <c:ext xmlns:c16="http://schemas.microsoft.com/office/drawing/2014/chart" uri="{C3380CC4-5D6E-409C-BE32-E72D297353CC}">
                <c16:uniqueId val="{00000001-040E-45FD-898C-048D88DA21D4}"/>
              </c:ext>
            </c:extLst>
          </c:dPt>
          <c:dPt>
            <c:idx val="1"/>
            <c:bubble3D val="0"/>
            <c:spPr>
              <a:solidFill>
                <a:srgbClr val="139188"/>
              </a:solidFill>
              <a:ln w="19050">
                <a:noFill/>
              </a:ln>
              <a:effectLst/>
            </c:spPr>
            <c:extLst>
              <c:ext xmlns:c16="http://schemas.microsoft.com/office/drawing/2014/chart" uri="{C3380CC4-5D6E-409C-BE32-E72D297353CC}">
                <c16:uniqueId val="{00000002-5E26-4AAD-98F3-996871DF9DD3}"/>
              </c:ext>
            </c:extLst>
          </c:dPt>
          <c:dPt>
            <c:idx val="2"/>
            <c:bubble3D val="0"/>
            <c:spPr>
              <a:solidFill>
                <a:srgbClr val="16AA9F"/>
              </a:solidFill>
              <a:ln w="19050">
                <a:noFill/>
              </a:ln>
              <a:effectLst/>
            </c:spPr>
            <c:extLst>
              <c:ext xmlns:c16="http://schemas.microsoft.com/office/drawing/2014/chart" uri="{C3380CC4-5D6E-409C-BE32-E72D297353CC}">
                <c16:uniqueId val="{00000003-5E26-4AAD-98F3-996871DF9DD3}"/>
              </c:ext>
            </c:extLst>
          </c:dPt>
          <c:dPt>
            <c:idx val="3"/>
            <c:bubble3D val="0"/>
            <c:spPr>
              <a:solidFill>
                <a:srgbClr val="19C1B5"/>
              </a:solidFill>
              <a:ln w="19050">
                <a:noFill/>
              </a:ln>
              <a:effectLst/>
            </c:spPr>
            <c:extLst>
              <c:ext xmlns:c16="http://schemas.microsoft.com/office/drawing/2014/chart" uri="{C3380CC4-5D6E-409C-BE32-E72D297353CC}">
                <c16:uniqueId val="{00000004-5E26-4AAD-98F3-996871DF9DD3}"/>
              </c:ext>
            </c:extLst>
          </c:dPt>
          <c:dPt>
            <c:idx val="4"/>
            <c:bubble3D val="0"/>
            <c:spPr>
              <a:solidFill>
                <a:srgbClr val="45E7DB"/>
              </a:solidFill>
              <a:ln w="19050">
                <a:noFill/>
              </a:ln>
              <a:effectLst/>
            </c:spPr>
            <c:extLst>
              <c:ext xmlns:c16="http://schemas.microsoft.com/office/drawing/2014/chart" uri="{C3380CC4-5D6E-409C-BE32-E72D297353CC}">
                <c16:uniqueId val="{00000005-5E26-4AAD-98F3-996871DF9DD3}"/>
              </c:ext>
            </c:extLst>
          </c:dPt>
          <c:cat>
            <c:strRef>
              <c:f>'SECTOR SHARE OF TOTAL MCAP'!$A$4:$A$9</c:f>
              <c:strCache>
                <c:ptCount val="5"/>
                <c:pt idx="0">
                  <c:v>Finance</c:v>
                </c:pt>
                <c:pt idx="1">
                  <c:v>Non-Energy Materials</c:v>
                </c:pt>
                <c:pt idx="2">
                  <c:v>Consumer Non-Cyclicals</c:v>
                </c:pt>
                <c:pt idx="3">
                  <c:v>Telecommunications</c:v>
                </c:pt>
                <c:pt idx="4">
                  <c:v>Consumer Cyclicals</c:v>
                </c:pt>
              </c:strCache>
            </c:strRef>
          </c:cat>
          <c:val>
            <c:numRef>
              <c:f>'SECTOR SHARE OF TOTAL MCAP'!$B$4:$B$9</c:f>
              <c:numCache>
                <c:formatCode>0.00%</c:formatCode>
                <c:ptCount val="5"/>
                <c:pt idx="0">
                  <c:v>0.34788900147002694</c:v>
                </c:pt>
                <c:pt idx="1">
                  <c:v>0.27290229915891162</c:v>
                </c:pt>
                <c:pt idx="2">
                  <c:v>0.18218216990690853</c:v>
                </c:pt>
                <c:pt idx="3">
                  <c:v>0.15962898298355685</c:v>
                </c:pt>
                <c:pt idx="4">
                  <c:v>3.7397546480596101E-2</c:v>
                </c:pt>
              </c:numCache>
            </c:numRef>
          </c:val>
          <c:extLst>
            <c:ext xmlns:c16="http://schemas.microsoft.com/office/drawing/2014/chart" uri="{C3380CC4-5D6E-409C-BE32-E72D297353CC}">
              <c16:uniqueId val="{00000000-5E26-4AAD-98F3-996871DF9DD3}"/>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50800" dir="5400000" algn="ctr" rotWithShape="0">
        <a:srgbClr val="0F766E"/>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'TOP 5 GAINERS'!$B$22</c:f>
              <c:strCache>
                <c:ptCount val="1"/>
                <c:pt idx="0">
                  <c:v>Sum of % Growth</c:v>
                </c:pt>
              </c:strCache>
            </c:strRef>
          </c:tx>
          <c:spPr>
            <a:solidFill>
              <a:srgbClr val="0F766E"/>
            </a:solidFill>
            <a:ln>
              <a:noFill/>
            </a:ln>
            <a:effectLst/>
          </c:spPr>
          <c:invertIfNegative val="0"/>
          <c:dPt>
            <c:idx val="1"/>
            <c:invertIfNegative val="0"/>
            <c:bubble3D val="0"/>
            <c:spPr>
              <a:solidFill>
                <a:srgbClr val="139188"/>
              </a:solidFill>
              <a:ln>
                <a:noFill/>
              </a:ln>
              <a:effectLst/>
            </c:spPr>
            <c:extLst>
              <c:ext xmlns:c16="http://schemas.microsoft.com/office/drawing/2014/chart" uri="{C3380CC4-5D6E-409C-BE32-E72D297353CC}">
                <c16:uniqueId val="{00000001-A5AB-4BD6-9C4F-BEE807888667}"/>
              </c:ext>
            </c:extLst>
          </c:dPt>
          <c:dPt>
            <c:idx val="2"/>
            <c:invertIfNegative val="0"/>
            <c:bubble3D val="0"/>
            <c:spPr>
              <a:solidFill>
                <a:srgbClr val="16AEA3"/>
              </a:solidFill>
              <a:ln>
                <a:noFill/>
              </a:ln>
              <a:effectLst/>
            </c:spPr>
            <c:extLst>
              <c:ext xmlns:c16="http://schemas.microsoft.com/office/drawing/2014/chart" uri="{C3380CC4-5D6E-409C-BE32-E72D297353CC}">
                <c16:uniqueId val="{00000002-A5AB-4BD6-9C4F-BEE807888667}"/>
              </c:ext>
            </c:extLst>
          </c:dPt>
          <c:dPt>
            <c:idx val="3"/>
            <c:invertIfNegative val="0"/>
            <c:bubble3D val="0"/>
            <c:spPr>
              <a:solidFill>
                <a:srgbClr val="16AEA3"/>
              </a:solidFill>
              <a:ln>
                <a:noFill/>
              </a:ln>
              <a:effectLst/>
            </c:spPr>
            <c:extLst>
              <c:ext xmlns:c16="http://schemas.microsoft.com/office/drawing/2014/chart" uri="{C3380CC4-5D6E-409C-BE32-E72D297353CC}">
                <c16:uniqueId val="{00000003-A5AB-4BD6-9C4F-BEE807888667}"/>
              </c:ext>
            </c:extLst>
          </c:dPt>
          <c:dPt>
            <c:idx val="4"/>
            <c:invertIfNegative val="0"/>
            <c:bubble3D val="0"/>
            <c:spPr>
              <a:solidFill>
                <a:srgbClr val="16AEA3"/>
              </a:solidFill>
              <a:ln>
                <a:noFill/>
              </a:ln>
              <a:effectLst/>
            </c:spPr>
            <c:extLst>
              <c:ext xmlns:c16="http://schemas.microsoft.com/office/drawing/2014/chart" uri="{C3380CC4-5D6E-409C-BE32-E72D297353CC}">
                <c16:uniqueId val="{00000004-A5AB-4BD6-9C4F-BEE807888667}"/>
              </c:ext>
            </c:extLst>
          </c:dPt>
          <c:dPt>
            <c:idx val="5"/>
            <c:invertIfNegative val="0"/>
            <c:bubble3D val="0"/>
            <c:spPr>
              <a:solidFill>
                <a:srgbClr val="16AEA3"/>
              </a:solidFill>
              <a:ln>
                <a:noFill/>
              </a:ln>
              <a:effectLst/>
            </c:spPr>
            <c:extLst>
              <c:ext xmlns:c16="http://schemas.microsoft.com/office/drawing/2014/chart" uri="{C3380CC4-5D6E-409C-BE32-E72D297353CC}">
                <c16:uniqueId val="{00000005-A5AB-4BD6-9C4F-BEE807888667}"/>
              </c:ext>
            </c:extLst>
          </c:dPt>
          <c:dPt>
            <c:idx val="6"/>
            <c:invertIfNegative val="0"/>
            <c:bubble3D val="0"/>
            <c:spPr>
              <a:solidFill>
                <a:srgbClr val="B1F5F0"/>
              </a:solidFill>
              <a:ln>
                <a:noFill/>
              </a:ln>
              <a:effectLst/>
            </c:spPr>
            <c:extLst>
              <c:ext xmlns:c16="http://schemas.microsoft.com/office/drawing/2014/chart" uri="{C3380CC4-5D6E-409C-BE32-E72D297353CC}">
                <c16:uniqueId val="{00000006-A5AB-4BD6-9C4F-BEE807888667}"/>
              </c:ext>
            </c:extLst>
          </c:dPt>
          <c:dPt>
            <c:idx val="7"/>
            <c:invertIfNegative val="0"/>
            <c:bubble3D val="0"/>
            <c:spPr>
              <a:solidFill>
                <a:srgbClr val="B1F5F0"/>
              </a:solidFill>
              <a:ln>
                <a:noFill/>
              </a:ln>
              <a:effectLst/>
            </c:spPr>
            <c:extLst>
              <c:ext xmlns:c16="http://schemas.microsoft.com/office/drawing/2014/chart" uri="{C3380CC4-5D6E-409C-BE32-E72D297353CC}">
                <c16:uniqueId val="{00000007-A5AB-4BD6-9C4F-BEE807888667}"/>
              </c:ext>
            </c:extLst>
          </c:dPt>
          <c:cat>
            <c:strRef>
              <c:f>'TOP 5 GAINERS'!$A$23:$A$30</c:f>
              <c:strCache>
                <c:ptCount val="8"/>
                <c:pt idx="0">
                  <c:v>Zambia Sugar</c:v>
                </c:pt>
                <c:pt idx="1">
                  <c:v>Seed Co</c:v>
                </c:pt>
                <c:pt idx="2">
                  <c:v>Arcelormittal South Africa</c:v>
                </c:pt>
                <c:pt idx="3">
                  <c:v>Econet Wireless</c:v>
                </c:pt>
                <c:pt idx="4">
                  <c:v>National Foods Holdings</c:v>
                </c:pt>
                <c:pt idx="5">
                  <c:v>Copperbelt Energy Corporation</c:v>
                </c:pt>
                <c:pt idx="6">
                  <c:v>Simbisa Brands</c:v>
                </c:pt>
                <c:pt idx="7">
                  <c:v>Delta Corporation</c:v>
                </c:pt>
              </c:strCache>
            </c:strRef>
          </c:cat>
          <c:val>
            <c:numRef>
              <c:f>'TOP 5 GAINERS'!$B$23:$B$30</c:f>
              <c:numCache>
                <c:formatCode>0.0%</c:formatCode>
                <c:ptCount val="8"/>
                <c:pt idx="0">
                  <c:v>7.3243243243243246</c:v>
                </c:pt>
                <c:pt idx="1">
                  <c:v>3.9523809523809526</c:v>
                </c:pt>
                <c:pt idx="2">
                  <c:v>2.7574257425742572</c:v>
                </c:pt>
                <c:pt idx="3">
                  <c:v>2.59400826446281</c:v>
                </c:pt>
                <c:pt idx="4">
                  <c:v>2.375</c:v>
                </c:pt>
                <c:pt idx="5">
                  <c:v>2.3333333333333335</c:v>
                </c:pt>
                <c:pt idx="6">
                  <c:v>2.3018867924528301</c:v>
                </c:pt>
                <c:pt idx="7">
                  <c:v>2.1379800853485063</c:v>
                </c:pt>
              </c:numCache>
            </c:numRef>
          </c:val>
          <c:extLst>
            <c:ext xmlns:c16="http://schemas.microsoft.com/office/drawing/2014/chart" uri="{C3380CC4-5D6E-409C-BE32-E72D297353CC}">
              <c16:uniqueId val="{00000000-A5AB-4BD6-9C4F-BEE807888667}"/>
            </c:ext>
          </c:extLst>
        </c:ser>
        <c:dLbls>
          <c:showLegendKey val="0"/>
          <c:showVal val="0"/>
          <c:showCatName val="0"/>
          <c:showSerName val="0"/>
          <c:showPercent val="0"/>
          <c:showBubbleSize val="0"/>
        </c:dLbls>
        <c:gapWidth val="20"/>
        <c:overlap val="-27"/>
        <c:axId val="598226672"/>
        <c:axId val="598227032"/>
      </c:barChart>
      <c:catAx>
        <c:axId val="598226672"/>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98227032"/>
        <c:crosses val="autoZero"/>
        <c:auto val="1"/>
        <c:lblAlgn val="ctr"/>
        <c:lblOffset val="100"/>
        <c:noMultiLvlLbl val="0"/>
      </c:catAx>
      <c:valAx>
        <c:axId val="598227032"/>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crossAx val="598226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50800" dir="5400000" algn="ctr" rotWithShape="0">
        <a:srgbClr val="0F766E"/>
      </a:outerShdw>
    </a:effectLst>
  </c:spPr>
  <c:txPr>
    <a:bodyPr/>
    <a:lstStyle/>
    <a:p>
      <a:pPr>
        <a:defRPr/>
      </a:pPr>
      <a:endParaRPr lang="en-N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 GEORGE NZUBECHI CHIBUIKEM.xlsx]TOP 5 LOSERS!PivotTable4</c:name>
    <c:fmtId val="0"/>
  </c:pivotSource>
  <c:chart>
    <c:autoTitleDeleted val="1"/>
    <c:pivotFmts>
      <c:pivotFmt>
        <c:idx val="0"/>
        <c:spPr>
          <a:solidFill>
            <a:srgbClr val="0F76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29289"/>
          </a:solidFill>
          <a:ln>
            <a:noFill/>
          </a:ln>
          <a:effectLst/>
        </c:spPr>
      </c:pivotFmt>
      <c:pivotFmt>
        <c:idx val="2"/>
        <c:spPr>
          <a:solidFill>
            <a:srgbClr val="16AEA3"/>
          </a:solidFill>
          <a:ln>
            <a:noFill/>
          </a:ln>
          <a:effectLst/>
        </c:spPr>
      </c:pivotFmt>
      <c:pivotFmt>
        <c:idx val="3"/>
        <c:spPr>
          <a:solidFill>
            <a:srgbClr val="16AEA3"/>
          </a:solidFill>
          <a:ln>
            <a:noFill/>
          </a:ln>
          <a:effectLst/>
        </c:spPr>
      </c:pivotFmt>
      <c:pivotFmt>
        <c:idx val="4"/>
        <c:spPr>
          <a:solidFill>
            <a:srgbClr val="16AEA3"/>
          </a:solidFill>
          <a:ln>
            <a:noFill/>
          </a:ln>
          <a:effectLst/>
        </c:spPr>
      </c:pivotFmt>
      <c:pivotFmt>
        <c:idx val="5"/>
        <c:spPr>
          <a:solidFill>
            <a:srgbClr val="B1F5F0"/>
          </a:solidFill>
          <a:ln>
            <a:noFill/>
          </a:ln>
          <a:effectLst/>
        </c:spPr>
      </c:pivotFmt>
      <c:pivotFmt>
        <c:idx val="6"/>
        <c:spPr>
          <a:solidFill>
            <a:srgbClr val="B1F5F0"/>
          </a:solidFill>
          <a:ln>
            <a:noFill/>
          </a:ln>
          <a:effectLst/>
        </c:spPr>
      </c:pivotFmt>
    </c:pivotFmts>
    <c:plotArea>
      <c:layout/>
      <c:barChart>
        <c:barDir val="col"/>
        <c:grouping val="clustered"/>
        <c:varyColors val="0"/>
        <c:ser>
          <c:idx val="0"/>
          <c:order val="0"/>
          <c:tx>
            <c:strRef>
              <c:f>'TOP 5 LOSERS'!$B$3</c:f>
              <c:strCache>
                <c:ptCount val="1"/>
                <c:pt idx="0">
                  <c:v>Total</c:v>
                </c:pt>
              </c:strCache>
            </c:strRef>
          </c:tx>
          <c:spPr>
            <a:solidFill>
              <a:srgbClr val="0F766E"/>
            </a:solidFill>
            <a:ln>
              <a:noFill/>
            </a:ln>
            <a:effectLst/>
          </c:spPr>
          <c:invertIfNegative val="0"/>
          <c:dPt>
            <c:idx val="2"/>
            <c:invertIfNegative val="0"/>
            <c:bubble3D val="0"/>
            <c:spPr>
              <a:solidFill>
                <a:srgbClr val="129289"/>
              </a:solidFill>
              <a:ln>
                <a:noFill/>
              </a:ln>
              <a:effectLst/>
            </c:spPr>
            <c:extLst>
              <c:ext xmlns:c16="http://schemas.microsoft.com/office/drawing/2014/chart" uri="{C3380CC4-5D6E-409C-BE32-E72D297353CC}">
                <c16:uniqueId val="{00000002-E7EA-475B-B013-0B9834249780}"/>
              </c:ext>
            </c:extLst>
          </c:dPt>
          <c:dPt>
            <c:idx val="3"/>
            <c:invertIfNegative val="0"/>
            <c:bubble3D val="0"/>
            <c:spPr>
              <a:solidFill>
                <a:srgbClr val="16AEA3"/>
              </a:solidFill>
              <a:ln>
                <a:noFill/>
              </a:ln>
              <a:effectLst/>
            </c:spPr>
            <c:extLst>
              <c:ext xmlns:c16="http://schemas.microsoft.com/office/drawing/2014/chart" uri="{C3380CC4-5D6E-409C-BE32-E72D297353CC}">
                <c16:uniqueId val="{00000003-E7EA-475B-B013-0B9834249780}"/>
              </c:ext>
            </c:extLst>
          </c:dPt>
          <c:dPt>
            <c:idx val="4"/>
            <c:invertIfNegative val="0"/>
            <c:bubble3D val="0"/>
            <c:spPr>
              <a:solidFill>
                <a:srgbClr val="16AEA3"/>
              </a:solidFill>
              <a:ln>
                <a:noFill/>
              </a:ln>
              <a:effectLst/>
            </c:spPr>
            <c:extLst>
              <c:ext xmlns:c16="http://schemas.microsoft.com/office/drawing/2014/chart" uri="{C3380CC4-5D6E-409C-BE32-E72D297353CC}">
                <c16:uniqueId val="{00000004-E7EA-475B-B013-0B9834249780}"/>
              </c:ext>
            </c:extLst>
          </c:dPt>
          <c:dPt>
            <c:idx val="5"/>
            <c:invertIfNegative val="0"/>
            <c:bubble3D val="0"/>
            <c:spPr>
              <a:solidFill>
                <a:srgbClr val="16AEA3"/>
              </a:solidFill>
              <a:ln>
                <a:noFill/>
              </a:ln>
              <a:effectLst/>
            </c:spPr>
            <c:extLst>
              <c:ext xmlns:c16="http://schemas.microsoft.com/office/drawing/2014/chart" uri="{C3380CC4-5D6E-409C-BE32-E72D297353CC}">
                <c16:uniqueId val="{00000005-E7EA-475B-B013-0B9834249780}"/>
              </c:ext>
            </c:extLst>
          </c:dPt>
          <c:dPt>
            <c:idx val="6"/>
            <c:invertIfNegative val="0"/>
            <c:bubble3D val="0"/>
            <c:spPr>
              <a:solidFill>
                <a:srgbClr val="B1F5F0"/>
              </a:solidFill>
              <a:ln>
                <a:noFill/>
              </a:ln>
              <a:effectLst/>
            </c:spPr>
            <c:extLst>
              <c:ext xmlns:c16="http://schemas.microsoft.com/office/drawing/2014/chart" uri="{C3380CC4-5D6E-409C-BE32-E72D297353CC}">
                <c16:uniqueId val="{00000006-E7EA-475B-B013-0B9834249780}"/>
              </c:ext>
            </c:extLst>
          </c:dPt>
          <c:dPt>
            <c:idx val="7"/>
            <c:invertIfNegative val="0"/>
            <c:bubble3D val="0"/>
            <c:spPr>
              <a:solidFill>
                <a:srgbClr val="B1F5F0"/>
              </a:solidFill>
              <a:ln>
                <a:noFill/>
              </a:ln>
              <a:effectLst/>
            </c:spPr>
            <c:extLst>
              <c:ext xmlns:c16="http://schemas.microsoft.com/office/drawing/2014/chart" uri="{C3380CC4-5D6E-409C-BE32-E72D297353CC}">
                <c16:uniqueId val="{00000007-E7EA-475B-B013-0B9834249780}"/>
              </c:ext>
            </c:extLst>
          </c:dPt>
          <c:cat>
            <c:strRef>
              <c:f>'TOP 5 LOSERS'!$A$4:$A$12</c:f>
              <c:strCache>
                <c:ptCount val="8"/>
                <c:pt idx="0">
                  <c:v>Naspers</c:v>
                </c:pt>
                <c:pt idx="1">
                  <c:v>Fawry For Banking Technology And Electronic Payment</c:v>
                </c:pt>
                <c:pt idx="2">
                  <c:v>CBZ</c:v>
                </c:pt>
                <c:pt idx="3">
                  <c:v>Northam Platinum</c:v>
                </c:pt>
                <c:pt idx="4">
                  <c:v>Guaranty Trust Holding Company</c:v>
                </c:pt>
                <c:pt idx="5">
                  <c:v>Cairo Investment &amp; Real Estate Development</c:v>
                </c:pt>
                <c:pt idx="6">
                  <c:v>Edita Food Industries</c:v>
                </c:pt>
                <c:pt idx="7">
                  <c:v>Tiger Brands</c:v>
                </c:pt>
              </c:strCache>
            </c:strRef>
          </c:cat>
          <c:val>
            <c:numRef>
              <c:f>'TOP 5 LOSERS'!$B$4:$B$12</c:f>
              <c:numCache>
                <c:formatCode>0.0%</c:formatCode>
                <c:ptCount val="8"/>
                <c:pt idx="0">
                  <c:v>-0.52385110691015169</c:v>
                </c:pt>
                <c:pt idx="1">
                  <c:v>-0.51543694400837259</c:v>
                </c:pt>
                <c:pt idx="2">
                  <c:v>-0.41578947368421054</c:v>
                </c:pt>
                <c:pt idx="3">
                  <c:v>-0.33389601620526671</c:v>
                </c:pt>
                <c:pt idx="4">
                  <c:v>-0.32867429055484965</c:v>
                </c:pt>
                <c:pt idx="5">
                  <c:v>-0.32786885245901637</c:v>
                </c:pt>
                <c:pt idx="6">
                  <c:v>-0.2423469387755102</c:v>
                </c:pt>
                <c:pt idx="7">
                  <c:v>-0.23735695828719083</c:v>
                </c:pt>
              </c:numCache>
            </c:numRef>
          </c:val>
          <c:extLst>
            <c:ext xmlns:c16="http://schemas.microsoft.com/office/drawing/2014/chart" uri="{C3380CC4-5D6E-409C-BE32-E72D297353CC}">
              <c16:uniqueId val="{00000000-E7EA-475B-B013-0B9834249780}"/>
            </c:ext>
          </c:extLst>
        </c:ser>
        <c:dLbls>
          <c:showLegendKey val="0"/>
          <c:showVal val="0"/>
          <c:showCatName val="0"/>
          <c:showSerName val="0"/>
          <c:showPercent val="0"/>
          <c:showBubbleSize val="0"/>
        </c:dLbls>
        <c:gapWidth val="20"/>
        <c:overlap val="-27"/>
        <c:axId val="598927552"/>
        <c:axId val="598924312"/>
      </c:barChart>
      <c:catAx>
        <c:axId val="598927552"/>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98924312"/>
        <c:crosses val="autoZero"/>
        <c:auto val="1"/>
        <c:lblAlgn val="ctr"/>
        <c:lblOffset val="100"/>
        <c:noMultiLvlLbl val="0"/>
      </c:catAx>
      <c:valAx>
        <c:axId val="598924312"/>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crossAx val="598927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50800" dir="5400000" algn="ctr" rotWithShape="0">
        <a:srgbClr val="0F766E"/>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 GEORGE NZUBECHI CHIBUIKEM.xlsx]PROFITABILITY BY SECTOR!PivotTable16</c:name>
    <c:fmtId val="0"/>
  </c:pivotSource>
  <c:chart>
    <c:autoTitleDeleted val="1"/>
    <c:pivotFmts>
      <c:pivotFmt>
        <c:idx val="0"/>
        <c:spPr>
          <a:solidFill>
            <a:srgbClr val="0F76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39188"/>
          </a:solidFill>
          <a:ln>
            <a:noFill/>
          </a:ln>
          <a:effectLst/>
        </c:spPr>
      </c:pivotFmt>
      <c:pivotFmt>
        <c:idx val="2"/>
        <c:spPr>
          <a:solidFill>
            <a:srgbClr val="139188"/>
          </a:solidFill>
          <a:ln>
            <a:noFill/>
          </a:ln>
          <a:effectLst/>
        </c:spPr>
      </c:pivotFmt>
      <c:pivotFmt>
        <c:idx val="3"/>
        <c:spPr>
          <a:solidFill>
            <a:srgbClr val="16AA9F"/>
          </a:solidFill>
          <a:ln>
            <a:noFill/>
          </a:ln>
          <a:effectLst/>
        </c:spPr>
      </c:pivotFmt>
      <c:pivotFmt>
        <c:idx val="4"/>
        <c:spPr>
          <a:solidFill>
            <a:srgbClr val="16AA9F"/>
          </a:solidFill>
          <a:ln>
            <a:noFill/>
          </a:ln>
          <a:effectLst/>
        </c:spPr>
      </c:pivotFmt>
      <c:pivotFmt>
        <c:idx val="5"/>
        <c:spPr>
          <a:solidFill>
            <a:srgbClr val="16AA9F"/>
          </a:solidFill>
          <a:ln>
            <a:noFill/>
          </a:ln>
          <a:effectLst/>
        </c:spPr>
      </c:pivotFmt>
      <c:pivotFmt>
        <c:idx val="6"/>
        <c:spPr>
          <a:solidFill>
            <a:srgbClr val="19C1B5"/>
          </a:solidFill>
          <a:ln>
            <a:noFill/>
          </a:ln>
          <a:effectLst/>
        </c:spPr>
      </c:pivotFmt>
      <c:pivotFmt>
        <c:idx val="7"/>
        <c:spPr>
          <a:solidFill>
            <a:srgbClr val="1DE1D3"/>
          </a:solidFill>
          <a:ln>
            <a:noFill/>
          </a:ln>
          <a:effectLst/>
        </c:spPr>
      </c:pivotFmt>
      <c:pivotFmt>
        <c:idx val="8"/>
        <c:spPr>
          <a:solidFill>
            <a:srgbClr val="5FEBE1"/>
          </a:solidFill>
          <a:ln>
            <a:noFill/>
          </a:ln>
          <a:effectLst/>
        </c:spPr>
      </c:pivotFmt>
      <c:pivotFmt>
        <c:idx val="9"/>
        <c:spPr>
          <a:solidFill>
            <a:srgbClr val="BFF7F3"/>
          </a:solidFill>
          <a:ln>
            <a:noFill/>
          </a:ln>
          <a:effectLst/>
        </c:spPr>
      </c:pivotFmt>
    </c:pivotFmts>
    <c:plotArea>
      <c:layout/>
      <c:barChart>
        <c:barDir val="bar"/>
        <c:grouping val="clustered"/>
        <c:varyColors val="0"/>
        <c:ser>
          <c:idx val="0"/>
          <c:order val="0"/>
          <c:tx>
            <c:strRef>
              <c:f>'PROFITABILITY BY SECTOR'!$B$3</c:f>
              <c:strCache>
                <c:ptCount val="1"/>
                <c:pt idx="0">
                  <c:v>Total</c:v>
                </c:pt>
              </c:strCache>
            </c:strRef>
          </c:tx>
          <c:spPr>
            <a:solidFill>
              <a:srgbClr val="0F766E"/>
            </a:solidFill>
            <a:ln>
              <a:noFill/>
            </a:ln>
            <a:effectLst/>
          </c:spPr>
          <c:invertIfNegative val="0"/>
          <c:dPt>
            <c:idx val="1"/>
            <c:invertIfNegative val="0"/>
            <c:bubble3D val="0"/>
            <c:spPr>
              <a:solidFill>
                <a:srgbClr val="139188"/>
              </a:solidFill>
              <a:ln>
                <a:noFill/>
              </a:ln>
              <a:effectLst/>
            </c:spPr>
            <c:extLst>
              <c:ext xmlns:c16="http://schemas.microsoft.com/office/drawing/2014/chart" uri="{C3380CC4-5D6E-409C-BE32-E72D297353CC}">
                <c16:uniqueId val="{00000002-BA5E-4D4A-8E3B-6D9DDF1554D1}"/>
              </c:ext>
            </c:extLst>
          </c:dPt>
          <c:dPt>
            <c:idx val="2"/>
            <c:invertIfNegative val="0"/>
            <c:bubble3D val="0"/>
            <c:spPr>
              <a:solidFill>
                <a:srgbClr val="139188"/>
              </a:solidFill>
              <a:ln>
                <a:noFill/>
              </a:ln>
              <a:effectLst/>
            </c:spPr>
            <c:extLst>
              <c:ext xmlns:c16="http://schemas.microsoft.com/office/drawing/2014/chart" uri="{C3380CC4-5D6E-409C-BE32-E72D297353CC}">
                <c16:uniqueId val="{00000003-BA5E-4D4A-8E3B-6D9DDF1554D1}"/>
              </c:ext>
            </c:extLst>
          </c:dPt>
          <c:dPt>
            <c:idx val="3"/>
            <c:invertIfNegative val="0"/>
            <c:bubble3D val="0"/>
            <c:spPr>
              <a:solidFill>
                <a:srgbClr val="16AA9F"/>
              </a:solidFill>
              <a:ln>
                <a:noFill/>
              </a:ln>
              <a:effectLst/>
            </c:spPr>
            <c:extLst>
              <c:ext xmlns:c16="http://schemas.microsoft.com/office/drawing/2014/chart" uri="{C3380CC4-5D6E-409C-BE32-E72D297353CC}">
                <c16:uniqueId val="{00000004-BA5E-4D4A-8E3B-6D9DDF1554D1}"/>
              </c:ext>
            </c:extLst>
          </c:dPt>
          <c:dPt>
            <c:idx val="4"/>
            <c:invertIfNegative val="0"/>
            <c:bubble3D val="0"/>
            <c:spPr>
              <a:solidFill>
                <a:srgbClr val="16AA9F"/>
              </a:solidFill>
              <a:ln>
                <a:noFill/>
              </a:ln>
              <a:effectLst/>
            </c:spPr>
            <c:extLst>
              <c:ext xmlns:c16="http://schemas.microsoft.com/office/drawing/2014/chart" uri="{C3380CC4-5D6E-409C-BE32-E72D297353CC}">
                <c16:uniqueId val="{00000005-BA5E-4D4A-8E3B-6D9DDF1554D1}"/>
              </c:ext>
            </c:extLst>
          </c:dPt>
          <c:dPt>
            <c:idx val="5"/>
            <c:invertIfNegative val="0"/>
            <c:bubble3D val="0"/>
            <c:spPr>
              <a:solidFill>
                <a:srgbClr val="16AA9F"/>
              </a:solidFill>
              <a:ln>
                <a:noFill/>
              </a:ln>
              <a:effectLst/>
            </c:spPr>
            <c:extLst>
              <c:ext xmlns:c16="http://schemas.microsoft.com/office/drawing/2014/chart" uri="{C3380CC4-5D6E-409C-BE32-E72D297353CC}">
                <c16:uniqueId val="{00000006-BA5E-4D4A-8E3B-6D9DDF1554D1}"/>
              </c:ext>
            </c:extLst>
          </c:dPt>
          <c:dPt>
            <c:idx val="6"/>
            <c:invertIfNegative val="0"/>
            <c:bubble3D val="0"/>
            <c:spPr>
              <a:solidFill>
                <a:srgbClr val="19C1B5"/>
              </a:solidFill>
              <a:ln>
                <a:noFill/>
              </a:ln>
              <a:effectLst/>
            </c:spPr>
            <c:extLst>
              <c:ext xmlns:c16="http://schemas.microsoft.com/office/drawing/2014/chart" uri="{C3380CC4-5D6E-409C-BE32-E72D297353CC}">
                <c16:uniqueId val="{00000007-BA5E-4D4A-8E3B-6D9DDF1554D1}"/>
              </c:ext>
            </c:extLst>
          </c:dPt>
          <c:dPt>
            <c:idx val="7"/>
            <c:invertIfNegative val="0"/>
            <c:bubble3D val="0"/>
            <c:spPr>
              <a:solidFill>
                <a:srgbClr val="1DE1D3"/>
              </a:solidFill>
              <a:ln>
                <a:noFill/>
              </a:ln>
              <a:effectLst/>
            </c:spPr>
            <c:extLst>
              <c:ext xmlns:c16="http://schemas.microsoft.com/office/drawing/2014/chart" uri="{C3380CC4-5D6E-409C-BE32-E72D297353CC}">
                <c16:uniqueId val="{00000008-BA5E-4D4A-8E3B-6D9DDF1554D1}"/>
              </c:ext>
            </c:extLst>
          </c:dPt>
          <c:dPt>
            <c:idx val="8"/>
            <c:invertIfNegative val="0"/>
            <c:bubble3D val="0"/>
            <c:spPr>
              <a:solidFill>
                <a:srgbClr val="5FEBE1"/>
              </a:solidFill>
              <a:ln>
                <a:noFill/>
              </a:ln>
              <a:effectLst/>
            </c:spPr>
            <c:extLst>
              <c:ext xmlns:c16="http://schemas.microsoft.com/office/drawing/2014/chart" uri="{C3380CC4-5D6E-409C-BE32-E72D297353CC}">
                <c16:uniqueId val="{00000009-BA5E-4D4A-8E3B-6D9DDF1554D1}"/>
              </c:ext>
            </c:extLst>
          </c:dPt>
          <c:dPt>
            <c:idx val="9"/>
            <c:invertIfNegative val="0"/>
            <c:bubble3D val="0"/>
            <c:spPr>
              <a:solidFill>
                <a:srgbClr val="BFF7F3"/>
              </a:solidFill>
              <a:ln>
                <a:noFill/>
              </a:ln>
              <a:effectLst/>
            </c:spPr>
            <c:extLst>
              <c:ext xmlns:c16="http://schemas.microsoft.com/office/drawing/2014/chart" uri="{C3380CC4-5D6E-409C-BE32-E72D297353CC}">
                <c16:uniqueId val="{0000000A-BA5E-4D4A-8E3B-6D9DDF1554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'PROFITABILITY BY SECTOR'!$A$4:$A$14</c:f>
              <c:strCache>
                <c:ptCount val="10"/>
                <c:pt idx="0">
                  <c:v>Finance</c:v>
                </c:pt>
                <c:pt idx="1">
                  <c:v>Non-Energy Materials</c:v>
                </c:pt>
                <c:pt idx="2">
                  <c:v>Energy</c:v>
                </c:pt>
                <c:pt idx="3">
                  <c:v>Telecommunications</c:v>
                </c:pt>
                <c:pt idx="4">
                  <c:v>Consumer Services</c:v>
                </c:pt>
                <c:pt idx="5">
                  <c:v>Utilities</c:v>
                </c:pt>
                <c:pt idx="6">
                  <c:v>Consumer Non-Cyclicals</c:v>
                </c:pt>
                <c:pt idx="7">
                  <c:v>Healthcare</c:v>
                </c:pt>
                <c:pt idx="8">
                  <c:v>Industrials</c:v>
                </c:pt>
                <c:pt idx="9">
                  <c:v>Consumer Cyclicals</c:v>
                </c:pt>
              </c:strCache>
            </c:strRef>
          </c:cat>
          <c:val>
            <c:numRef>
              <c:f>'PROFITABILITY BY SECTOR'!$B$4:$B$14</c:f>
              <c:numCache>
                <c:formatCode>0%</c:formatCode>
                <c:ptCount val="10"/>
                <c:pt idx="0">
                  <c:v>0.29783227510287363</c:v>
                </c:pt>
                <c:pt idx="1">
                  <c:v>0.18890862176202847</c:v>
                </c:pt>
                <c:pt idx="2">
                  <c:v>0.18766848880745432</c:v>
                </c:pt>
                <c:pt idx="3">
                  <c:v>0.14584257390867592</c:v>
                </c:pt>
                <c:pt idx="4">
                  <c:v>0.13522468099126922</c:v>
                </c:pt>
                <c:pt idx="5">
                  <c:v>0.13098226936502808</c:v>
                </c:pt>
                <c:pt idx="6">
                  <c:v>0.1133309803399152</c:v>
                </c:pt>
                <c:pt idx="7">
                  <c:v>9.2789120927196822E-2</c:v>
                </c:pt>
                <c:pt idx="8">
                  <c:v>8.1967632962951037E-2</c:v>
                </c:pt>
                <c:pt idx="9">
                  <c:v>5.908017834484821E-2</c:v>
                </c:pt>
              </c:numCache>
            </c:numRef>
          </c:val>
          <c:extLst>
            <c:ext xmlns:c16="http://schemas.microsoft.com/office/drawing/2014/chart" uri="{C3380CC4-5D6E-409C-BE32-E72D297353CC}">
              <c16:uniqueId val="{00000000-BA5E-4D4A-8E3B-6D9DDF1554D1}"/>
            </c:ext>
          </c:extLst>
        </c:ser>
        <c:dLbls>
          <c:dLblPos val="outEnd"/>
          <c:showLegendKey val="0"/>
          <c:showVal val="1"/>
          <c:showCatName val="0"/>
          <c:showSerName val="0"/>
          <c:showPercent val="0"/>
          <c:showBubbleSize val="0"/>
        </c:dLbls>
        <c:gapWidth val="20"/>
        <c:axId val="601869248"/>
        <c:axId val="601871048"/>
      </c:barChart>
      <c:catAx>
        <c:axId val="60186924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1871048"/>
        <c:crosses val="autoZero"/>
        <c:auto val="1"/>
        <c:lblAlgn val="ctr"/>
        <c:lblOffset val="100"/>
        <c:noMultiLvlLbl val="0"/>
      </c:catAx>
      <c:valAx>
        <c:axId val="601871048"/>
        <c:scaling>
          <c:orientation val="minMax"/>
        </c:scaling>
        <c:delete val="1"/>
        <c:axPos val="t"/>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601869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50800" dir="5400000" algn="ctr" rotWithShape="0">
        <a:srgbClr val="0F766E"/>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F766E"/>
                </a:solidFill>
                <a:latin typeface="+mn-lt"/>
                <a:ea typeface="+mn-ea"/>
                <a:cs typeface="+mn-cs"/>
              </a:defRPr>
            </a:pPr>
            <a:r>
              <a:rPr lang="en-US" b="1">
                <a:solidFill>
                  <a:srgbClr val="0F766E"/>
                </a:solidFill>
              </a:rPr>
              <a:t>TOP 8 GAINERS</a:t>
            </a:r>
          </a:p>
        </c:rich>
      </c:tx>
      <c:layout>
        <c:manualLayout>
          <c:xMode val="edge"/>
          <c:yMode val="edge"/>
          <c:x val="1.907670288189749E-2"/>
          <c:y val="2.78213678328030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F766E"/>
              </a:solidFill>
              <a:latin typeface="+mn-lt"/>
              <a:ea typeface="+mn-ea"/>
              <a:cs typeface="+mn-cs"/>
            </a:defRPr>
          </a:pPr>
          <a:endParaRPr lang="en-NG"/>
        </a:p>
      </c:txPr>
    </c:title>
    <c:autoTitleDeleted val="0"/>
    <c:plotArea>
      <c:layout/>
      <c:barChart>
        <c:barDir val="col"/>
        <c:grouping val="clustered"/>
        <c:varyColors val="0"/>
        <c:ser>
          <c:idx val="0"/>
          <c:order val="0"/>
          <c:tx>
            <c:strRef>
              <c:f>'TOP 5 GAINERS'!$B$22</c:f>
              <c:strCache>
                <c:ptCount val="1"/>
                <c:pt idx="0">
                  <c:v>Sum of % Growth</c:v>
                </c:pt>
              </c:strCache>
            </c:strRef>
          </c:tx>
          <c:spPr>
            <a:solidFill>
              <a:srgbClr val="0F766E"/>
            </a:solidFill>
            <a:ln>
              <a:noFill/>
            </a:ln>
            <a:effectLst/>
          </c:spPr>
          <c:invertIfNegative val="0"/>
          <c:dPt>
            <c:idx val="1"/>
            <c:invertIfNegative val="0"/>
            <c:bubble3D val="0"/>
            <c:spPr>
              <a:solidFill>
                <a:srgbClr val="139188"/>
              </a:solidFill>
              <a:ln>
                <a:noFill/>
              </a:ln>
              <a:effectLst/>
            </c:spPr>
            <c:extLst>
              <c:ext xmlns:c16="http://schemas.microsoft.com/office/drawing/2014/chart" uri="{C3380CC4-5D6E-409C-BE32-E72D297353CC}">
                <c16:uniqueId val="{00000001-F465-4584-B109-B1818A0099F0}"/>
              </c:ext>
            </c:extLst>
          </c:dPt>
          <c:dPt>
            <c:idx val="2"/>
            <c:invertIfNegative val="0"/>
            <c:bubble3D val="0"/>
            <c:spPr>
              <a:solidFill>
                <a:srgbClr val="16AEA3"/>
              </a:solidFill>
              <a:ln>
                <a:noFill/>
              </a:ln>
              <a:effectLst/>
            </c:spPr>
            <c:extLst>
              <c:ext xmlns:c16="http://schemas.microsoft.com/office/drawing/2014/chart" uri="{C3380CC4-5D6E-409C-BE32-E72D297353CC}">
                <c16:uniqueId val="{00000003-F465-4584-B109-B1818A0099F0}"/>
              </c:ext>
            </c:extLst>
          </c:dPt>
          <c:dPt>
            <c:idx val="3"/>
            <c:invertIfNegative val="0"/>
            <c:bubble3D val="0"/>
            <c:spPr>
              <a:solidFill>
                <a:srgbClr val="16AEA3"/>
              </a:solidFill>
              <a:ln>
                <a:noFill/>
              </a:ln>
              <a:effectLst/>
            </c:spPr>
            <c:extLst>
              <c:ext xmlns:c16="http://schemas.microsoft.com/office/drawing/2014/chart" uri="{C3380CC4-5D6E-409C-BE32-E72D297353CC}">
                <c16:uniqueId val="{00000005-F465-4584-B109-B1818A0099F0}"/>
              </c:ext>
            </c:extLst>
          </c:dPt>
          <c:dPt>
            <c:idx val="4"/>
            <c:invertIfNegative val="0"/>
            <c:bubble3D val="0"/>
            <c:spPr>
              <a:solidFill>
                <a:srgbClr val="16AEA3"/>
              </a:solidFill>
              <a:ln>
                <a:noFill/>
              </a:ln>
              <a:effectLst/>
            </c:spPr>
            <c:extLst>
              <c:ext xmlns:c16="http://schemas.microsoft.com/office/drawing/2014/chart" uri="{C3380CC4-5D6E-409C-BE32-E72D297353CC}">
                <c16:uniqueId val="{00000007-F465-4584-B109-B1818A0099F0}"/>
              </c:ext>
            </c:extLst>
          </c:dPt>
          <c:dPt>
            <c:idx val="5"/>
            <c:invertIfNegative val="0"/>
            <c:bubble3D val="0"/>
            <c:spPr>
              <a:solidFill>
                <a:srgbClr val="16AEA3"/>
              </a:solidFill>
              <a:ln>
                <a:noFill/>
              </a:ln>
              <a:effectLst/>
            </c:spPr>
            <c:extLst>
              <c:ext xmlns:c16="http://schemas.microsoft.com/office/drawing/2014/chart" uri="{C3380CC4-5D6E-409C-BE32-E72D297353CC}">
                <c16:uniqueId val="{00000009-F465-4584-B109-B1818A0099F0}"/>
              </c:ext>
            </c:extLst>
          </c:dPt>
          <c:dPt>
            <c:idx val="6"/>
            <c:invertIfNegative val="0"/>
            <c:bubble3D val="0"/>
            <c:spPr>
              <a:solidFill>
                <a:srgbClr val="B1F5F0"/>
              </a:solidFill>
              <a:ln>
                <a:noFill/>
              </a:ln>
              <a:effectLst/>
            </c:spPr>
            <c:extLst>
              <c:ext xmlns:c16="http://schemas.microsoft.com/office/drawing/2014/chart" uri="{C3380CC4-5D6E-409C-BE32-E72D297353CC}">
                <c16:uniqueId val="{0000000B-F465-4584-B109-B1818A0099F0}"/>
              </c:ext>
            </c:extLst>
          </c:dPt>
          <c:dPt>
            <c:idx val="7"/>
            <c:invertIfNegative val="0"/>
            <c:bubble3D val="0"/>
            <c:spPr>
              <a:solidFill>
                <a:srgbClr val="B1F5F0"/>
              </a:solidFill>
              <a:ln>
                <a:noFill/>
              </a:ln>
              <a:effectLst/>
            </c:spPr>
            <c:extLst>
              <c:ext xmlns:c16="http://schemas.microsoft.com/office/drawing/2014/chart" uri="{C3380CC4-5D6E-409C-BE32-E72D297353CC}">
                <c16:uniqueId val="{0000000D-F465-4584-B109-B1818A0099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F766E"/>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GAINERS'!$A$23:$A$30</c:f>
              <c:strCache>
                <c:ptCount val="8"/>
                <c:pt idx="0">
                  <c:v>Zambia Sugar</c:v>
                </c:pt>
                <c:pt idx="1">
                  <c:v>Seed Co</c:v>
                </c:pt>
                <c:pt idx="2">
                  <c:v>Arcelormittal South Africa</c:v>
                </c:pt>
                <c:pt idx="3">
                  <c:v>Econet Wireless</c:v>
                </c:pt>
                <c:pt idx="4">
                  <c:v>National Foods Holdings</c:v>
                </c:pt>
                <c:pt idx="5">
                  <c:v>Copperbelt Energy Corporation</c:v>
                </c:pt>
                <c:pt idx="6">
                  <c:v>Simbisa Brands</c:v>
                </c:pt>
                <c:pt idx="7">
                  <c:v>Delta Corporation</c:v>
                </c:pt>
              </c:strCache>
            </c:strRef>
          </c:cat>
          <c:val>
            <c:numRef>
              <c:f>'TOP 5 GAINERS'!$B$23:$B$30</c:f>
              <c:numCache>
                <c:formatCode>0.0%</c:formatCode>
                <c:ptCount val="8"/>
                <c:pt idx="0">
                  <c:v>7.3243243243243246</c:v>
                </c:pt>
                <c:pt idx="1">
                  <c:v>3.9523809523809526</c:v>
                </c:pt>
                <c:pt idx="2">
                  <c:v>2.7574257425742572</c:v>
                </c:pt>
                <c:pt idx="3">
                  <c:v>2.59400826446281</c:v>
                </c:pt>
                <c:pt idx="4">
                  <c:v>2.375</c:v>
                </c:pt>
                <c:pt idx="5">
                  <c:v>2.3333333333333335</c:v>
                </c:pt>
                <c:pt idx="6">
                  <c:v>2.3018867924528301</c:v>
                </c:pt>
                <c:pt idx="7">
                  <c:v>2.1379800853485063</c:v>
                </c:pt>
              </c:numCache>
            </c:numRef>
          </c:val>
          <c:extLst>
            <c:ext xmlns:c16="http://schemas.microsoft.com/office/drawing/2014/chart" uri="{C3380CC4-5D6E-409C-BE32-E72D297353CC}">
              <c16:uniqueId val="{0000000E-F465-4584-B109-B1818A0099F0}"/>
            </c:ext>
          </c:extLst>
        </c:ser>
        <c:dLbls>
          <c:dLblPos val="outEnd"/>
          <c:showLegendKey val="0"/>
          <c:showVal val="1"/>
          <c:showCatName val="0"/>
          <c:showSerName val="0"/>
          <c:showPercent val="0"/>
          <c:showBubbleSize val="0"/>
        </c:dLbls>
        <c:gapWidth val="20"/>
        <c:overlap val="-27"/>
        <c:axId val="598226672"/>
        <c:axId val="598227032"/>
      </c:barChart>
      <c:catAx>
        <c:axId val="598226672"/>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F766E"/>
                </a:solidFill>
                <a:latin typeface="+mn-lt"/>
                <a:ea typeface="+mn-ea"/>
                <a:cs typeface="+mn-cs"/>
              </a:defRPr>
            </a:pPr>
            <a:endParaRPr lang="en-NG"/>
          </a:p>
        </c:txPr>
        <c:crossAx val="598227032"/>
        <c:crosses val="autoZero"/>
        <c:auto val="1"/>
        <c:lblAlgn val="ctr"/>
        <c:lblOffset val="100"/>
        <c:noMultiLvlLbl val="0"/>
      </c:catAx>
      <c:valAx>
        <c:axId val="598227032"/>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crossAx val="598226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50800" dir="5400000" algn="ctr" rotWithShape="0">
        <a:srgbClr val="0F766E"/>
      </a:outerShdw>
    </a:effectLst>
  </c:spPr>
  <c:txPr>
    <a:bodyPr/>
    <a:lstStyle/>
    <a:p>
      <a:pPr>
        <a:defRPr/>
      </a:pPr>
      <a:endParaRPr lang="en-NG"/>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 GEORGE NZUBECHI CHIBUIKEM.xlsx]TOP 5 LOSERS!PivotTable4</c:name>
    <c:fmtId val="2"/>
  </c:pivotSource>
  <c:chart>
    <c:title>
      <c:tx>
        <c:rich>
          <a:bodyPr rot="0" spcFirstLastPara="1" vertOverflow="ellipsis" vert="horz" wrap="square" anchor="ctr" anchorCtr="1"/>
          <a:lstStyle/>
          <a:p>
            <a:pPr>
              <a:defRPr sz="1400" b="0" i="0" u="none" strike="noStrike" kern="1200" spc="0" baseline="0">
                <a:solidFill>
                  <a:srgbClr val="0F766E"/>
                </a:solidFill>
                <a:latin typeface="+mn-lt"/>
                <a:ea typeface="+mn-ea"/>
                <a:cs typeface="+mn-cs"/>
              </a:defRPr>
            </a:pPr>
            <a:r>
              <a:rPr lang="en-US" b="1">
                <a:solidFill>
                  <a:srgbClr val="0F766E"/>
                </a:solidFill>
              </a:rPr>
              <a:t>TOP 8 LOSERS</a:t>
            </a:r>
          </a:p>
        </c:rich>
      </c:tx>
      <c:layout>
        <c:manualLayout>
          <c:xMode val="edge"/>
          <c:yMode val="edge"/>
          <c:x val="1.7621033272885441E-2"/>
          <c:y val="2.32508155177773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F766E"/>
              </a:solidFill>
              <a:latin typeface="+mn-lt"/>
              <a:ea typeface="+mn-ea"/>
              <a:cs typeface="+mn-cs"/>
            </a:defRPr>
          </a:pPr>
          <a:endParaRPr lang="en-NG"/>
        </a:p>
      </c:txPr>
    </c:title>
    <c:autoTitleDeleted val="0"/>
    <c:pivotFmts>
      <c:pivotFmt>
        <c:idx val="0"/>
        <c:spPr>
          <a:solidFill>
            <a:srgbClr val="0F76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29289"/>
          </a:solidFill>
          <a:ln>
            <a:noFill/>
          </a:ln>
          <a:effectLst/>
        </c:spPr>
      </c:pivotFmt>
      <c:pivotFmt>
        <c:idx val="2"/>
        <c:spPr>
          <a:solidFill>
            <a:srgbClr val="16AEA3"/>
          </a:solidFill>
          <a:ln>
            <a:noFill/>
          </a:ln>
          <a:effectLst/>
        </c:spPr>
      </c:pivotFmt>
      <c:pivotFmt>
        <c:idx val="3"/>
        <c:spPr>
          <a:solidFill>
            <a:srgbClr val="16AEA3"/>
          </a:solidFill>
          <a:ln>
            <a:noFill/>
          </a:ln>
          <a:effectLst/>
        </c:spPr>
      </c:pivotFmt>
      <c:pivotFmt>
        <c:idx val="4"/>
        <c:spPr>
          <a:solidFill>
            <a:srgbClr val="16AEA3"/>
          </a:solidFill>
          <a:ln>
            <a:noFill/>
          </a:ln>
          <a:effectLst/>
        </c:spPr>
      </c:pivotFmt>
      <c:pivotFmt>
        <c:idx val="5"/>
        <c:spPr>
          <a:solidFill>
            <a:srgbClr val="B1F5F0"/>
          </a:solidFill>
          <a:ln>
            <a:noFill/>
          </a:ln>
          <a:effectLst/>
        </c:spPr>
      </c:pivotFmt>
      <c:pivotFmt>
        <c:idx val="6"/>
        <c:spPr>
          <a:solidFill>
            <a:srgbClr val="B1F5F0"/>
          </a:solidFill>
          <a:ln>
            <a:noFill/>
          </a:ln>
          <a:effectLst/>
        </c:spPr>
      </c:pivotFmt>
      <c:pivotFmt>
        <c:idx val="7"/>
        <c:spPr>
          <a:solidFill>
            <a:srgbClr val="0F76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29289"/>
          </a:solidFill>
          <a:ln>
            <a:noFill/>
          </a:ln>
          <a:effectLst/>
        </c:spPr>
      </c:pivotFmt>
      <c:pivotFmt>
        <c:idx val="9"/>
        <c:spPr>
          <a:solidFill>
            <a:srgbClr val="16AEA3"/>
          </a:solidFill>
          <a:ln>
            <a:noFill/>
          </a:ln>
          <a:effectLst/>
        </c:spPr>
      </c:pivotFmt>
      <c:pivotFmt>
        <c:idx val="10"/>
        <c:spPr>
          <a:solidFill>
            <a:srgbClr val="16AEA3"/>
          </a:solidFill>
          <a:ln>
            <a:noFill/>
          </a:ln>
          <a:effectLst/>
        </c:spPr>
      </c:pivotFmt>
      <c:pivotFmt>
        <c:idx val="11"/>
        <c:spPr>
          <a:solidFill>
            <a:srgbClr val="16AEA3"/>
          </a:solidFill>
          <a:ln>
            <a:noFill/>
          </a:ln>
          <a:effectLst/>
        </c:spPr>
      </c:pivotFmt>
      <c:pivotFmt>
        <c:idx val="12"/>
        <c:spPr>
          <a:solidFill>
            <a:srgbClr val="B1F5F0"/>
          </a:solidFill>
          <a:ln>
            <a:noFill/>
          </a:ln>
          <a:effectLst/>
        </c:spPr>
      </c:pivotFmt>
      <c:pivotFmt>
        <c:idx val="13"/>
        <c:spPr>
          <a:solidFill>
            <a:srgbClr val="B1F5F0"/>
          </a:solidFill>
          <a:ln>
            <a:noFill/>
          </a:ln>
          <a:effectLst/>
        </c:spPr>
      </c:pivotFmt>
      <c:pivotFmt>
        <c:idx val="14"/>
        <c:spPr>
          <a:solidFill>
            <a:srgbClr val="0F76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F766E"/>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129289"/>
          </a:solidFill>
          <a:ln>
            <a:noFill/>
          </a:ln>
          <a:effectLst/>
        </c:spPr>
      </c:pivotFmt>
      <c:pivotFmt>
        <c:idx val="16"/>
        <c:spPr>
          <a:solidFill>
            <a:srgbClr val="16AEA3"/>
          </a:solidFill>
          <a:ln>
            <a:noFill/>
          </a:ln>
          <a:effectLst/>
        </c:spPr>
      </c:pivotFmt>
      <c:pivotFmt>
        <c:idx val="17"/>
        <c:spPr>
          <a:solidFill>
            <a:srgbClr val="16AEA3"/>
          </a:solidFill>
          <a:ln>
            <a:noFill/>
          </a:ln>
          <a:effectLst/>
        </c:spPr>
      </c:pivotFmt>
      <c:pivotFmt>
        <c:idx val="18"/>
        <c:spPr>
          <a:solidFill>
            <a:srgbClr val="16AEA3"/>
          </a:solidFill>
          <a:ln>
            <a:noFill/>
          </a:ln>
          <a:effectLst/>
        </c:spPr>
      </c:pivotFmt>
      <c:pivotFmt>
        <c:idx val="19"/>
        <c:spPr>
          <a:solidFill>
            <a:srgbClr val="B1F5F0"/>
          </a:solidFill>
          <a:ln>
            <a:noFill/>
          </a:ln>
          <a:effectLst/>
        </c:spPr>
      </c:pivotFmt>
      <c:pivotFmt>
        <c:idx val="20"/>
        <c:spPr>
          <a:solidFill>
            <a:srgbClr val="B1F5F0"/>
          </a:solidFill>
          <a:ln>
            <a:noFill/>
          </a:ln>
          <a:effectLst/>
        </c:spPr>
      </c:pivotFmt>
    </c:pivotFmts>
    <c:plotArea>
      <c:layout/>
      <c:barChart>
        <c:barDir val="col"/>
        <c:grouping val="clustered"/>
        <c:varyColors val="0"/>
        <c:ser>
          <c:idx val="0"/>
          <c:order val="0"/>
          <c:tx>
            <c:strRef>
              <c:f>'TOP 5 LOSERS'!$B$3</c:f>
              <c:strCache>
                <c:ptCount val="1"/>
                <c:pt idx="0">
                  <c:v>Total</c:v>
                </c:pt>
              </c:strCache>
            </c:strRef>
          </c:tx>
          <c:spPr>
            <a:solidFill>
              <a:srgbClr val="0F766E"/>
            </a:solidFill>
            <a:ln>
              <a:noFill/>
            </a:ln>
            <a:effectLst/>
          </c:spPr>
          <c:invertIfNegative val="0"/>
          <c:dPt>
            <c:idx val="2"/>
            <c:invertIfNegative val="0"/>
            <c:bubble3D val="0"/>
            <c:spPr>
              <a:solidFill>
                <a:srgbClr val="129289"/>
              </a:solidFill>
              <a:ln>
                <a:noFill/>
              </a:ln>
              <a:effectLst/>
            </c:spPr>
            <c:extLst>
              <c:ext xmlns:c16="http://schemas.microsoft.com/office/drawing/2014/chart" uri="{C3380CC4-5D6E-409C-BE32-E72D297353CC}">
                <c16:uniqueId val="{00000001-BAD2-454F-9C11-A875BAD9349F}"/>
              </c:ext>
            </c:extLst>
          </c:dPt>
          <c:dPt>
            <c:idx val="3"/>
            <c:invertIfNegative val="0"/>
            <c:bubble3D val="0"/>
            <c:spPr>
              <a:solidFill>
                <a:srgbClr val="16AEA3"/>
              </a:solidFill>
              <a:ln>
                <a:noFill/>
              </a:ln>
              <a:effectLst/>
            </c:spPr>
            <c:extLst>
              <c:ext xmlns:c16="http://schemas.microsoft.com/office/drawing/2014/chart" uri="{C3380CC4-5D6E-409C-BE32-E72D297353CC}">
                <c16:uniqueId val="{00000003-BAD2-454F-9C11-A875BAD9349F}"/>
              </c:ext>
            </c:extLst>
          </c:dPt>
          <c:dPt>
            <c:idx val="4"/>
            <c:invertIfNegative val="0"/>
            <c:bubble3D val="0"/>
            <c:spPr>
              <a:solidFill>
                <a:srgbClr val="16AEA3"/>
              </a:solidFill>
              <a:ln>
                <a:noFill/>
              </a:ln>
              <a:effectLst/>
            </c:spPr>
            <c:extLst>
              <c:ext xmlns:c16="http://schemas.microsoft.com/office/drawing/2014/chart" uri="{C3380CC4-5D6E-409C-BE32-E72D297353CC}">
                <c16:uniqueId val="{00000005-BAD2-454F-9C11-A875BAD9349F}"/>
              </c:ext>
            </c:extLst>
          </c:dPt>
          <c:dPt>
            <c:idx val="5"/>
            <c:invertIfNegative val="0"/>
            <c:bubble3D val="0"/>
            <c:spPr>
              <a:solidFill>
                <a:srgbClr val="16AEA3"/>
              </a:solidFill>
              <a:ln>
                <a:noFill/>
              </a:ln>
              <a:effectLst/>
            </c:spPr>
            <c:extLst>
              <c:ext xmlns:c16="http://schemas.microsoft.com/office/drawing/2014/chart" uri="{C3380CC4-5D6E-409C-BE32-E72D297353CC}">
                <c16:uniqueId val="{00000007-BAD2-454F-9C11-A875BAD9349F}"/>
              </c:ext>
            </c:extLst>
          </c:dPt>
          <c:dPt>
            <c:idx val="6"/>
            <c:invertIfNegative val="0"/>
            <c:bubble3D val="0"/>
            <c:spPr>
              <a:solidFill>
                <a:srgbClr val="B1F5F0"/>
              </a:solidFill>
              <a:ln>
                <a:noFill/>
              </a:ln>
              <a:effectLst/>
            </c:spPr>
            <c:extLst>
              <c:ext xmlns:c16="http://schemas.microsoft.com/office/drawing/2014/chart" uri="{C3380CC4-5D6E-409C-BE32-E72D297353CC}">
                <c16:uniqueId val="{00000009-BAD2-454F-9C11-A875BAD9349F}"/>
              </c:ext>
            </c:extLst>
          </c:dPt>
          <c:dPt>
            <c:idx val="7"/>
            <c:invertIfNegative val="0"/>
            <c:bubble3D val="0"/>
            <c:spPr>
              <a:solidFill>
                <a:srgbClr val="B1F5F0"/>
              </a:solidFill>
              <a:ln>
                <a:noFill/>
              </a:ln>
              <a:effectLst/>
            </c:spPr>
            <c:extLst>
              <c:ext xmlns:c16="http://schemas.microsoft.com/office/drawing/2014/chart" uri="{C3380CC4-5D6E-409C-BE32-E72D297353CC}">
                <c16:uniqueId val="{0000000B-BAD2-454F-9C11-A875BAD9349F}"/>
              </c:ext>
            </c:extLst>
          </c:dPt>
          <c:dLbls>
            <c:delete val="1"/>
          </c:dLbls>
          <c:cat>
            <c:strRef>
              <c:f>'TOP 5 LOSERS'!$A$4:$A$12</c:f>
              <c:strCache>
                <c:ptCount val="8"/>
                <c:pt idx="0">
                  <c:v>Naspers</c:v>
                </c:pt>
                <c:pt idx="1">
                  <c:v>Fawry For Banking Technology And Electronic Payment</c:v>
                </c:pt>
                <c:pt idx="2">
                  <c:v>CBZ</c:v>
                </c:pt>
                <c:pt idx="3">
                  <c:v>Northam Platinum</c:v>
                </c:pt>
                <c:pt idx="4">
                  <c:v>Guaranty Trust Holding Company</c:v>
                </c:pt>
                <c:pt idx="5">
                  <c:v>Cairo Investment &amp; Real Estate Development</c:v>
                </c:pt>
                <c:pt idx="6">
                  <c:v>Edita Food Industries</c:v>
                </c:pt>
                <c:pt idx="7">
                  <c:v>Tiger Brands</c:v>
                </c:pt>
              </c:strCache>
            </c:strRef>
          </c:cat>
          <c:val>
            <c:numRef>
              <c:f>'TOP 5 LOSERS'!$B$4:$B$12</c:f>
              <c:numCache>
                <c:formatCode>0.0%</c:formatCode>
                <c:ptCount val="8"/>
                <c:pt idx="0">
                  <c:v>-0.52385110691015169</c:v>
                </c:pt>
                <c:pt idx="1">
                  <c:v>-0.51543694400837259</c:v>
                </c:pt>
                <c:pt idx="2">
                  <c:v>-0.41578947368421054</c:v>
                </c:pt>
                <c:pt idx="3">
                  <c:v>-0.33389601620526671</c:v>
                </c:pt>
                <c:pt idx="4">
                  <c:v>-0.32867429055484965</c:v>
                </c:pt>
                <c:pt idx="5">
                  <c:v>-0.32786885245901637</c:v>
                </c:pt>
                <c:pt idx="6">
                  <c:v>-0.2423469387755102</c:v>
                </c:pt>
                <c:pt idx="7">
                  <c:v>-0.23735695828719083</c:v>
                </c:pt>
              </c:numCache>
            </c:numRef>
          </c:val>
          <c:extLst>
            <c:ext xmlns:c16="http://schemas.microsoft.com/office/drawing/2014/chart" uri="{C3380CC4-5D6E-409C-BE32-E72D297353CC}">
              <c16:uniqueId val="{0000000C-BAD2-454F-9C11-A875BAD9349F}"/>
            </c:ext>
          </c:extLst>
        </c:ser>
        <c:dLbls>
          <c:dLblPos val="outEnd"/>
          <c:showLegendKey val="0"/>
          <c:showVal val="1"/>
          <c:showCatName val="0"/>
          <c:showSerName val="0"/>
          <c:showPercent val="0"/>
          <c:showBubbleSize val="0"/>
        </c:dLbls>
        <c:gapWidth val="20"/>
        <c:overlap val="-27"/>
        <c:axId val="598927552"/>
        <c:axId val="598924312"/>
      </c:barChart>
      <c:catAx>
        <c:axId val="598927552"/>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F766E"/>
                </a:solidFill>
                <a:latin typeface="+mn-lt"/>
                <a:ea typeface="+mn-ea"/>
                <a:cs typeface="+mn-cs"/>
              </a:defRPr>
            </a:pPr>
            <a:endParaRPr lang="en-NG"/>
          </a:p>
        </c:txPr>
        <c:crossAx val="598924312"/>
        <c:crosses val="autoZero"/>
        <c:auto val="1"/>
        <c:lblAlgn val="ctr"/>
        <c:lblOffset val="100"/>
        <c:noMultiLvlLbl val="0"/>
      </c:catAx>
      <c:valAx>
        <c:axId val="598924312"/>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crossAx val="598927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50800" dir="5400000" algn="ctr" rotWithShape="0">
        <a:srgbClr val="0F766E"/>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 GEORGE NZUBECHI CHIBUIKEM.xlsx]SECTOR SHARE OF TOTAL MCAP!PivotTable2</c:name>
    <c:fmtId val="2"/>
  </c:pivotSource>
  <c:chart>
    <c:title>
      <c:tx>
        <c:rich>
          <a:bodyPr rot="0" spcFirstLastPara="1" vertOverflow="ellipsis" vert="horz" wrap="square" anchor="ctr" anchorCtr="1"/>
          <a:lstStyle/>
          <a:p>
            <a:pPr>
              <a:defRPr sz="1400" b="1" i="0" u="none" strike="noStrike" kern="1200" spc="0" baseline="0">
                <a:solidFill>
                  <a:srgbClr val="0F766E"/>
                </a:solidFill>
                <a:latin typeface="+mn-lt"/>
                <a:ea typeface="+mn-ea"/>
                <a:cs typeface="+mn-cs"/>
              </a:defRPr>
            </a:pPr>
            <a:r>
              <a:rPr lang="en-US" b="1">
                <a:solidFill>
                  <a:srgbClr val="0F766E"/>
                </a:solidFill>
              </a:rPr>
              <a:t>SECTOR SHARE BY MCAP</a:t>
            </a:r>
          </a:p>
        </c:rich>
      </c:tx>
      <c:layout>
        <c:manualLayout>
          <c:xMode val="edge"/>
          <c:yMode val="edge"/>
          <c:x val="1.1758207435983398E-2"/>
          <c:y val="2.528394668471714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F766E"/>
              </a:solidFill>
              <a:latin typeface="+mn-lt"/>
              <a:ea typeface="+mn-ea"/>
              <a:cs typeface="+mn-cs"/>
            </a:defRPr>
          </a:pPr>
          <a:endParaRPr lang="en-NG"/>
        </a:p>
      </c:txPr>
    </c:title>
    <c:autoTitleDeleted val="0"/>
    <c:pivotFmts>
      <c:pivotFmt>
        <c:idx val="0"/>
        <c:spPr>
          <a:solidFill>
            <a:srgbClr val="0F766E"/>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39188"/>
          </a:solidFill>
          <a:ln w="19050">
            <a:noFill/>
          </a:ln>
          <a:effectLst/>
        </c:spPr>
      </c:pivotFmt>
      <c:pivotFmt>
        <c:idx val="2"/>
        <c:spPr>
          <a:solidFill>
            <a:srgbClr val="16AA9F"/>
          </a:solidFill>
          <a:ln w="19050">
            <a:noFill/>
          </a:ln>
          <a:effectLst/>
        </c:spPr>
      </c:pivotFmt>
      <c:pivotFmt>
        <c:idx val="3"/>
        <c:spPr>
          <a:solidFill>
            <a:srgbClr val="19C1B5"/>
          </a:solidFill>
          <a:ln w="19050">
            <a:noFill/>
          </a:ln>
          <a:effectLst/>
        </c:spPr>
      </c:pivotFmt>
      <c:pivotFmt>
        <c:idx val="4"/>
        <c:spPr>
          <a:solidFill>
            <a:srgbClr val="45E7DB"/>
          </a:solidFill>
          <a:ln w="19050">
            <a:noFill/>
          </a:ln>
          <a:effectLst/>
        </c:spPr>
      </c:pivotFmt>
      <c:pivotFmt>
        <c:idx val="5"/>
        <c:spPr>
          <a:solidFill>
            <a:srgbClr val="0F766E"/>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766E"/>
          </a:solidFill>
          <a:ln w="19050">
            <a:noFill/>
          </a:ln>
          <a:effectLst/>
        </c:spPr>
      </c:pivotFmt>
      <c:pivotFmt>
        <c:idx val="7"/>
        <c:spPr>
          <a:solidFill>
            <a:srgbClr val="139188"/>
          </a:solidFill>
          <a:ln w="19050">
            <a:noFill/>
          </a:ln>
          <a:effectLst/>
        </c:spPr>
      </c:pivotFmt>
      <c:pivotFmt>
        <c:idx val="8"/>
        <c:spPr>
          <a:solidFill>
            <a:srgbClr val="16AA9F"/>
          </a:solidFill>
          <a:ln w="19050">
            <a:noFill/>
          </a:ln>
          <a:effectLst/>
        </c:spPr>
      </c:pivotFmt>
      <c:pivotFmt>
        <c:idx val="9"/>
        <c:spPr>
          <a:solidFill>
            <a:srgbClr val="19C1B5"/>
          </a:solidFill>
          <a:ln w="19050">
            <a:noFill/>
          </a:ln>
          <a:effectLst/>
        </c:spPr>
      </c:pivotFmt>
      <c:pivotFmt>
        <c:idx val="10"/>
        <c:spPr>
          <a:solidFill>
            <a:srgbClr val="45E7DB"/>
          </a:solidFill>
          <a:ln w="19050">
            <a:noFill/>
          </a:ln>
          <a:effectLst/>
        </c:spPr>
      </c:pivotFmt>
      <c:pivotFmt>
        <c:idx val="11"/>
        <c:spPr>
          <a:solidFill>
            <a:srgbClr val="0F766E"/>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F766E"/>
                  </a:solidFill>
                  <a:latin typeface="+mn-lt"/>
                  <a:ea typeface="+mn-ea"/>
                  <a:cs typeface="+mn-cs"/>
                </a:defRPr>
              </a:pPr>
              <a:endParaRPr lang="en-NG"/>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rgbClr val="0F766E"/>
          </a:solidFill>
          <a:ln w="19050">
            <a:noFill/>
          </a:ln>
          <a:effectLst/>
        </c:spPr>
        <c:dLbl>
          <c:idx val="0"/>
          <c:layout>
            <c:manualLayout>
              <c:x val="6.4169681436227186E-2"/>
              <c:y val="6.61921779034232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F766E"/>
                  </a:solidFill>
                  <a:latin typeface="+mn-lt"/>
                  <a:ea typeface="+mn-ea"/>
                  <a:cs typeface="+mn-cs"/>
                </a:defRPr>
              </a:pPr>
              <a:endParaRPr lang="en-NG"/>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solidFill>
            <a:srgbClr val="139188"/>
          </a:solidFill>
          <a:ln w="19050">
            <a:noFill/>
          </a:ln>
          <a:effectLst/>
        </c:spPr>
        <c:dLbl>
          <c:idx val="0"/>
          <c:layout>
            <c:manualLayout>
              <c:x val="0.17310761630750626"/>
              <c:y val="-4.31543216635642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F766E"/>
                  </a:solidFill>
                  <a:latin typeface="+mn-lt"/>
                  <a:ea typeface="+mn-ea"/>
                  <a:cs typeface="+mn-cs"/>
                </a:defRPr>
              </a:pPr>
              <a:endParaRPr lang="en-NG"/>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4"/>
        <c:spPr>
          <a:solidFill>
            <a:srgbClr val="16AA9F"/>
          </a:solidFill>
          <a:ln w="19050">
            <a:noFill/>
          </a:ln>
          <a:effectLst/>
        </c:spPr>
        <c:dLbl>
          <c:idx val="0"/>
          <c:layout>
            <c:manualLayout>
              <c:x val="-2.9757775857200765E-2"/>
              <c:y val="1.24193949770553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F766E"/>
                  </a:solidFill>
                  <a:latin typeface="+mn-lt"/>
                  <a:ea typeface="+mn-ea"/>
                  <a:cs typeface="+mn-cs"/>
                </a:defRPr>
              </a:pPr>
              <a:endParaRPr lang="en-NG"/>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5"/>
        <c:spPr>
          <a:solidFill>
            <a:srgbClr val="19C1B5"/>
          </a:solidFill>
          <a:ln w="19050">
            <a:noFill/>
          </a:ln>
          <a:effectLst/>
        </c:spPr>
        <c:dLbl>
          <c:idx val="0"/>
          <c:layout>
            <c:manualLayout>
              <c:x val="-7.9493924283271733E-2"/>
              <c:y val="2.61404154928876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F766E"/>
                  </a:solidFill>
                  <a:latin typeface="+mn-lt"/>
                  <a:ea typeface="+mn-ea"/>
                  <a:cs typeface="+mn-cs"/>
                </a:defRPr>
              </a:pPr>
              <a:endParaRPr lang="en-NG"/>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6"/>
        <c:spPr>
          <a:solidFill>
            <a:srgbClr val="45E7DB"/>
          </a:solidFill>
          <a:ln w="19050">
            <a:noFill/>
          </a:ln>
          <a:effectLst/>
        </c:spPr>
        <c:dLbl>
          <c:idx val="0"/>
          <c:layout>
            <c:manualLayout>
              <c:x val="-4.8575756954579085E-3"/>
              <c:y val="-8.94892443683492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F766E"/>
                  </a:solidFill>
                  <a:latin typeface="+mn-lt"/>
                  <a:ea typeface="+mn-ea"/>
                  <a:cs typeface="+mn-cs"/>
                </a:defRPr>
              </a:pPr>
              <a:endParaRPr lang="en-NG"/>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'SECTOR SHARE OF TOTAL MCAP'!$B$3</c:f>
              <c:strCache>
                <c:ptCount val="1"/>
                <c:pt idx="0">
                  <c:v>Total</c:v>
                </c:pt>
              </c:strCache>
            </c:strRef>
          </c:tx>
          <c:spPr>
            <a:solidFill>
              <a:srgbClr val="0F766E"/>
            </a:solidFill>
            <a:ln>
              <a:noFill/>
            </a:ln>
          </c:spPr>
          <c:explosion val="1"/>
          <c:dPt>
            <c:idx val="0"/>
            <c:bubble3D val="0"/>
            <c:spPr>
              <a:solidFill>
                <a:srgbClr val="0F766E"/>
              </a:solidFill>
              <a:ln w="19050">
                <a:noFill/>
              </a:ln>
              <a:effectLst/>
            </c:spPr>
            <c:extLst>
              <c:ext xmlns:c16="http://schemas.microsoft.com/office/drawing/2014/chart" uri="{C3380CC4-5D6E-409C-BE32-E72D297353CC}">
                <c16:uniqueId val="{00000001-C9CD-431A-B00D-47897E948A81}"/>
              </c:ext>
            </c:extLst>
          </c:dPt>
          <c:dPt>
            <c:idx val="1"/>
            <c:bubble3D val="0"/>
            <c:spPr>
              <a:solidFill>
                <a:srgbClr val="139188"/>
              </a:solidFill>
              <a:ln w="19050">
                <a:noFill/>
              </a:ln>
              <a:effectLst/>
            </c:spPr>
            <c:extLst>
              <c:ext xmlns:c16="http://schemas.microsoft.com/office/drawing/2014/chart" uri="{C3380CC4-5D6E-409C-BE32-E72D297353CC}">
                <c16:uniqueId val="{00000003-C9CD-431A-B00D-47897E948A81}"/>
              </c:ext>
            </c:extLst>
          </c:dPt>
          <c:dPt>
            <c:idx val="2"/>
            <c:bubble3D val="0"/>
            <c:spPr>
              <a:solidFill>
                <a:srgbClr val="16AA9F"/>
              </a:solidFill>
              <a:ln w="19050">
                <a:noFill/>
              </a:ln>
              <a:effectLst/>
            </c:spPr>
            <c:extLst>
              <c:ext xmlns:c16="http://schemas.microsoft.com/office/drawing/2014/chart" uri="{C3380CC4-5D6E-409C-BE32-E72D297353CC}">
                <c16:uniqueId val="{00000005-C9CD-431A-B00D-47897E948A81}"/>
              </c:ext>
            </c:extLst>
          </c:dPt>
          <c:dPt>
            <c:idx val="3"/>
            <c:bubble3D val="0"/>
            <c:spPr>
              <a:solidFill>
                <a:srgbClr val="19C1B5"/>
              </a:solidFill>
              <a:ln w="19050">
                <a:noFill/>
              </a:ln>
              <a:effectLst/>
            </c:spPr>
            <c:extLst>
              <c:ext xmlns:c16="http://schemas.microsoft.com/office/drawing/2014/chart" uri="{C3380CC4-5D6E-409C-BE32-E72D297353CC}">
                <c16:uniqueId val="{00000007-C9CD-431A-B00D-47897E948A81}"/>
              </c:ext>
            </c:extLst>
          </c:dPt>
          <c:dPt>
            <c:idx val="4"/>
            <c:bubble3D val="0"/>
            <c:spPr>
              <a:solidFill>
                <a:srgbClr val="45E7DB"/>
              </a:solidFill>
              <a:ln w="19050">
                <a:noFill/>
              </a:ln>
              <a:effectLst/>
            </c:spPr>
            <c:extLst>
              <c:ext xmlns:c16="http://schemas.microsoft.com/office/drawing/2014/chart" uri="{C3380CC4-5D6E-409C-BE32-E72D297353CC}">
                <c16:uniqueId val="{00000009-C9CD-431A-B00D-47897E948A81}"/>
              </c:ext>
            </c:extLst>
          </c:dPt>
          <c:dLbls>
            <c:dLbl>
              <c:idx val="0"/>
              <c:layout>
                <c:manualLayout>
                  <c:x val="6.4169681436227186E-2"/>
                  <c:y val="6.619217790342328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9CD-431A-B00D-47897E948A81}"/>
                </c:ext>
              </c:extLst>
            </c:dLbl>
            <c:dLbl>
              <c:idx val="1"/>
              <c:layout>
                <c:manualLayout>
                  <c:x val="0.17310761630750626"/>
                  <c:y val="-4.315432166356424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9CD-431A-B00D-47897E948A81}"/>
                </c:ext>
              </c:extLst>
            </c:dLbl>
            <c:dLbl>
              <c:idx val="2"/>
              <c:layout>
                <c:manualLayout>
                  <c:x val="-2.9757775857200765E-2"/>
                  <c:y val="1.241939497705531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9CD-431A-B00D-47897E948A81}"/>
                </c:ext>
              </c:extLst>
            </c:dLbl>
            <c:dLbl>
              <c:idx val="3"/>
              <c:layout>
                <c:manualLayout>
                  <c:x val="-7.9493924283271733E-2"/>
                  <c:y val="2.614041549288764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9CD-431A-B00D-47897E948A81}"/>
                </c:ext>
              </c:extLst>
            </c:dLbl>
            <c:dLbl>
              <c:idx val="4"/>
              <c:layout>
                <c:manualLayout>
                  <c:x val="-4.8575756954579085E-3"/>
                  <c:y val="-8.9489244368349281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9CD-431A-B00D-47897E948A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F766E"/>
                    </a:solidFill>
                    <a:latin typeface="+mn-lt"/>
                    <a:ea typeface="+mn-ea"/>
                    <a:cs typeface="+mn-cs"/>
                  </a:defRPr>
                </a:pPr>
                <a:endParaRPr lang="en-NG"/>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'SECTOR SHARE OF TOTAL MCAP'!$A$4:$A$9</c:f>
              <c:strCache>
                <c:ptCount val="5"/>
                <c:pt idx="0">
                  <c:v>Finance</c:v>
                </c:pt>
                <c:pt idx="1">
                  <c:v>Non-Energy Materials</c:v>
                </c:pt>
                <c:pt idx="2">
                  <c:v>Consumer Non-Cyclicals</c:v>
                </c:pt>
                <c:pt idx="3">
                  <c:v>Telecommunications</c:v>
                </c:pt>
                <c:pt idx="4">
                  <c:v>Consumer Cyclicals</c:v>
                </c:pt>
              </c:strCache>
            </c:strRef>
          </c:cat>
          <c:val>
            <c:numRef>
              <c:f>'SECTOR SHARE OF TOTAL MCAP'!$B$4:$B$9</c:f>
              <c:numCache>
                <c:formatCode>0.00%</c:formatCode>
                <c:ptCount val="5"/>
                <c:pt idx="0">
                  <c:v>0.34788900147002694</c:v>
                </c:pt>
                <c:pt idx="1">
                  <c:v>0.27290229915891162</c:v>
                </c:pt>
                <c:pt idx="2">
                  <c:v>0.18218216990690853</c:v>
                </c:pt>
                <c:pt idx="3">
                  <c:v>0.15962898298355685</c:v>
                </c:pt>
                <c:pt idx="4">
                  <c:v>3.7397546480596101E-2</c:v>
                </c:pt>
              </c:numCache>
            </c:numRef>
          </c:val>
          <c:extLst>
            <c:ext xmlns:c16="http://schemas.microsoft.com/office/drawing/2014/chart" uri="{C3380CC4-5D6E-409C-BE32-E72D297353CC}">
              <c16:uniqueId val="{0000000A-C9CD-431A-B00D-47897E948A8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50800" dir="5400000" algn="ctr" rotWithShape="0">
        <a:srgbClr val="0F766E"/>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 GEORGE NZUBECHI CHIBUIKEM.xlsx]PROFITABILITY BY SECTOR!PivotTable16</c:name>
    <c:fmtId val="2"/>
  </c:pivotSource>
  <c:chart>
    <c:title>
      <c:tx>
        <c:rich>
          <a:bodyPr rot="0" spcFirstLastPara="1" vertOverflow="ellipsis" vert="horz" wrap="square" anchor="ctr" anchorCtr="1"/>
          <a:lstStyle/>
          <a:p>
            <a:pPr>
              <a:defRPr sz="1400" b="1" i="0" u="none" strike="noStrike" kern="1200" spc="0" baseline="0">
                <a:solidFill>
                  <a:srgbClr val="0F766E"/>
                </a:solidFill>
                <a:latin typeface="+mn-lt"/>
                <a:ea typeface="+mn-ea"/>
                <a:cs typeface="+mn-cs"/>
              </a:defRPr>
            </a:pPr>
            <a:r>
              <a:rPr lang="en-US" b="1">
                <a:solidFill>
                  <a:srgbClr val="0F766E"/>
                </a:solidFill>
              </a:rPr>
              <a:t>SECTOR PROFITABILITY</a:t>
            </a:r>
          </a:p>
        </c:rich>
      </c:tx>
      <c:layout>
        <c:manualLayout>
          <c:xMode val="edge"/>
          <c:yMode val="edge"/>
          <c:x val="1.0667358403164301E-2"/>
          <c:y val="2.613893391788191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F766E"/>
              </a:solidFill>
              <a:latin typeface="+mn-lt"/>
              <a:ea typeface="+mn-ea"/>
              <a:cs typeface="+mn-cs"/>
            </a:defRPr>
          </a:pPr>
          <a:endParaRPr lang="en-NG"/>
        </a:p>
      </c:txPr>
    </c:title>
    <c:autoTitleDeleted val="0"/>
    <c:pivotFmts>
      <c:pivotFmt>
        <c:idx val="0"/>
        <c:spPr>
          <a:solidFill>
            <a:srgbClr val="0F76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39188"/>
          </a:solidFill>
          <a:ln>
            <a:noFill/>
          </a:ln>
          <a:effectLst/>
        </c:spPr>
      </c:pivotFmt>
      <c:pivotFmt>
        <c:idx val="2"/>
        <c:spPr>
          <a:solidFill>
            <a:srgbClr val="139188"/>
          </a:solidFill>
          <a:ln>
            <a:noFill/>
          </a:ln>
          <a:effectLst/>
        </c:spPr>
      </c:pivotFmt>
      <c:pivotFmt>
        <c:idx val="3"/>
        <c:spPr>
          <a:solidFill>
            <a:srgbClr val="16AA9F"/>
          </a:solidFill>
          <a:ln>
            <a:noFill/>
          </a:ln>
          <a:effectLst/>
        </c:spPr>
      </c:pivotFmt>
      <c:pivotFmt>
        <c:idx val="4"/>
        <c:spPr>
          <a:solidFill>
            <a:srgbClr val="16AA9F"/>
          </a:solidFill>
          <a:ln>
            <a:noFill/>
          </a:ln>
          <a:effectLst/>
        </c:spPr>
      </c:pivotFmt>
      <c:pivotFmt>
        <c:idx val="5"/>
        <c:spPr>
          <a:solidFill>
            <a:srgbClr val="16AA9F"/>
          </a:solidFill>
          <a:ln>
            <a:noFill/>
          </a:ln>
          <a:effectLst/>
        </c:spPr>
      </c:pivotFmt>
      <c:pivotFmt>
        <c:idx val="6"/>
        <c:spPr>
          <a:solidFill>
            <a:srgbClr val="19C1B5"/>
          </a:solidFill>
          <a:ln>
            <a:noFill/>
          </a:ln>
          <a:effectLst/>
        </c:spPr>
      </c:pivotFmt>
      <c:pivotFmt>
        <c:idx val="7"/>
        <c:spPr>
          <a:solidFill>
            <a:srgbClr val="1DE1D3"/>
          </a:solidFill>
          <a:ln>
            <a:noFill/>
          </a:ln>
          <a:effectLst/>
        </c:spPr>
      </c:pivotFmt>
      <c:pivotFmt>
        <c:idx val="8"/>
        <c:spPr>
          <a:solidFill>
            <a:srgbClr val="5FEBE1"/>
          </a:solidFill>
          <a:ln>
            <a:noFill/>
          </a:ln>
          <a:effectLst/>
        </c:spPr>
      </c:pivotFmt>
      <c:pivotFmt>
        <c:idx val="9"/>
        <c:spPr>
          <a:solidFill>
            <a:srgbClr val="BFF7F3"/>
          </a:solidFill>
          <a:ln>
            <a:noFill/>
          </a:ln>
          <a:effectLst/>
        </c:spPr>
      </c:pivotFmt>
      <c:pivotFmt>
        <c:idx val="10"/>
        <c:spPr>
          <a:solidFill>
            <a:srgbClr val="0F76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39188"/>
          </a:solidFill>
          <a:ln>
            <a:noFill/>
          </a:ln>
          <a:effectLst/>
        </c:spPr>
      </c:pivotFmt>
      <c:pivotFmt>
        <c:idx val="12"/>
        <c:spPr>
          <a:solidFill>
            <a:srgbClr val="139188"/>
          </a:solidFill>
          <a:ln>
            <a:noFill/>
          </a:ln>
          <a:effectLst/>
        </c:spPr>
      </c:pivotFmt>
      <c:pivotFmt>
        <c:idx val="13"/>
        <c:spPr>
          <a:solidFill>
            <a:srgbClr val="16AA9F"/>
          </a:solidFill>
          <a:ln>
            <a:noFill/>
          </a:ln>
          <a:effectLst/>
        </c:spPr>
      </c:pivotFmt>
      <c:pivotFmt>
        <c:idx val="14"/>
        <c:spPr>
          <a:solidFill>
            <a:srgbClr val="16AA9F"/>
          </a:solidFill>
          <a:ln>
            <a:noFill/>
          </a:ln>
          <a:effectLst/>
        </c:spPr>
      </c:pivotFmt>
      <c:pivotFmt>
        <c:idx val="15"/>
        <c:spPr>
          <a:solidFill>
            <a:srgbClr val="16AA9F"/>
          </a:solidFill>
          <a:ln>
            <a:noFill/>
          </a:ln>
          <a:effectLst/>
        </c:spPr>
      </c:pivotFmt>
      <c:pivotFmt>
        <c:idx val="16"/>
        <c:spPr>
          <a:solidFill>
            <a:srgbClr val="19C1B5"/>
          </a:solidFill>
          <a:ln>
            <a:noFill/>
          </a:ln>
          <a:effectLst/>
        </c:spPr>
      </c:pivotFmt>
      <c:pivotFmt>
        <c:idx val="17"/>
        <c:spPr>
          <a:solidFill>
            <a:srgbClr val="1DE1D3"/>
          </a:solidFill>
          <a:ln>
            <a:noFill/>
          </a:ln>
          <a:effectLst/>
        </c:spPr>
      </c:pivotFmt>
      <c:pivotFmt>
        <c:idx val="18"/>
        <c:spPr>
          <a:solidFill>
            <a:srgbClr val="5FEBE1"/>
          </a:solidFill>
          <a:ln>
            <a:noFill/>
          </a:ln>
          <a:effectLst/>
        </c:spPr>
      </c:pivotFmt>
      <c:pivotFmt>
        <c:idx val="19"/>
        <c:spPr>
          <a:solidFill>
            <a:srgbClr val="BFF7F3"/>
          </a:solidFill>
          <a:ln>
            <a:noFill/>
          </a:ln>
          <a:effectLst/>
        </c:spPr>
      </c:pivotFmt>
      <c:pivotFmt>
        <c:idx val="20"/>
        <c:spPr>
          <a:solidFill>
            <a:srgbClr val="0F76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139188"/>
          </a:solidFill>
          <a:ln>
            <a:noFill/>
          </a:ln>
          <a:effectLst/>
        </c:spPr>
      </c:pivotFmt>
      <c:pivotFmt>
        <c:idx val="22"/>
        <c:spPr>
          <a:solidFill>
            <a:srgbClr val="139188"/>
          </a:solidFill>
          <a:ln>
            <a:noFill/>
          </a:ln>
          <a:effectLst/>
        </c:spPr>
      </c:pivotFmt>
      <c:pivotFmt>
        <c:idx val="23"/>
        <c:spPr>
          <a:solidFill>
            <a:srgbClr val="16AA9F"/>
          </a:solidFill>
          <a:ln>
            <a:noFill/>
          </a:ln>
          <a:effectLst/>
        </c:spPr>
      </c:pivotFmt>
      <c:pivotFmt>
        <c:idx val="24"/>
        <c:spPr>
          <a:solidFill>
            <a:srgbClr val="16AA9F"/>
          </a:solidFill>
          <a:ln>
            <a:noFill/>
          </a:ln>
          <a:effectLst/>
        </c:spPr>
      </c:pivotFmt>
      <c:pivotFmt>
        <c:idx val="25"/>
        <c:spPr>
          <a:solidFill>
            <a:srgbClr val="16AA9F"/>
          </a:solidFill>
          <a:ln>
            <a:noFill/>
          </a:ln>
          <a:effectLst/>
        </c:spPr>
      </c:pivotFmt>
      <c:pivotFmt>
        <c:idx val="26"/>
        <c:spPr>
          <a:solidFill>
            <a:srgbClr val="19C1B5"/>
          </a:solidFill>
          <a:ln>
            <a:noFill/>
          </a:ln>
          <a:effectLst/>
        </c:spPr>
      </c:pivotFmt>
      <c:pivotFmt>
        <c:idx val="27"/>
        <c:spPr>
          <a:solidFill>
            <a:srgbClr val="1DE1D3"/>
          </a:solidFill>
          <a:ln>
            <a:noFill/>
          </a:ln>
          <a:effectLst/>
        </c:spPr>
      </c:pivotFmt>
      <c:pivotFmt>
        <c:idx val="28"/>
        <c:spPr>
          <a:solidFill>
            <a:srgbClr val="5FEBE1"/>
          </a:solidFill>
          <a:ln>
            <a:noFill/>
          </a:ln>
          <a:effectLst/>
        </c:spPr>
      </c:pivotFmt>
      <c:pivotFmt>
        <c:idx val="29"/>
        <c:spPr>
          <a:solidFill>
            <a:srgbClr val="BFF7F3"/>
          </a:solidFill>
          <a:ln>
            <a:noFill/>
          </a:ln>
          <a:effectLst/>
        </c:spPr>
      </c:pivotFmt>
    </c:pivotFmts>
    <c:plotArea>
      <c:layout/>
      <c:barChart>
        <c:barDir val="bar"/>
        <c:grouping val="clustered"/>
        <c:varyColors val="0"/>
        <c:ser>
          <c:idx val="0"/>
          <c:order val="0"/>
          <c:tx>
            <c:strRef>
              <c:f>'PROFITABILITY BY SECTOR'!$B$3</c:f>
              <c:strCache>
                <c:ptCount val="1"/>
                <c:pt idx="0">
                  <c:v>Total</c:v>
                </c:pt>
              </c:strCache>
            </c:strRef>
          </c:tx>
          <c:spPr>
            <a:solidFill>
              <a:srgbClr val="0F766E"/>
            </a:solidFill>
            <a:ln>
              <a:noFill/>
            </a:ln>
            <a:effectLst/>
          </c:spPr>
          <c:invertIfNegative val="0"/>
          <c:dPt>
            <c:idx val="1"/>
            <c:invertIfNegative val="0"/>
            <c:bubble3D val="0"/>
            <c:spPr>
              <a:solidFill>
                <a:srgbClr val="139188"/>
              </a:solidFill>
              <a:ln>
                <a:noFill/>
              </a:ln>
              <a:effectLst/>
            </c:spPr>
            <c:extLst>
              <c:ext xmlns:c16="http://schemas.microsoft.com/office/drawing/2014/chart" uri="{C3380CC4-5D6E-409C-BE32-E72D297353CC}">
                <c16:uniqueId val="{00000001-6E7A-4F0A-BB8D-F87A4C749E72}"/>
              </c:ext>
            </c:extLst>
          </c:dPt>
          <c:dPt>
            <c:idx val="2"/>
            <c:invertIfNegative val="0"/>
            <c:bubble3D val="0"/>
            <c:spPr>
              <a:solidFill>
                <a:srgbClr val="139188"/>
              </a:solidFill>
              <a:ln>
                <a:noFill/>
              </a:ln>
              <a:effectLst/>
            </c:spPr>
            <c:extLst>
              <c:ext xmlns:c16="http://schemas.microsoft.com/office/drawing/2014/chart" uri="{C3380CC4-5D6E-409C-BE32-E72D297353CC}">
                <c16:uniqueId val="{00000003-6E7A-4F0A-BB8D-F87A4C749E72}"/>
              </c:ext>
            </c:extLst>
          </c:dPt>
          <c:dPt>
            <c:idx val="3"/>
            <c:invertIfNegative val="0"/>
            <c:bubble3D val="0"/>
            <c:spPr>
              <a:solidFill>
                <a:srgbClr val="16AA9F"/>
              </a:solidFill>
              <a:ln>
                <a:noFill/>
              </a:ln>
              <a:effectLst/>
            </c:spPr>
            <c:extLst>
              <c:ext xmlns:c16="http://schemas.microsoft.com/office/drawing/2014/chart" uri="{C3380CC4-5D6E-409C-BE32-E72D297353CC}">
                <c16:uniqueId val="{00000005-6E7A-4F0A-BB8D-F87A4C749E72}"/>
              </c:ext>
            </c:extLst>
          </c:dPt>
          <c:dPt>
            <c:idx val="4"/>
            <c:invertIfNegative val="0"/>
            <c:bubble3D val="0"/>
            <c:spPr>
              <a:solidFill>
                <a:srgbClr val="16AA9F"/>
              </a:solidFill>
              <a:ln>
                <a:noFill/>
              </a:ln>
              <a:effectLst/>
            </c:spPr>
            <c:extLst>
              <c:ext xmlns:c16="http://schemas.microsoft.com/office/drawing/2014/chart" uri="{C3380CC4-5D6E-409C-BE32-E72D297353CC}">
                <c16:uniqueId val="{00000007-6E7A-4F0A-BB8D-F87A4C749E72}"/>
              </c:ext>
            </c:extLst>
          </c:dPt>
          <c:dPt>
            <c:idx val="5"/>
            <c:invertIfNegative val="0"/>
            <c:bubble3D val="0"/>
            <c:spPr>
              <a:solidFill>
                <a:srgbClr val="16AA9F"/>
              </a:solidFill>
              <a:ln>
                <a:noFill/>
              </a:ln>
              <a:effectLst/>
            </c:spPr>
            <c:extLst>
              <c:ext xmlns:c16="http://schemas.microsoft.com/office/drawing/2014/chart" uri="{C3380CC4-5D6E-409C-BE32-E72D297353CC}">
                <c16:uniqueId val="{00000009-6E7A-4F0A-BB8D-F87A4C749E72}"/>
              </c:ext>
            </c:extLst>
          </c:dPt>
          <c:dPt>
            <c:idx val="6"/>
            <c:invertIfNegative val="0"/>
            <c:bubble3D val="0"/>
            <c:spPr>
              <a:solidFill>
                <a:srgbClr val="19C1B5"/>
              </a:solidFill>
              <a:ln>
                <a:noFill/>
              </a:ln>
              <a:effectLst/>
            </c:spPr>
            <c:extLst>
              <c:ext xmlns:c16="http://schemas.microsoft.com/office/drawing/2014/chart" uri="{C3380CC4-5D6E-409C-BE32-E72D297353CC}">
                <c16:uniqueId val="{0000000B-6E7A-4F0A-BB8D-F87A4C749E72}"/>
              </c:ext>
            </c:extLst>
          </c:dPt>
          <c:dPt>
            <c:idx val="7"/>
            <c:invertIfNegative val="0"/>
            <c:bubble3D val="0"/>
            <c:spPr>
              <a:solidFill>
                <a:srgbClr val="1DE1D3"/>
              </a:solidFill>
              <a:ln>
                <a:noFill/>
              </a:ln>
              <a:effectLst/>
            </c:spPr>
            <c:extLst>
              <c:ext xmlns:c16="http://schemas.microsoft.com/office/drawing/2014/chart" uri="{C3380CC4-5D6E-409C-BE32-E72D297353CC}">
                <c16:uniqueId val="{0000000D-6E7A-4F0A-BB8D-F87A4C749E72}"/>
              </c:ext>
            </c:extLst>
          </c:dPt>
          <c:dPt>
            <c:idx val="8"/>
            <c:invertIfNegative val="0"/>
            <c:bubble3D val="0"/>
            <c:spPr>
              <a:solidFill>
                <a:srgbClr val="5FEBE1"/>
              </a:solidFill>
              <a:ln>
                <a:noFill/>
              </a:ln>
              <a:effectLst/>
            </c:spPr>
            <c:extLst>
              <c:ext xmlns:c16="http://schemas.microsoft.com/office/drawing/2014/chart" uri="{C3380CC4-5D6E-409C-BE32-E72D297353CC}">
                <c16:uniqueId val="{0000000F-6E7A-4F0A-BB8D-F87A4C749E72}"/>
              </c:ext>
            </c:extLst>
          </c:dPt>
          <c:dPt>
            <c:idx val="9"/>
            <c:invertIfNegative val="0"/>
            <c:bubble3D val="0"/>
            <c:spPr>
              <a:solidFill>
                <a:srgbClr val="BFF7F3"/>
              </a:solidFill>
              <a:ln>
                <a:noFill/>
              </a:ln>
              <a:effectLst/>
            </c:spPr>
            <c:extLst>
              <c:ext xmlns:c16="http://schemas.microsoft.com/office/drawing/2014/chart" uri="{C3380CC4-5D6E-409C-BE32-E72D297353CC}">
                <c16:uniqueId val="{00000011-6E7A-4F0A-BB8D-F87A4C749E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'PROFITABILITY BY SECTOR'!$A$4:$A$14</c:f>
              <c:strCache>
                <c:ptCount val="10"/>
                <c:pt idx="0">
                  <c:v>Finance</c:v>
                </c:pt>
                <c:pt idx="1">
                  <c:v>Non-Energy Materials</c:v>
                </c:pt>
                <c:pt idx="2">
                  <c:v>Energy</c:v>
                </c:pt>
                <c:pt idx="3">
                  <c:v>Telecommunications</c:v>
                </c:pt>
                <c:pt idx="4">
                  <c:v>Consumer Services</c:v>
                </c:pt>
                <c:pt idx="5">
                  <c:v>Utilities</c:v>
                </c:pt>
                <c:pt idx="6">
                  <c:v>Consumer Non-Cyclicals</c:v>
                </c:pt>
                <c:pt idx="7">
                  <c:v>Healthcare</c:v>
                </c:pt>
                <c:pt idx="8">
                  <c:v>Industrials</c:v>
                </c:pt>
                <c:pt idx="9">
                  <c:v>Consumer Cyclicals</c:v>
                </c:pt>
              </c:strCache>
            </c:strRef>
          </c:cat>
          <c:val>
            <c:numRef>
              <c:f>'PROFITABILITY BY SECTOR'!$B$4:$B$14</c:f>
              <c:numCache>
                <c:formatCode>0%</c:formatCode>
                <c:ptCount val="10"/>
                <c:pt idx="0">
                  <c:v>0.29783227510287363</c:v>
                </c:pt>
                <c:pt idx="1">
                  <c:v>0.18890862176202847</c:v>
                </c:pt>
                <c:pt idx="2">
                  <c:v>0.18766848880745432</c:v>
                </c:pt>
                <c:pt idx="3">
                  <c:v>0.14584257390867592</c:v>
                </c:pt>
                <c:pt idx="4">
                  <c:v>0.13522468099126922</c:v>
                </c:pt>
                <c:pt idx="5">
                  <c:v>0.13098226936502808</c:v>
                </c:pt>
                <c:pt idx="6">
                  <c:v>0.1133309803399152</c:v>
                </c:pt>
                <c:pt idx="7">
                  <c:v>9.2789120927196822E-2</c:v>
                </c:pt>
                <c:pt idx="8">
                  <c:v>8.1967632962951037E-2</c:v>
                </c:pt>
                <c:pt idx="9">
                  <c:v>5.908017834484821E-2</c:v>
                </c:pt>
              </c:numCache>
            </c:numRef>
          </c:val>
          <c:extLst>
            <c:ext xmlns:c16="http://schemas.microsoft.com/office/drawing/2014/chart" uri="{C3380CC4-5D6E-409C-BE32-E72D297353CC}">
              <c16:uniqueId val="{00000012-6E7A-4F0A-BB8D-F87A4C749E72}"/>
            </c:ext>
          </c:extLst>
        </c:ser>
        <c:dLbls>
          <c:dLblPos val="outEnd"/>
          <c:showLegendKey val="0"/>
          <c:showVal val="1"/>
          <c:showCatName val="0"/>
          <c:showSerName val="0"/>
          <c:showPercent val="0"/>
          <c:showBubbleSize val="0"/>
        </c:dLbls>
        <c:gapWidth val="20"/>
        <c:axId val="601869248"/>
        <c:axId val="601871048"/>
      </c:barChart>
      <c:catAx>
        <c:axId val="60186924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F766E"/>
                </a:solidFill>
                <a:latin typeface="+mn-lt"/>
                <a:ea typeface="+mn-ea"/>
                <a:cs typeface="+mn-cs"/>
              </a:defRPr>
            </a:pPr>
            <a:endParaRPr lang="en-NG"/>
          </a:p>
        </c:txPr>
        <c:crossAx val="601871048"/>
        <c:crosses val="autoZero"/>
        <c:auto val="1"/>
        <c:lblAlgn val="ctr"/>
        <c:lblOffset val="100"/>
        <c:noMultiLvlLbl val="0"/>
      </c:catAx>
      <c:valAx>
        <c:axId val="601871048"/>
        <c:scaling>
          <c:orientation val="minMax"/>
        </c:scaling>
        <c:delete val="1"/>
        <c:axPos val="t"/>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601869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50800" dir="5400000" algn="ctr" rotWithShape="0">
        <a:srgbClr val="0F766E"/>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noFill/>
          </a:ln>
          <a:effectLst/>
        </c:spPr>
      </c:pivotFmt>
      <c:pivotFmt>
        <c:idx val="2"/>
        <c:spPr>
          <a:solidFill>
            <a:schemeClr val="accent1">
              <a:lumMod val="60000"/>
              <a:lumOff val="40000"/>
            </a:schemeClr>
          </a:solidFill>
          <a:ln w="19050">
            <a:noFill/>
          </a:ln>
          <a:effectLst/>
        </c:spPr>
      </c:pivotFmt>
      <c:pivotFmt>
        <c:idx val="3"/>
        <c:spPr>
          <a:solidFill>
            <a:schemeClr val="accent1">
              <a:lumMod val="40000"/>
              <a:lumOff val="60000"/>
            </a:schemeClr>
          </a:solidFill>
          <a:ln w="19050">
            <a:noFill/>
          </a:ln>
          <a:effectLst/>
        </c:spPr>
      </c:pivotFmt>
      <c:pivotFmt>
        <c:idx val="4"/>
        <c:spPr>
          <a:solidFill>
            <a:schemeClr val="accent1">
              <a:lumMod val="50000"/>
            </a:schemeClr>
          </a:solidFill>
          <a:ln w="19050">
            <a:noFill/>
          </a:ln>
          <a:effectLst/>
        </c:spPr>
      </c:pivotFmt>
      <c:pivotFmt>
        <c:idx val="5"/>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w="19050">
            <a:noFill/>
          </a:ln>
          <a:effectLst/>
        </c:spPr>
      </c:pivotFmt>
      <c:pivotFmt>
        <c:idx val="7"/>
        <c:spPr>
          <a:solidFill>
            <a:schemeClr val="accent1">
              <a:lumMod val="75000"/>
            </a:schemeClr>
          </a:solidFill>
          <a:ln w="19050">
            <a:noFill/>
          </a:ln>
          <a:effectLst/>
        </c:spPr>
      </c:pivotFmt>
      <c:pivotFmt>
        <c:idx val="8"/>
        <c:spPr>
          <a:solidFill>
            <a:schemeClr val="accent1">
              <a:lumMod val="60000"/>
              <a:lumOff val="40000"/>
            </a:schemeClr>
          </a:solidFill>
          <a:ln w="19050">
            <a:noFill/>
          </a:ln>
          <a:effectLst/>
        </c:spPr>
      </c:pivotFmt>
      <c:pivotFmt>
        <c:idx val="9"/>
        <c:spPr>
          <a:solidFill>
            <a:schemeClr val="accent1">
              <a:lumMod val="40000"/>
              <a:lumOff val="60000"/>
            </a:schemeClr>
          </a:solidFill>
          <a:ln w="19050">
            <a:noFill/>
          </a:ln>
          <a:effectLst/>
        </c:spPr>
      </c:pivotFmt>
      <c:pivotFmt>
        <c:idx val="10"/>
        <c:spPr>
          <a:solidFill>
            <a:srgbClr val="235733"/>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rgbClr val="235733"/>
          </a:solidFill>
          <a:ln w="19050">
            <a:noFill/>
          </a:ln>
          <a:effectLst/>
        </c:spPr>
        <c:dLbl>
          <c:idx val="0"/>
          <c:layout>
            <c:manualLayout>
              <c:x val="6.1939690301548493E-2"/>
              <c:y val="0.111576072423413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rgbClr val="327E4A"/>
          </a:solidFill>
          <a:ln w="19050">
            <a:noFill/>
          </a:ln>
          <a:effectLst/>
        </c:spPr>
        <c:dLbl>
          <c:idx val="0"/>
          <c:layout>
            <c:manualLayout>
              <c:x val="0.10431947840260798"/>
              <c:y val="-6.27615407381701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solidFill>
            <a:srgbClr val="49B56A"/>
          </a:solidFill>
          <a:ln w="19050">
            <a:noFill/>
          </a:ln>
          <a:effectLst/>
        </c:spPr>
        <c:dLbl>
          <c:idx val="0"/>
          <c:layout>
            <c:manualLayout>
              <c:x val="-4.8899755501222525E-2"/>
              <c:y val="2.09205135793900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4"/>
        <c:spPr>
          <a:solidFill>
            <a:srgbClr val="97D5AA"/>
          </a:solidFill>
          <a:ln w="19050">
            <a:noFill/>
          </a:ln>
          <a:effectLst/>
        </c:spPr>
        <c:dLbl>
          <c:idx val="0"/>
          <c:layout>
            <c:manualLayout>
              <c:x val="-8.4759576202118964E-2"/>
              <c:y val="9.06555588440235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v>Total</c:v>
          </c:tx>
          <c:spPr>
            <a:solidFill>
              <a:srgbClr val="235733"/>
            </a:solidFill>
            <a:ln>
              <a:noFill/>
            </a:ln>
          </c:spPr>
          <c:explosion val="2"/>
          <c:dPt>
            <c:idx val="0"/>
            <c:bubble3D val="0"/>
            <c:spPr>
              <a:solidFill>
                <a:srgbClr val="235733"/>
              </a:solidFill>
              <a:ln w="19050">
                <a:noFill/>
              </a:ln>
              <a:effectLst/>
            </c:spPr>
            <c:extLst>
              <c:ext xmlns:c16="http://schemas.microsoft.com/office/drawing/2014/chart" uri="{C3380CC4-5D6E-409C-BE32-E72D297353CC}">
                <c16:uniqueId val="{00000001-20DA-4C29-8F0B-9983D3DA741B}"/>
              </c:ext>
            </c:extLst>
          </c:dPt>
          <c:dPt>
            <c:idx val="1"/>
            <c:bubble3D val="0"/>
            <c:spPr>
              <a:solidFill>
                <a:srgbClr val="327E4A"/>
              </a:solidFill>
              <a:ln w="19050">
                <a:noFill/>
              </a:ln>
              <a:effectLst/>
            </c:spPr>
            <c:extLst>
              <c:ext xmlns:c16="http://schemas.microsoft.com/office/drawing/2014/chart" uri="{C3380CC4-5D6E-409C-BE32-E72D297353CC}">
                <c16:uniqueId val="{00000003-20DA-4C29-8F0B-9983D3DA741B}"/>
              </c:ext>
            </c:extLst>
          </c:dPt>
          <c:dPt>
            <c:idx val="2"/>
            <c:bubble3D val="0"/>
            <c:spPr>
              <a:solidFill>
                <a:srgbClr val="49B56A"/>
              </a:solidFill>
              <a:ln w="19050">
                <a:noFill/>
              </a:ln>
              <a:effectLst/>
            </c:spPr>
            <c:extLst>
              <c:ext xmlns:c16="http://schemas.microsoft.com/office/drawing/2014/chart" uri="{C3380CC4-5D6E-409C-BE32-E72D297353CC}">
                <c16:uniqueId val="{00000005-20DA-4C29-8F0B-9983D3DA741B}"/>
              </c:ext>
            </c:extLst>
          </c:dPt>
          <c:dPt>
            <c:idx val="3"/>
            <c:bubble3D val="0"/>
            <c:explosion val="0"/>
            <c:spPr>
              <a:solidFill>
                <a:srgbClr val="97D5AA"/>
              </a:solidFill>
              <a:ln w="19050">
                <a:noFill/>
              </a:ln>
              <a:effectLst/>
            </c:spPr>
            <c:extLst>
              <c:ext xmlns:c16="http://schemas.microsoft.com/office/drawing/2014/chart" uri="{C3380CC4-5D6E-409C-BE32-E72D297353CC}">
                <c16:uniqueId val="{00000007-20DA-4C29-8F0B-9983D3DA741B}"/>
              </c:ext>
            </c:extLst>
          </c:dPt>
          <c:dLbls>
            <c:dLbl>
              <c:idx val="0"/>
              <c:layout>
                <c:manualLayout>
                  <c:x val="6.1939690301548493E-2"/>
                  <c:y val="0.11157607242341359"/>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0DA-4C29-8F0B-9983D3DA741B}"/>
                </c:ext>
              </c:extLst>
            </c:dLbl>
            <c:dLbl>
              <c:idx val="1"/>
              <c:layout>
                <c:manualLayout>
                  <c:x val="0.10431947840260798"/>
                  <c:y val="-6.276154073817016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0DA-4C29-8F0B-9983D3DA741B}"/>
                </c:ext>
              </c:extLst>
            </c:dLbl>
            <c:dLbl>
              <c:idx val="2"/>
              <c:layout>
                <c:manualLayout>
                  <c:x val="-4.8899755501222525E-2"/>
                  <c:y val="2.092051357939005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0DA-4C29-8F0B-9983D3DA741B}"/>
                </c:ext>
              </c:extLst>
            </c:dLbl>
            <c:dLbl>
              <c:idx val="3"/>
              <c:layout>
                <c:manualLayout>
                  <c:x val="-8.4759576202118964E-2"/>
                  <c:y val="9.065555884402355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0DA-4C29-8F0B-9983D3DA74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North</c:v>
              </c:pt>
              <c:pt idx="1">
                <c:v>East</c:v>
              </c:pt>
              <c:pt idx="2">
                <c:v>South</c:v>
              </c:pt>
              <c:pt idx="3">
                <c:v>West</c:v>
              </c:pt>
            </c:strLit>
          </c:cat>
          <c:val>
            <c:numLit>
              <c:formatCode>General</c:formatCode>
              <c:ptCount val="4"/>
              <c:pt idx="0">
                <c:v>141680.33999999997</c:v>
              </c:pt>
              <c:pt idx="1">
                <c:v>108275.51</c:v>
              </c:pt>
              <c:pt idx="2">
                <c:v>93858.329999999987</c:v>
              </c:pt>
              <c:pt idx="3">
                <c:v>91251.979999999981</c:v>
              </c:pt>
            </c:numLit>
          </c:val>
          <c:extLst>
            <c:ext xmlns:c16="http://schemas.microsoft.com/office/drawing/2014/chart" uri="{C3380CC4-5D6E-409C-BE32-E72D297353CC}">
              <c16:uniqueId val="{00000008-20DA-4C29-8F0B-9983D3DA741B}"/>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noFill/>
          </a:ln>
          <a:effectLst/>
        </c:spPr>
      </c:pivotFmt>
      <c:pivotFmt>
        <c:idx val="2"/>
        <c:spPr>
          <a:solidFill>
            <a:schemeClr val="accent1">
              <a:lumMod val="60000"/>
              <a:lumOff val="40000"/>
            </a:schemeClr>
          </a:solidFill>
          <a:ln w="19050">
            <a:noFill/>
          </a:ln>
          <a:effectLst/>
        </c:spPr>
      </c:pivotFmt>
      <c:pivotFmt>
        <c:idx val="3"/>
        <c:spPr>
          <a:solidFill>
            <a:schemeClr val="accent1">
              <a:lumMod val="40000"/>
              <a:lumOff val="60000"/>
            </a:schemeClr>
          </a:solidFill>
          <a:ln w="19050">
            <a:noFill/>
          </a:ln>
          <a:effectLst/>
        </c:spPr>
      </c:pivotFmt>
      <c:pivotFmt>
        <c:idx val="4"/>
        <c:spPr>
          <a:solidFill>
            <a:schemeClr val="accent1">
              <a:lumMod val="50000"/>
            </a:schemeClr>
          </a:solidFill>
          <a:ln w="19050">
            <a:noFill/>
          </a:ln>
          <a:effectLst/>
        </c:spPr>
      </c:pivotFmt>
      <c:pivotFmt>
        <c:idx val="5"/>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w="19050">
            <a:noFill/>
          </a:ln>
          <a:effectLst/>
        </c:spPr>
      </c:pivotFmt>
      <c:pivotFmt>
        <c:idx val="7"/>
        <c:spPr>
          <a:solidFill>
            <a:schemeClr val="accent1">
              <a:lumMod val="75000"/>
            </a:schemeClr>
          </a:solidFill>
          <a:ln w="19050">
            <a:noFill/>
          </a:ln>
          <a:effectLst/>
        </c:spPr>
      </c:pivotFmt>
      <c:pivotFmt>
        <c:idx val="8"/>
        <c:spPr>
          <a:solidFill>
            <a:schemeClr val="accent1">
              <a:lumMod val="60000"/>
              <a:lumOff val="40000"/>
            </a:schemeClr>
          </a:solidFill>
          <a:ln w="19050">
            <a:noFill/>
          </a:ln>
          <a:effectLst/>
        </c:spPr>
      </c:pivotFmt>
      <c:pivotFmt>
        <c:idx val="9"/>
        <c:spPr>
          <a:solidFill>
            <a:schemeClr val="accent1">
              <a:lumMod val="40000"/>
              <a:lumOff val="60000"/>
            </a:schemeClr>
          </a:solidFill>
          <a:ln w="19050">
            <a:noFill/>
          </a:ln>
          <a:effectLst/>
        </c:spPr>
      </c:pivotFmt>
      <c:pivotFmt>
        <c:idx val="10"/>
        <c:spPr>
          <a:solidFill>
            <a:schemeClr val="accent1">
              <a:lumMod val="75000"/>
            </a:schemeClr>
          </a:solidFill>
          <a:ln w="19050">
            <a:noFill/>
          </a:ln>
          <a:effectLst/>
        </c:spPr>
      </c:pivotFmt>
      <c:pivotFmt>
        <c:idx val="11"/>
        <c:spPr>
          <a:solidFill>
            <a:schemeClr val="accent1">
              <a:lumMod val="60000"/>
              <a:lumOff val="40000"/>
            </a:schemeClr>
          </a:solidFill>
          <a:ln w="19050">
            <a:noFill/>
          </a:ln>
          <a:effectLst/>
        </c:spPr>
      </c:pivotFmt>
      <c:pivotFmt>
        <c:idx val="12"/>
        <c:spPr>
          <a:solidFill>
            <a:schemeClr val="accent1">
              <a:lumMod val="40000"/>
              <a:lumOff val="60000"/>
            </a:schemeClr>
          </a:solidFill>
          <a:ln w="19050">
            <a:noFill/>
          </a:ln>
          <a:effectLst/>
        </c:spPr>
      </c:pivotFmt>
      <c:pivotFmt>
        <c:idx val="13"/>
        <c:spPr>
          <a:solidFill>
            <a:schemeClr val="accent1">
              <a:lumMod val="20000"/>
              <a:lumOff val="80000"/>
            </a:schemeClr>
          </a:solidFill>
          <a:ln w="19050">
            <a:noFill/>
          </a:ln>
          <a:effectLst/>
        </c:spPr>
      </c:pivotFmt>
      <c:pivotFmt>
        <c:idx val="14"/>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20000"/>
              <a:lumOff val="80000"/>
            </a:schemeClr>
          </a:solidFill>
          <a:ln w="19050">
            <a:noFill/>
          </a:ln>
          <a:effectLst/>
        </c:spPr>
      </c:pivotFmt>
      <c:pivotFmt>
        <c:idx val="16"/>
        <c:spPr>
          <a:solidFill>
            <a:schemeClr val="accent1">
              <a:lumMod val="40000"/>
              <a:lumOff val="60000"/>
            </a:schemeClr>
          </a:solidFill>
          <a:ln w="19050">
            <a:noFill/>
          </a:ln>
          <a:effectLst/>
        </c:spPr>
      </c:pivotFmt>
      <c:pivotFmt>
        <c:idx val="17"/>
        <c:spPr>
          <a:solidFill>
            <a:schemeClr val="accent1">
              <a:lumMod val="60000"/>
              <a:lumOff val="40000"/>
            </a:schemeClr>
          </a:solidFill>
          <a:ln w="19050">
            <a:noFill/>
          </a:ln>
          <a:effectLst/>
        </c:spPr>
      </c:pivotFmt>
      <c:pivotFmt>
        <c:idx val="18"/>
        <c:spPr>
          <a:solidFill>
            <a:schemeClr val="accent1">
              <a:lumMod val="75000"/>
            </a:schemeClr>
          </a:solidFill>
          <a:ln w="19050">
            <a:noFill/>
          </a:ln>
          <a:effectLst/>
        </c:spPr>
      </c:pivotFmt>
      <c:pivotFmt>
        <c:idx val="19"/>
        <c:spPr>
          <a:solidFill>
            <a:schemeClr val="accent1"/>
          </a:solidFill>
          <a:ln w="28575" cap="rnd">
            <a:solidFill>
              <a:schemeClr val="accent1">
                <a:lumMod val="50000"/>
              </a:schemeClr>
            </a:solidFill>
            <a:round/>
          </a:ln>
          <a:effectLst/>
        </c:spPr>
        <c:marker>
          <c:symbol val="none"/>
        </c:marker>
      </c:pivotFmt>
      <c:pivotFmt>
        <c:idx val="20"/>
        <c:spPr>
          <a:solidFill>
            <a:schemeClr val="accent1"/>
          </a:solidFill>
          <a:ln w="28575" cap="rnd">
            <a:solidFill>
              <a:schemeClr val="accent1">
                <a:lumMod val="50000"/>
              </a:schemeClr>
            </a:solidFill>
            <a:round/>
          </a:ln>
          <a:effectLst/>
        </c:spPr>
        <c:marker>
          <c:symbol val="none"/>
        </c:marker>
      </c:pivotFmt>
      <c:pivotFmt>
        <c:idx val="21"/>
        <c:spPr>
          <a:solidFill>
            <a:schemeClr val="accent1"/>
          </a:solidFill>
          <a:ln w="28575" cap="rnd">
            <a:solidFill>
              <a:schemeClr val="accent1">
                <a:lumMod val="50000"/>
              </a:schemeClr>
            </a:solidFill>
            <a:round/>
          </a:ln>
          <a:effectLst/>
        </c:spPr>
        <c:marker>
          <c:symbol val="none"/>
        </c:marker>
      </c:pivotFmt>
      <c:pivotFmt>
        <c:idx val="22"/>
        <c:spPr>
          <a:solidFill>
            <a:schemeClr val="accent1"/>
          </a:solidFill>
          <a:ln w="28575" cap="rnd">
            <a:solidFill>
              <a:schemeClr val="accent1">
                <a:lumMod val="50000"/>
              </a:schemeClr>
            </a:solidFill>
            <a:round/>
          </a:ln>
          <a:effectLst/>
        </c:spPr>
        <c:marker>
          <c:symbol val="none"/>
        </c:marker>
      </c:pivotFmt>
      <c:pivotFmt>
        <c:idx val="23"/>
        <c:spPr>
          <a:solidFill>
            <a:schemeClr val="accent1"/>
          </a:solidFill>
          <a:ln w="28575" cap="rnd">
            <a:solidFill>
              <a:schemeClr val="accent1">
                <a:lumMod val="50000"/>
              </a:schemeClr>
            </a:solidFill>
            <a:round/>
          </a:ln>
          <a:effectLst/>
        </c:spPr>
        <c:marker>
          <c:symbol val="none"/>
        </c:marker>
      </c:pivotFmt>
      <c:pivotFmt>
        <c:idx val="24"/>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lumMod val="50000"/>
              </a:schemeClr>
            </a:solidFill>
            <a:round/>
          </a:ln>
          <a:effectLst/>
        </c:spPr>
        <c:marker>
          <c:symbol val="none"/>
        </c:marker>
      </c:pivotFmt>
      <c:pivotFmt>
        <c:idx val="26"/>
        <c:spPr>
          <a:solidFill>
            <a:schemeClr val="accent1"/>
          </a:solidFill>
          <a:ln w="28575" cap="rnd">
            <a:solidFill>
              <a:schemeClr val="accent1">
                <a:lumMod val="50000"/>
              </a:schemeClr>
            </a:solidFill>
            <a:round/>
          </a:ln>
          <a:effectLst/>
        </c:spPr>
        <c:marker>
          <c:symbol val="none"/>
        </c:marker>
      </c:pivotFmt>
      <c:pivotFmt>
        <c:idx val="27"/>
        <c:spPr>
          <a:solidFill>
            <a:schemeClr val="accent1"/>
          </a:solidFill>
          <a:ln w="28575" cap="rnd">
            <a:solidFill>
              <a:schemeClr val="accent1">
                <a:lumMod val="50000"/>
              </a:schemeClr>
            </a:solidFill>
            <a:round/>
          </a:ln>
          <a:effectLst/>
        </c:spPr>
        <c:marker>
          <c:symbol val="none"/>
        </c:marker>
      </c:pivotFmt>
      <c:pivotFmt>
        <c:idx val="28"/>
        <c:spPr>
          <a:solidFill>
            <a:schemeClr val="accent1"/>
          </a:solidFill>
          <a:ln w="28575" cap="rnd">
            <a:solidFill>
              <a:schemeClr val="accent1">
                <a:lumMod val="50000"/>
              </a:schemeClr>
            </a:solidFill>
            <a:round/>
          </a:ln>
          <a:effectLst/>
        </c:spPr>
        <c:marker>
          <c:symbol val="none"/>
        </c:marker>
      </c:pivotFmt>
      <c:pivotFmt>
        <c:idx val="29"/>
        <c:spPr>
          <a:solidFill>
            <a:schemeClr val="accent1"/>
          </a:solidFill>
          <a:ln w="28575" cap="rnd">
            <a:solidFill>
              <a:schemeClr val="accent1">
                <a:lumMod val="50000"/>
              </a:schemeClr>
            </a:solidFill>
            <a:round/>
          </a:ln>
          <a:effectLst/>
        </c:spPr>
        <c:marker>
          <c:symbol val="none"/>
        </c:marker>
      </c:pivotFmt>
      <c:pivotFmt>
        <c:idx val="30"/>
        <c:spPr>
          <a:solidFill>
            <a:schemeClr val="accent1"/>
          </a:solidFill>
          <a:ln w="28575" cap="rnd">
            <a:solidFill>
              <a:schemeClr val="accent1">
                <a:lumMod val="50000"/>
              </a:schemeClr>
            </a:solidFill>
            <a:round/>
          </a:ln>
          <a:effectLst/>
        </c:spPr>
        <c:marker>
          <c:symbol val="none"/>
        </c:marker>
      </c:pivotFmt>
      <c:pivotFmt>
        <c:idx val="31"/>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lumMod val="50000"/>
              </a:schemeClr>
            </a:solidFill>
            <a:round/>
          </a:ln>
          <a:effectLst/>
        </c:spPr>
        <c:marker>
          <c:symbol val="none"/>
        </c:marker>
        <c:dLbl>
          <c:idx val="0"/>
          <c:layout>
            <c:manualLayout>
              <c:x val="0.18499132483855502"/>
              <c:y val="-3.8647323393904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lumMod val="50000"/>
              </a:schemeClr>
            </a:solidFill>
            <a:round/>
          </a:ln>
          <a:effectLst/>
        </c:spPr>
        <c:marker>
          <c:symbol val="none"/>
        </c:marker>
        <c:dLbl>
          <c:idx val="0"/>
          <c:layout>
            <c:manualLayout>
              <c:x val="0.14659689892866634"/>
              <c:y val="-9.66183084847611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lumMod val="50000"/>
              </a:schemeClr>
            </a:solidFill>
            <a:round/>
          </a:ln>
          <a:effectLst/>
        </c:spPr>
        <c:marker>
          <c:symbol val="none"/>
        </c:marker>
        <c:dLbl>
          <c:idx val="0"/>
          <c:layout>
            <c:manualLayout>
              <c:x val="0.15008730128411077"/>
              <c:y val="-2.57648822626031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lumMod val="50000"/>
              </a:schemeClr>
            </a:solidFill>
            <a:round/>
          </a:ln>
          <a:effectLst/>
        </c:spPr>
        <c:marker>
          <c:symbol val="none"/>
        </c:marker>
      </c:pivotFmt>
      <c:pivotFmt>
        <c:idx val="36"/>
        <c:spPr>
          <a:solidFill>
            <a:schemeClr val="accent1"/>
          </a:solidFill>
          <a:ln w="28575" cap="rnd">
            <a:solidFill>
              <a:schemeClr val="accent1">
                <a:lumMod val="50000"/>
              </a:schemeClr>
            </a:solidFill>
            <a:round/>
          </a:ln>
          <a:effectLst/>
        </c:spPr>
        <c:marker>
          <c:symbol val="none"/>
        </c:marker>
        <c:dLbl>
          <c:idx val="0"/>
          <c:layout>
            <c:manualLayout>
              <c:x val="-0.1047120706633331"/>
              <c:y val="-1.932366169695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lumMod val="50000"/>
              </a:schemeClr>
            </a:solidFill>
            <a:round/>
          </a:ln>
          <a:effectLst/>
        </c:spPr>
        <c:marker>
          <c:symbol val="none"/>
        </c:marker>
        <c:dLbl>
          <c:idx val="0"/>
          <c:layout>
            <c:manualLayout>
              <c:x val="-0.13612569186233306"/>
              <c:y val="1.28824411313014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lumMod val="50000"/>
              </a:schemeClr>
            </a:solidFill>
            <a:round/>
          </a:ln>
          <a:effectLst/>
        </c:spPr>
        <c:marker>
          <c:symbol val="none"/>
        </c:marker>
        <c:dLbl>
          <c:idx val="0"/>
          <c:layout>
            <c:manualLayout>
              <c:x val="0.18499132483855502"/>
              <c:y val="-3.8647323393904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lumMod val="50000"/>
              </a:schemeClr>
            </a:solidFill>
            <a:round/>
          </a:ln>
          <a:effectLst/>
        </c:spPr>
        <c:marker>
          <c:symbol val="none"/>
        </c:marker>
        <c:dLbl>
          <c:idx val="0"/>
          <c:layout>
            <c:manualLayout>
              <c:x val="0.14659689892866634"/>
              <c:y val="-9.66183084847611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lumMod val="50000"/>
              </a:schemeClr>
            </a:solidFill>
            <a:round/>
          </a:ln>
          <a:effectLst/>
        </c:spPr>
        <c:marker>
          <c:symbol val="none"/>
        </c:marker>
        <c:dLbl>
          <c:idx val="0"/>
          <c:layout>
            <c:manualLayout>
              <c:x val="0.15008730128411077"/>
              <c:y val="-2.57648822626031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lumMod val="50000"/>
              </a:schemeClr>
            </a:solidFill>
            <a:round/>
          </a:ln>
          <a:effectLst/>
        </c:spPr>
        <c:marker>
          <c:symbol val="none"/>
        </c:marker>
      </c:pivotFmt>
      <c:pivotFmt>
        <c:idx val="43"/>
        <c:spPr>
          <a:solidFill>
            <a:schemeClr val="accent1"/>
          </a:solidFill>
          <a:ln w="28575" cap="rnd">
            <a:solidFill>
              <a:schemeClr val="accent1">
                <a:lumMod val="50000"/>
              </a:schemeClr>
            </a:solidFill>
            <a:round/>
          </a:ln>
          <a:effectLst/>
        </c:spPr>
        <c:marker>
          <c:symbol val="none"/>
        </c:marker>
        <c:dLbl>
          <c:idx val="0"/>
          <c:layout>
            <c:manualLayout>
              <c:x val="-0.1047120706633331"/>
              <c:y val="-1.932366169695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lumMod val="50000"/>
              </a:schemeClr>
            </a:solidFill>
            <a:round/>
          </a:ln>
          <a:effectLst/>
        </c:spPr>
        <c:marker>
          <c:symbol val="none"/>
        </c:marker>
        <c:dLbl>
          <c:idx val="0"/>
          <c:layout>
            <c:manualLayout>
              <c:x val="-0.13612569186233306"/>
              <c:y val="1.28824411313014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lumMod val="50000"/>
              </a:schemeClr>
            </a:solidFill>
            <a:round/>
          </a:ln>
          <a:effectLst/>
        </c:spPr>
        <c:marker>
          <c:symbol val="none"/>
        </c:marker>
        <c:dLbl>
          <c:idx val="0"/>
          <c:layout>
            <c:manualLayout>
              <c:x val="0.18499132483855502"/>
              <c:y val="-3.8647323393904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lumMod val="50000"/>
              </a:schemeClr>
            </a:solidFill>
            <a:round/>
          </a:ln>
          <a:effectLst/>
        </c:spPr>
        <c:marker>
          <c:symbol val="none"/>
        </c:marker>
        <c:dLbl>
          <c:idx val="0"/>
          <c:layout>
            <c:manualLayout>
              <c:x val="0.14659689892866634"/>
              <c:y val="-9.66183084847611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lumMod val="50000"/>
              </a:schemeClr>
            </a:solidFill>
            <a:round/>
          </a:ln>
          <a:effectLst/>
        </c:spPr>
        <c:marker>
          <c:symbol val="none"/>
        </c:marker>
        <c:dLbl>
          <c:idx val="0"/>
          <c:layout>
            <c:manualLayout>
              <c:x val="0.15008730128411077"/>
              <c:y val="-2.57648822626031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lumMod val="50000"/>
              </a:schemeClr>
            </a:solidFill>
            <a:round/>
          </a:ln>
          <a:effectLst/>
        </c:spPr>
        <c:marker>
          <c:symbol val="none"/>
        </c:marker>
      </c:pivotFmt>
      <c:pivotFmt>
        <c:idx val="50"/>
        <c:spPr>
          <a:solidFill>
            <a:schemeClr val="accent1"/>
          </a:solidFill>
          <a:ln w="28575" cap="rnd">
            <a:solidFill>
              <a:schemeClr val="accent1">
                <a:lumMod val="50000"/>
              </a:schemeClr>
            </a:solidFill>
            <a:round/>
          </a:ln>
          <a:effectLst/>
        </c:spPr>
        <c:marker>
          <c:symbol val="none"/>
        </c:marker>
        <c:dLbl>
          <c:idx val="0"/>
          <c:layout>
            <c:manualLayout>
              <c:x val="-0.1047120706633331"/>
              <c:y val="-1.932366169695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lumMod val="50000"/>
              </a:schemeClr>
            </a:solidFill>
            <a:round/>
          </a:ln>
          <a:effectLst/>
        </c:spPr>
        <c:marker>
          <c:symbol val="none"/>
        </c:marker>
        <c:dLbl>
          <c:idx val="0"/>
          <c:layout>
            <c:manualLayout>
              <c:x val="-0.13612569186233306"/>
              <c:y val="1.28824411313014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lumMod val="50000"/>
              </a:schemeClr>
            </a:solidFill>
            <a:round/>
          </a:ln>
          <a:effectLst/>
        </c:spPr>
        <c:dLbl>
          <c:idx val="0"/>
          <c:layout>
            <c:manualLayout>
              <c:x val="0.18499132483855502"/>
              <c:y val="-3.8647323393904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lumMod val="50000"/>
              </a:schemeClr>
            </a:solidFill>
            <a:round/>
          </a:ln>
          <a:effectLst/>
        </c:spPr>
        <c:dLbl>
          <c:idx val="0"/>
          <c:layout>
            <c:manualLayout>
              <c:x val="0.14659689892866634"/>
              <c:y val="-9.66183084847611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lumMod val="50000"/>
              </a:schemeClr>
            </a:solidFill>
            <a:round/>
          </a:ln>
          <a:effectLst/>
        </c:spPr>
        <c:dLbl>
          <c:idx val="0"/>
          <c:layout>
            <c:manualLayout>
              <c:x val="0.15008730128411077"/>
              <c:y val="-2.57648822626031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lumMod val="50000"/>
              </a:schemeClr>
            </a:solidFill>
            <a:round/>
          </a:ln>
          <a:effectLst/>
        </c:spPr>
      </c:pivotFmt>
      <c:pivotFmt>
        <c:idx val="57"/>
        <c:spPr>
          <a:solidFill>
            <a:schemeClr val="accent1"/>
          </a:solidFill>
          <a:ln w="28575" cap="rnd">
            <a:solidFill>
              <a:schemeClr val="accent1">
                <a:lumMod val="50000"/>
              </a:schemeClr>
            </a:solidFill>
            <a:round/>
          </a:ln>
          <a:effectLst/>
        </c:spPr>
        <c:dLbl>
          <c:idx val="0"/>
          <c:layout>
            <c:manualLayout>
              <c:x val="-0.1047120706633331"/>
              <c:y val="-1.932366169695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lumMod val="50000"/>
              </a:schemeClr>
            </a:solidFill>
            <a:round/>
          </a:ln>
          <a:effectLst/>
        </c:spPr>
        <c:dLbl>
          <c:idx val="0"/>
          <c:layout>
            <c:manualLayout>
              <c:x val="-0.13612569186233306"/>
              <c:y val="1.28824411313014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235733"/>
          </a:solidFill>
          <a:ln>
            <a:no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60"/>
        <c:spPr>
          <a:solidFill>
            <a:srgbClr val="235733"/>
          </a:solidFill>
          <a:ln w="28575" cap="rnd">
            <a:noFill/>
            <a:round/>
          </a:ln>
          <a:effectLst/>
        </c:spPr>
        <c:dLbl>
          <c:idx val="0"/>
          <c:layout>
            <c:manualLayout>
              <c:x val="0.18499132483855502"/>
              <c:y val="-3.8647323393904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61"/>
        <c:spPr>
          <a:solidFill>
            <a:srgbClr val="2D7142"/>
          </a:solidFill>
          <a:ln w="28575" cap="rnd">
            <a:noFill/>
            <a:round/>
          </a:ln>
          <a:effectLst/>
        </c:spPr>
        <c:dLbl>
          <c:idx val="0"/>
          <c:layout>
            <c:manualLayout>
              <c:x val="0.19546253190488846"/>
              <c:y val="2.777844551394037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62"/>
        <c:spPr>
          <a:solidFill>
            <a:srgbClr val="36864F"/>
          </a:solidFill>
          <a:ln w="28575" cap="rnd">
            <a:noFill/>
            <a:round/>
          </a:ln>
          <a:effectLst/>
        </c:spPr>
        <c:dLbl>
          <c:idx val="0"/>
          <c:layout>
            <c:manualLayout>
              <c:x val="0.18150092248311059"/>
              <c:y val="0.13752930041810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63"/>
        <c:spPr>
          <a:solidFill>
            <a:srgbClr val="46B067"/>
          </a:solidFill>
          <a:ln w="28575" cap="rnd">
            <a:noFill/>
            <a:round/>
          </a:ln>
          <a:effectLst/>
        </c:spPr>
        <c:dLbl>
          <c:idx val="0"/>
          <c:layout>
            <c:manualLayout>
              <c:x val="-0.20244333661577732"/>
              <c:y val="0.1774935892669766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4"/>
        <c:spPr>
          <a:solidFill>
            <a:srgbClr val="76C88F"/>
          </a:solidFill>
          <a:ln w="28575" cap="rnd">
            <a:noFill/>
            <a:round/>
          </a:ln>
          <a:effectLst/>
        </c:spPr>
        <c:dLbl>
          <c:idx val="0"/>
          <c:layout>
            <c:manualLayout>
              <c:x val="-0.2094241413266662"/>
              <c:y val="0.143970500844981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65"/>
        <c:spPr>
          <a:solidFill>
            <a:srgbClr val="9AD6AD"/>
          </a:solidFill>
          <a:ln w="28575" cap="rnd">
            <a:noFill/>
            <a:round/>
          </a:ln>
          <a:effectLst/>
        </c:spPr>
        <c:dLbl>
          <c:idx val="0"/>
          <c:layout>
            <c:manualLayout>
              <c:x val="-0.1815009224831107"/>
              <c:y val="-0.114912983418465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v>Total</c:v>
          </c:tx>
          <c:spPr>
            <a:solidFill>
              <a:srgbClr val="235733"/>
            </a:solidFill>
            <a:ln>
              <a:noFill/>
            </a:ln>
          </c:spPr>
          <c:explosion val="2"/>
          <c:dPt>
            <c:idx val="0"/>
            <c:bubble3D val="0"/>
            <c:spPr>
              <a:solidFill>
                <a:srgbClr val="235733"/>
              </a:solidFill>
              <a:ln w="28575" cap="rnd">
                <a:noFill/>
                <a:round/>
              </a:ln>
              <a:effectLst/>
            </c:spPr>
            <c:extLst>
              <c:ext xmlns:c16="http://schemas.microsoft.com/office/drawing/2014/chart" uri="{C3380CC4-5D6E-409C-BE32-E72D297353CC}">
                <c16:uniqueId val="{00000001-B28E-4F8E-BCEF-57298E4376DA}"/>
              </c:ext>
            </c:extLst>
          </c:dPt>
          <c:dPt>
            <c:idx val="1"/>
            <c:bubble3D val="0"/>
            <c:spPr>
              <a:solidFill>
                <a:srgbClr val="2D7142"/>
              </a:solidFill>
              <a:ln w="28575" cap="rnd">
                <a:noFill/>
                <a:round/>
              </a:ln>
              <a:effectLst/>
            </c:spPr>
            <c:extLst>
              <c:ext xmlns:c16="http://schemas.microsoft.com/office/drawing/2014/chart" uri="{C3380CC4-5D6E-409C-BE32-E72D297353CC}">
                <c16:uniqueId val="{00000003-B28E-4F8E-BCEF-57298E4376DA}"/>
              </c:ext>
            </c:extLst>
          </c:dPt>
          <c:dPt>
            <c:idx val="2"/>
            <c:bubble3D val="0"/>
            <c:spPr>
              <a:solidFill>
                <a:srgbClr val="36864F"/>
              </a:solidFill>
              <a:ln w="28575" cap="rnd">
                <a:noFill/>
                <a:round/>
              </a:ln>
              <a:effectLst/>
            </c:spPr>
            <c:extLst>
              <c:ext xmlns:c16="http://schemas.microsoft.com/office/drawing/2014/chart" uri="{C3380CC4-5D6E-409C-BE32-E72D297353CC}">
                <c16:uniqueId val="{00000005-B28E-4F8E-BCEF-57298E4376DA}"/>
              </c:ext>
            </c:extLst>
          </c:dPt>
          <c:dPt>
            <c:idx val="3"/>
            <c:bubble3D val="0"/>
            <c:spPr>
              <a:solidFill>
                <a:srgbClr val="46B067"/>
              </a:solidFill>
              <a:ln w="28575" cap="rnd">
                <a:noFill/>
                <a:round/>
              </a:ln>
              <a:effectLst/>
            </c:spPr>
            <c:extLst>
              <c:ext xmlns:c16="http://schemas.microsoft.com/office/drawing/2014/chart" uri="{C3380CC4-5D6E-409C-BE32-E72D297353CC}">
                <c16:uniqueId val="{00000007-B28E-4F8E-BCEF-57298E4376DA}"/>
              </c:ext>
            </c:extLst>
          </c:dPt>
          <c:dPt>
            <c:idx val="4"/>
            <c:bubble3D val="0"/>
            <c:spPr>
              <a:solidFill>
                <a:srgbClr val="76C88F"/>
              </a:solidFill>
              <a:ln w="28575" cap="rnd">
                <a:noFill/>
                <a:round/>
              </a:ln>
              <a:effectLst/>
            </c:spPr>
            <c:extLst>
              <c:ext xmlns:c16="http://schemas.microsoft.com/office/drawing/2014/chart" uri="{C3380CC4-5D6E-409C-BE32-E72D297353CC}">
                <c16:uniqueId val="{00000009-B28E-4F8E-BCEF-57298E4376DA}"/>
              </c:ext>
            </c:extLst>
          </c:dPt>
          <c:dPt>
            <c:idx val="5"/>
            <c:bubble3D val="0"/>
            <c:spPr>
              <a:solidFill>
                <a:srgbClr val="9AD6AD"/>
              </a:solidFill>
              <a:ln w="28575" cap="rnd">
                <a:noFill/>
                <a:round/>
              </a:ln>
              <a:effectLst/>
            </c:spPr>
            <c:extLst>
              <c:ext xmlns:c16="http://schemas.microsoft.com/office/drawing/2014/chart" uri="{C3380CC4-5D6E-409C-BE32-E72D297353CC}">
                <c16:uniqueId val="{0000000B-B28E-4F8E-BCEF-57298E4376DA}"/>
              </c:ext>
            </c:extLst>
          </c:dPt>
          <c:dLbls>
            <c:dLbl>
              <c:idx val="0"/>
              <c:layout>
                <c:manualLayout>
                  <c:x val="0.18499132483855502"/>
                  <c:y val="-3.864732339390450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28E-4F8E-BCEF-57298E4376DA}"/>
                </c:ext>
              </c:extLst>
            </c:dLbl>
            <c:dLbl>
              <c:idx val="1"/>
              <c:layout>
                <c:manualLayout>
                  <c:x val="0.19546253190488846"/>
                  <c:y val="2.7778445513940374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28E-4F8E-BCEF-57298E4376DA}"/>
                </c:ext>
              </c:extLst>
            </c:dLbl>
            <c:dLbl>
              <c:idx val="2"/>
              <c:layout>
                <c:manualLayout>
                  <c:x val="0.18150092248311059"/>
                  <c:y val="0.1375293004181022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28E-4F8E-BCEF-57298E4376DA}"/>
                </c:ext>
              </c:extLst>
            </c:dLbl>
            <c:dLbl>
              <c:idx val="3"/>
              <c:layout>
                <c:manualLayout>
                  <c:x val="-0.20244333661577732"/>
                  <c:y val="0.1774935892669766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7-B28E-4F8E-BCEF-57298E4376DA}"/>
                </c:ext>
              </c:extLst>
            </c:dLbl>
            <c:dLbl>
              <c:idx val="4"/>
              <c:layout>
                <c:manualLayout>
                  <c:x val="-0.2094241413266662"/>
                  <c:y val="0.1439705008449812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28E-4F8E-BCEF-57298E4376DA}"/>
                </c:ext>
              </c:extLst>
            </c:dLbl>
            <c:dLbl>
              <c:idx val="5"/>
              <c:layout>
                <c:manualLayout>
                  <c:x val="-0.1815009224831107"/>
                  <c:y val="-0.1149129834184650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28E-4F8E-BCEF-57298E4376D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6"/>
              <c:pt idx="0">
                <c:v>New York</c:v>
              </c:pt>
              <c:pt idx="1">
                <c:v>Portland</c:v>
              </c:pt>
              <c:pt idx="2">
                <c:v>Miami</c:v>
              </c:pt>
              <c:pt idx="3">
                <c:v>Memphis</c:v>
              </c:pt>
              <c:pt idx="4">
                <c:v>Chicago</c:v>
              </c:pt>
              <c:pt idx="5">
                <c:v>Milwaukee</c:v>
              </c:pt>
            </c:strLit>
          </c:cat>
          <c:val>
            <c:numLit>
              <c:formatCode>General</c:formatCode>
              <c:ptCount val="6"/>
              <c:pt idx="0">
                <c:v>67180.5</c:v>
              </c:pt>
              <c:pt idx="1">
                <c:v>50208.35</c:v>
              </c:pt>
              <c:pt idx="2">
                <c:v>50145.330000000009</c:v>
              </c:pt>
              <c:pt idx="3">
                <c:v>43713</c:v>
              </c:pt>
              <c:pt idx="4">
                <c:v>41095.01</c:v>
              </c:pt>
              <c:pt idx="5">
                <c:v>37428</c:v>
              </c:pt>
            </c:numLit>
          </c:val>
          <c:extLst>
            <c:ext xmlns:c16="http://schemas.microsoft.com/office/drawing/2014/chart" uri="{C3380CC4-5D6E-409C-BE32-E72D297353CC}">
              <c16:uniqueId val="{0000000C-B28E-4F8E-BCEF-57298E4376DA}"/>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noFill/>
          </a:ln>
          <a:effectLst/>
        </c:spPr>
      </c:pivotFmt>
      <c:pivotFmt>
        <c:idx val="2"/>
        <c:spPr>
          <a:solidFill>
            <a:schemeClr val="accent1">
              <a:lumMod val="60000"/>
              <a:lumOff val="40000"/>
            </a:schemeClr>
          </a:solidFill>
          <a:ln w="19050">
            <a:noFill/>
          </a:ln>
          <a:effectLst/>
        </c:spPr>
      </c:pivotFmt>
      <c:pivotFmt>
        <c:idx val="3"/>
        <c:spPr>
          <a:solidFill>
            <a:schemeClr val="accent1">
              <a:lumMod val="40000"/>
              <a:lumOff val="60000"/>
            </a:schemeClr>
          </a:solidFill>
          <a:ln w="19050">
            <a:noFill/>
          </a:ln>
          <a:effectLst/>
        </c:spPr>
      </c:pivotFmt>
      <c:pivotFmt>
        <c:idx val="4"/>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w="19050">
            <a:noFill/>
          </a:ln>
          <a:effectLst/>
        </c:spPr>
      </c:pivotFmt>
      <c:pivotFmt>
        <c:idx val="6"/>
        <c:spPr>
          <a:solidFill>
            <a:schemeClr val="accent1">
              <a:lumMod val="75000"/>
            </a:schemeClr>
          </a:solidFill>
          <a:ln w="19050">
            <a:noFill/>
          </a:ln>
          <a:effectLst/>
        </c:spPr>
      </c:pivotFmt>
      <c:pivotFmt>
        <c:idx val="7"/>
        <c:spPr>
          <a:solidFill>
            <a:schemeClr val="accent1">
              <a:lumMod val="60000"/>
              <a:lumOff val="40000"/>
            </a:schemeClr>
          </a:solidFill>
          <a:ln w="19050">
            <a:noFill/>
          </a:ln>
          <a:effectLst/>
        </c:spPr>
      </c:pivotFmt>
      <c:pivotFmt>
        <c:idx val="8"/>
        <c:spPr>
          <a:solidFill>
            <a:schemeClr val="accent1">
              <a:lumMod val="40000"/>
              <a:lumOff val="60000"/>
            </a:schemeClr>
          </a:solidFill>
          <a:ln w="19050">
            <a:noFill/>
          </a:ln>
          <a:effectLst/>
        </c:spPr>
      </c:pivotFmt>
      <c:pivotFmt>
        <c:idx val="9"/>
        <c:spPr>
          <a:solidFill>
            <a:srgbClr val="2969A3"/>
          </a:solidFill>
          <a:ln w="19050">
            <a:noFill/>
          </a:ln>
          <a:effectLst/>
        </c:spPr>
      </c:pivotFmt>
      <c:pivotFmt>
        <c:idx val="10"/>
        <c:spPr>
          <a:solidFill>
            <a:srgbClr val="3B87CD"/>
          </a:solidFill>
          <a:ln w="19050">
            <a:noFill/>
          </a:ln>
          <a:effectLst/>
        </c:spPr>
      </c:pivotFmt>
      <c:pivotFmt>
        <c:idx val="11"/>
        <c:spPr>
          <a:solidFill>
            <a:srgbClr val="3B87CD"/>
          </a:solidFill>
          <a:ln w="19050">
            <a:noFill/>
          </a:ln>
          <a:effectLst/>
        </c:spPr>
      </c:pivotFmt>
      <c:pivotFmt>
        <c:idx val="12"/>
        <c:spPr>
          <a:solidFill>
            <a:srgbClr val="81B2DF"/>
          </a:solidFill>
          <a:ln w="19050">
            <a:noFill/>
          </a:ln>
          <a:effectLst/>
        </c:spPr>
      </c:pivotFmt>
      <c:pivotFmt>
        <c:idx val="13"/>
        <c:spPr>
          <a:solidFill>
            <a:schemeClr val="accent1">
              <a:lumMod val="40000"/>
              <a:lumOff val="60000"/>
            </a:schemeClr>
          </a:solidFill>
          <a:ln w="19050">
            <a:noFill/>
          </a:ln>
          <a:effectLst/>
        </c:spPr>
      </c:pivotFmt>
      <c:pivotFmt>
        <c:idx val="14"/>
        <c:spPr>
          <a:solidFill>
            <a:schemeClr val="accent1">
              <a:lumMod val="20000"/>
              <a:lumOff val="80000"/>
            </a:schemeClr>
          </a:solidFill>
          <a:ln w="19050">
            <a:noFill/>
          </a:ln>
          <a:effectLst/>
        </c:spPr>
      </c:pivotFmt>
      <c:pivotFmt>
        <c:idx val="15"/>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2969A3"/>
          </a:solidFill>
          <a:ln w="19050">
            <a:noFill/>
          </a:ln>
          <a:effectLst/>
        </c:spPr>
      </c:pivotFmt>
      <c:pivotFmt>
        <c:idx val="17"/>
        <c:spPr>
          <a:solidFill>
            <a:srgbClr val="3B87CD"/>
          </a:solidFill>
          <a:ln w="19050">
            <a:noFill/>
          </a:ln>
          <a:effectLst/>
        </c:spPr>
      </c:pivotFmt>
      <c:pivotFmt>
        <c:idx val="18"/>
        <c:spPr>
          <a:solidFill>
            <a:srgbClr val="3B87CD"/>
          </a:solidFill>
          <a:ln w="19050">
            <a:noFill/>
          </a:ln>
          <a:effectLst/>
        </c:spPr>
      </c:pivotFmt>
      <c:pivotFmt>
        <c:idx val="19"/>
        <c:spPr>
          <a:solidFill>
            <a:srgbClr val="81B2DF"/>
          </a:solidFill>
          <a:ln w="19050">
            <a:noFill/>
          </a:ln>
          <a:effectLst/>
        </c:spPr>
      </c:pivotFmt>
      <c:pivotFmt>
        <c:idx val="20"/>
        <c:spPr>
          <a:solidFill>
            <a:schemeClr val="accent1">
              <a:lumMod val="40000"/>
              <a:lumOff val="60000"/>
            </a:schemeClr>
          </a:solidFill>
          <a:ln w="19050">
            <a:noFill/>
          </a:ln>
          <a:effectLst/>
        </c:spPr>
      </c:pivotFmt>
      <c:pivotFmt>
        <c:idx val="21"/>
        <c:spPr>
          <a:solidFill>
            <a:schemeClr val="accent1">
              <a:lumMod val="20000"/>
              <a:lumOff val="80000"/>
            </a:schemeClr>
          </a:solidFill>
          <a:ln w="19050">
            <a:noFill/>
          </a:ln>
          <a:effectLst/>
        </c:spPr>
      </c:pivotFmt>
      <c:pivotFmt>
        <c:idx val="22"/>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2969A3"/>
          </a:solidFill>
          <a:ln w="19050">
            <a:noFill/>
          </a:ln>
          <a:effectLst/>
        </c:spPr>
      </c:pivotFmt>
      <c:pivotFmt>
        <c:idx val="24"/>
        <c:spPr>
          <a:solidFill>
            <a:srgbClr val="3B87CD"/>
          </a:solidFill>
          <a:ln w="19050">
            <a:noFill/>
          </a:ln>
          <a:effectLst/>
        </c:spPr>
      </c:pivotFmt>
      <c:pivotFmt>
        <c:idx val="25"/>
        <c:spPr>
          <a:solidFill>
            <a:srgbClr val="3B87CD"/>
          </a:solidFill>
          <a:ln w="19050">
            <a:noFill/>
          </a:ln>
          <a:effectLst/>
        </c:spPr>
      </c:pivotFmt>
      <c:pivotFmt>
        <c:idx val="26"/>
        <c:spPr>
          <a:solidFill>
            <a:srgbClr val="81B2DF"/>
          </a:solidFill>
          <a:ln w="19050">
            <a:noFill/>
          </a:ln>
          <a:effectLst/>
        </c:spPr>
      </c:pivotFmt>
      <c:pivotFmt>
        <c:idx val="27"/>
        <c:spPr>
          <a:solidFill>
            <a:schemeClr val="accent1">
              <a:lumMod val="40000"/>
              <a:lumOff val="60000"/>
            </a:schemeClr>
          </a:solidFill>
          <a:ln w="19050">
            <a:noFill/>
          </a:ln>
          <a:effectLst/>
        </c:spPr>
      </c:pivotFmt>
      <c:pivotFmt>
        <c:idx val="28"/>
        <c:spPr>
          <a:solidFill>
            <a:schemeClr val="accent1">
              <a:lumMod val="20000"/>
              <a:lumOff val="80000"/>
            </a:schemeClr>
          </a:solidFill>
          <a:ln w="19050">
            <a:noFill/>
          </a:ln>
          <a:effectLst/>
        </c:spPr>
      </c:pivotFmt>
      <c:pivotFmt>
        <c:idx val="29"/>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2969A3"/>
          </a:solidFill>
          <a:ln w="19050">
            <a:noFill/>
          </a:ln>
          <a:effectLst/>
        </c:spPr>
      </c:pivotFmt>
      <c:pivotFmt>
        <c:idx val="31"/>
        <c:spPr>
          <a:solidFill>
            <a:srgbClr val="3B87CD"/>
          </a:solidFill>
          <a:ln w="19050">
            <a:noFill/>
          </a:ln>
          <a:effectLst/>
        </c:spPr>
      </c:pivotFmt>
      <c:pivotFmt>
        <c:idx val="32"/>
        <c:spPr>
          <a:solidFill>
            <a:srgbClr val="3B87CD"/>
          </a:solidFill>
          <a:ln w="19050">
            <a:noFill/>
          </a:ln>
          <a:effectLst/>
        </c:spPr>
      </c:pivotFmt>
      <c:pivotFmt>
        <c:idx val="33"/>
        <c:spPr>
          <a:solidFill>
            <a:srgbClr val="81B2DF"/>
          </a:solidFill>
          <a:ln w="19050">
            <a:noFill/>
          </a:ln>
          <a:effectLst/>
        </c:spPr>
      </c:pivotFmt>
      <c:pivotFmt>
        <c:idx val="34"/>
        <c:spPr>
          <a:solidFill>
            <a:schemeClr val="accent1">
              <a:lumMod val="40000"/>
              <a:lumOff val="60000"/>
            </a:schemeClr>
          </a:solidFill>
          <a:ln w="19050">
            <a:noFill/>
          </a:ln>
          <a:effectLst/>
        </c:spPr>
      </c:pivotFmt>
      <c:pivotFmt>
        <c:idx val="35"/>
        <c:spPr>
          <a:solidFill>
            <a:schemeClr val="accent1">
              <a:lumMod val="20000"/>
              <a:lumOff val="80000"/>
            </a:schemeClr>
          </a:solidFill>
          <a:ln w="19050">
            <a:noFill/>
          </a:ln>
          <a:effectLst/>
        </c:spPr>
      </c:pivotFmt>
      <c:pivotFmt>
        <c:idx val="36"/>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2969A3"/>
          </a:solidFill>
          <a:ln w="19050">
            <a:noFill/>
          </a:ln>
          <a:effectLst/>
        </c:spPr>
      </c:pivotFmt>
      <c:pivotFmt>
        <c:idx val="38"/>
        <c:spPr>
          <a:solidFill>
            <a:srgbClr val="3B87CD"/>
          </a:solidFill>
          <a:ln w="19050">
            <a:noFill/>
          </a:ln>
          <a:effectLst/>
        </c:spPr>
      </c:pivotFmt>
      <c:pivotFmt>
        <c:idx val="39"/>
        <c:spPr>
          <a:solidFill>
            <a:srgbClr val="3B87CD"/>
          </a:solidFill>
          <a:ln w="19050">
            <a:noFill/>
          </a:ln>
          <a:effectLst/>
        </c:spPr>
      </c:pivotFmt>
      <c:pivotFmt>
        <c:idx val="40"/>
        <c:spPr>
          <a:solidFill>
            <a:srgbClr val="81B2DF"/>
          </a:solidFill>
          <a:ln w="19050">
            <a:noFill/>
          </a:ln>
          <a:effectLst/>
        </c:spPr>
      </c:pivotFmt>
      <c:pivotFmt>
        <c:idx val="41"/>
        <c:spPr>
          <a:solidFill>
            <a:schemeClr val="accent1">
              <a:lumMod val="40000"/>
              <a:lumOff val="60000"/>
            </a:schemeClr>
          </a:solidFill>
          <a:ln w="19050">
            <a:noFill/>
          </a:ln>
          <a:effectLst/>
        </c:spPr>
      </c:pivotFmt>
      <c:pivotFmt>
        <c:idx val="42"/>
        <c:spPr>
          <a:solidFill>
            <a:schemeClr val="accent1">
              <a:lumMod val="20000"/>
              <a:lumOff val="80000"/>
            </a:schemeClr>
          </a:solidFill>
          <a:ln w="19050">
            <a:noFill/>
          </a:ln>
          <a:effectLst/>
        </c:spPr>
      </c:pivotFmt>
      <c:pivotFmt>
        <c:idx val="43"/>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2969A3"/>
          </a:solidFill>
          <a:ln w="19050">
            <a:noFill/>
          </a:ln>
          <a:effectLst/>
        </c:spPr>
      </c:pivotFmt>
      <c:pivotFmt>
        <c:idx val="45"/>
        <c:spPr>
          <a:solidFill>
            <a:srgbClr val="3B87CD"/>
          </a:solidFill>
          <a:ln w="19050">
            <a:noFill/>
          </a:ln>
          <a:effectLst/>
        </c:spPr>
      </c:pivotFmt>
      <c:pivotFmt>
        <c:idx val="46"/>
        <c:spPr>
          <a:solidFill>
            <a:srgbClr val="3B87CD"/>
          </a:solidFill>
          <a:ln w="19050">
            <a:noFill/>
          </a:ln>
          <a:effectLst/>
        </c:spPr>
      </c:pivotFmt>
      <c:pivotFmt>
        <c:idx val="47"/>
        <c:spPr>
          <a:solidFill>
            <a:srgbClr val="81B2DF"/>
          </a:solidFill>
          <a:ln w="19050">
            <a:noFill/>
          </a:ln>
          <a:effectLst/>
        </c:spPr>
      </c:pivotFmt>
      <c:pivotFmt>
        <c:idx val="48"/>
        <c:spPr>
          <a:solidFill>
            <a:schemeClr val="accent1">
              <a:lumMod val="40000"/>
              <a:lumOff val="60000"/>
            </a:schemeClr>
          </a:solidFill>
          <a:ln w="19050">
            <a:noFill/>
          </a:ln>
          <a:effectLst/>
        </c:spPr>
      </c:pivotFmt>
      <c:pivotFmt>
        <c:idx val="49"/>
        <c:spPr>
          <a:solidFill>
            <a:schemeClr val="accent1">
              <a:lumMod val="20000"/>
              <a:lumOff val="80000"/>
            </a:schemeClr>
          </a:solidFill>
          <a:ln w="19050">
            <a:noFill/>
          </a:ln>
          <a:effectLst/>
        </c:spPr>
      </c:pivotFmt>
      <c:pivotFmt>
        <c:idx val="50"/>
        <c:spPr>
          <a:solidFill>
            <a:srgbClr val="235733"/>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2D7142"/>
          </a:solidFill>
          <a:ln w="19050">
            <a:noFill/>
          </a:ln>
          <a:effectLst/>
        </c:spPr>
      </c:pivotFmt>
      <c:pivotFmt>
        <c:idx val="52"/>
        <c:spPr>
          <a:solidFill>
            <a:srgbClr val="36864F"/>
          </a:solidFill>
          <a:ln w="19050">
            <a:noFill/>
          </a:ln>
          <a:effectLst/>
        </c:spPr>
      </c:pivotFmt>
      <c:pivotFmt>
        <c:idx val="53"/>
        <c:spPr>
          <a:solidFill>
            <a:srgbClr val="46B067"/>
          </a:solidFill>
          <a:ln w="19050">
            <a:noFill/>
          </a:ln>
          <a:effectLst/>
        </c:spPr>
      </c:pivotFmt>
      <c:pivotFmt>
        <c:idx val="54"/>
        <c:spPr>
          <a:solidFill>
            <a:srgbClr val="76C88F"/>
          </a:solidFill>
          <a:ln w="19050">
            <a:noFill/>
          </a:ln>
          <a:effectLst/>
        </c:spPr>
      </c:pivotFmt>
      <c:pivotFmt>
        <c:idx val="55"/>
        <c:spPr>
          <a:solidFill>
            <a:srgbClr val="9AD6AD"/>
          </a:solidFill>
          <a:ln w="19050">
            <a:noFill/>
          </a:ln>
          <a:effectLst/>
        </c:spPr>
      </c:pivotFmt>
      <c:pivotFmt>
        <c:idx val="56"/>
        <c:spPr>
          <a:solidFill>
            <a:srgbClr val="B8E2C5"/>
          </a:solidFill>
          <a:ln w="19050">
            <a:noFill/>
          </a:ln>
          <a:effectLst/>
        </c:spPr>
      </c:pivotFmt>
    </c:pivotFmts>
    <c:plotArea>
      <c:layout/>
      <c:barChart>
        <c:barDir val="bar"/>
        <c:grouping val="clustered"/>
        <c:varyColors val="0"/>
        <c:ser>
          <c:idx val="0"/>
          <c:order val="0"/>
          <c:tx>
            <c:v>Total</c:v>
          </c:tx>
          <c:spPr>
            <a:solidFill>
              <a:srgbClr val="235733"/>
            </a:solidFill>
            <a:ln w="19050">
              <a:noFill/>
            </a:ln>
            <a:effectLst/>
          </c:spPr>
          <c:invertIfNegative val="0"/>
          <c:dPt>
            <c:idx val="2"/>
            <c:invertIfNegative val="0"/>
            <c:bubble3D val="0"/>
            <c:spPr>
              <a:solidFill>
                <a:srgbClr val="2D7142"/>
              </a:solidFill>
              <a:ln w="19050">
                <a:noFill/>
              </a:ln>
              <a:effectLst/>
            </c:spPr>
            <c:extLst>
              <c:ext xmlns:c16="http://schemas.microsoft.com/office/drawing/2014/chart" uri="{C3380CC4-5D6E-409C-BE32-E72D297353CC}">
                <c16:uniqueId val="{00000001-ACE9-4362-AE87-42C9ECC857E7}"/>
              </c:ext>
            </c:extLst>
          </c:dPt>
          <c:dPt>
            <c:idx val="3"/>
            <c:invertIfNegative val="0"/>
            <c:bubble3D val="0"/>
            <c:spPr>
              <a:solidFill>
                <a:srgbClr val="36864F"/>
              </a:solidFill>
              <a:ln w="19050">
                <a:noFill/>
              </a:ln>
              <a:effectLst/>
            </c:spPr>
            <c:extLst>
              <c:ext xmlns:c16="http://schemas.microsoft.com/office/drawing/2014/chart" uri="{C3380CC4-5D6E-409C-BE32-E72D297353CC}">
                <c16:uniqueId val="{00000003-ACE9-4362-AE87-42C9ECC857E7}"/>
              </c:ext>
            </c:extLst>
          </c:dPt>
          <c:dPt>
            <c:idx val="4"/>
            <c:invertIfNegative val="0"/>
            <c:bubble3D val="0"/>
            <c:spPr>
              <a:solidFill>
                <a:srgbClr val="46B067"/>
              </a:solidFill>
              <a:ln w="19050">
                <a:noFill/>
              </a:ln>
              <a:effectLst/>
            </c:spPr>
            <c:extLst>
              <c:ext xmlns:c16="http://schemas.microsoft.com/office/drawing/2014/chart" uri="{C3380CC4-5D6E-409C-BE32-E72D297353CC}">
                <c16:uniqueId val="{00000005-ACE9-4362-AE87-42C9ECC857E7}"/>
              </c:ext>
            </c:extLst>
          </c:dPt>
          <c:dPt>
            <c:idx val="5"/>
            <c:invertIfNegative val="0"/>
            <c:bubble3D val="0"/>
            <c:spPr>
              <a:solidFill>
                <a:srgbClr val="76C88F"/>
              </a:solidFill>
              <a:ln w="19050">
                <a:noFill/>
              </a:ln>
              <a:effectLst/>
            </c:spPr>
            <c:extLst>
              <c:ext xmlns:c16="http://schemas.microsoft.com/office/drawing/2014/chart" uri="{C3380CC4-5D6E-409C-BE32-E72D297353CC}">
                <c16:uniqueId val="{00000007-ACE9-4362-AE87-42C9ECC857E7}"/>
              </c:ext>
            </c:extLst>
          </c:dPt>
          <c:dPt>
            <c:idx val="6"/>
            <c:invertIfNegative val="0"/>
            <c:bubble3D val="0"/>
            <c:spPr>
              <a:solidFill>
                <a:srgbClr val="9AD6AD"/>
              </a:solidFill>
              <a:ln w="19050">
                <a:noFill/>
              </a:ln>
              <a:effectLst/>
            </c:spPr>
            <c:extLst>
              <c:ext xmlns:c16="http://schemas.microsoft.com/office/drawing/2014/chart" uri="{C3380CC4-5D6E-409C-BE32-E72D297353CC}">
                <c16:uniqueId val="{00000009-ACE9-4362-AE87-42C9ECC857E7}"/>
              </c:ext>
            </c:extLst>
          </c:dPt>
          <c:dPt>
            <c:idx val="7"/>
            <c:invertIfNegative val="0"/>
            <c:bubble3D val="0"/>
            <c:spPr>
              <a:solidFill>
                <a:srgbClr val="B8E2C5"/>
              </a:solidFill>
              <a:ln w="19050">
                <a:noFill/>
              </a:ln>
              <a:effectLst/>
            </c:spPr>
            <c:extLst>
              <c:ext xmlns:c16="http://schemas.microsoft.com/office/drawing/2014/chart" uri="{C3380CC4-5D6E-409C-BE32-E72D297353CC}">
                <c16:uniqueId val="{0000000B-ACE9-4362-AE87-42C9ECC857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76C88F"/>
                </a:solidFill>
                <a:prstDash val="sysDot"/>
              </a:ln>
              <a:effectLst/>
            </c:spPr>
            <c:trendlineType val="exp"/>
            <c:dispRSqr val="0"/>
            <c:dispEq val="0"/>
          </c:trendline>
          <c:cat>
            <c:strLit>
              <c:ptCount val="8"/>
              <c:pt idx="0">
                <c:v>Nancy Freehafer</c:v>
              </c:pt>
              <c:pt idx="1">
                <c:v>Anne Larsen</c:v>
              </c:pt>
              <c:pt idx="2">
                <c:v>Andrew Cencini</c:v>
              </c:pt>
              <c:pt idx="3">
                <c:v>Mariya Sergienko</c:v>
              </c:pt>
              <c:pt idx="4">
                <c:v>Laura Giussani</c:v>
              </c:pt>
              <c:pt idx="5">
                <c:v>Michael Neipper</c:v>
              </c:pt>
              <c:pt idx="6">
                <c:v>Robert Zare</c:v>
              </c:pt>
              <c:pt idx="7">
                <c:v>Jan Kotas</c:v>
              </c:pt>
            </c:strLit>
          </c:cat>
          <c:val>
            <c:numLit>
              <c:formatCode>General</c:formatCode>
              <c:ptCount val="8"/>
              <c:pt idx="0">
                <c:v>104252.33999999997</c:v>
              </c:pt>
              <c:pt idx="1">
                <c:v>93858.329999999987</c:v>
              </c:pt>
              <c:pt idx="2">
                <c:v>67180.5</c:v>
              </c:pt>
              <c:pt idx="3">
                <c:v>42370.880000000005</c:v>
              </c:pt>
              <c:pt idx="4">
                <c:v>41095.01</c:v>
              </c:pt>
              <c:pt idx="5">
                <c:v>37428</c:v>
              </c:pt>
              <c:pt idx="6">
                <c:v>32530.6</c:v>
              </c:pt>
              <c:pt idx="7">
                <c:v>16350.5</c:v>
              </c:pt>
            </c:numLit>
          </c:val>
          <c:extLst>
            <c:ext xmlns:c16="http://schemas.microsoft.com/office/drawing/2014/chart" uri="{C3380CC4-5D6E-409C-BE32-E72D297353CC}">
              <c16:uniqueId val="{0000000D-ACE9-4362-AE87-42C9ECC857E7}"/>
            </c:ext>
          </c:extLst>
        </c:ser>
        <c:dLbls>
          <c:showLegendKey val="0"/>
          <c:showVal val="0"/>
          <c:showCatName val="0"/>
          <c:showSerName val="0"/>
          <c:showPercent val="0"/>
          <c:showBubbleSize val="0"/>
        </c:dLbls>
        <c:gapWidth val="20"/>
        <c:axId val="575352784"/>
        <c:axId val="575352064"/>
      </c:barChart>
      <c:valAx>
        <c:axId val="575352064"/>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575352784"/>
        <c:crosses val="autoZero"/>
        <c:crossBetween val="between"/>
      </c:valAx>
      <c:catAx>
        <c:axId val="57535278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7535206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noFill/>
          </a:ln>
          <a:effectLst/>
        </c:spPr>
      </c:pivotFmt>
      <c:pivotFmt>
        <c:idx val="2"/>
        <c:spPr>
          <a:solidFill>
            <a:schemeClr val="accent1">
              <a:lumMod val="60000"/>
              <a:lumOff val="40000"/>
            </a:schemeClr>
          </a:solidFill>
          <a:ln w="19050">
            <a:noFill/>
          </a:ln>
          <a:effectLst/>
        </c:spPr>
      </c:pivotFmt>
      <c:pivotFmt>
        <c:idx val="3"/>
        <c:spPr>
          <a:solidFill>
            <a:schemeClr val="accent1">
              <a:lumMod val="40000"/>
              <a:lumOff val="60000"/>
            </a:schemeClr>
          </a:solidFill>
          <a:ln w="19050">
            <a:noFill/>
          </a:ln>
          <a:effectLst/>
        </c:spPr>
      </c:pivotFmt>
      <c:pivotFmt>
        <c:idx val="4"/>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w="19050">
            <a:noFill/>
          </a:ln>
          <a:effectLst/>
        </c:spPr>
      </c:pivotFmt>
      <c:pivotFmt>
        <c:idx val="6"/>
        <c:spPr>
          <a:solidFill>
            <a:schemeClr val="accent1">
              <a:lumMod val="75000"/>
            </a:schemeClr>
          </a:solidFill>
          <a:ln w="19050">
            <a:noFill/>
          </a:ln>
          <a:effectLst/>
        </c:spPr>
      </c:pivotFmt>
      <c:pivotFmt>
        <c:idx val="7"/>
        <c:spPr>
          <a:solidFill>
            <a:schemeClr val="accent1">
              <a:lumMod val="60000"/>
              <a:lumOff val="40000"/>
            </a:schemeClr>
          </a:solidFill>
          <a:ln w="19050">
            <a:noFill/>
          </a:ln>
          <a:effectLst/>
        </c:spPr>
      </c:pivotFmt>
      <c:pivotFmt>
        <c:idx val="8"/>
        <c:spPr>
          <a:solidFill>
            <a:schemeClr val="accent1">
              <a:lumMod val="40000"/>
              <a:lumOff val="60000"/>
            </a:schemeClr>
          </a:solidFill>
          <a:ln w="19050">
            <a:noFill/>
          </a:ln>
          <a:effectLst/>
        </c:spPr>
      </c:pivotFmt>
      <c:pivotFmt>
        <c:idx val="9"/>
        <c:spPr>
          <a:solidFill>
            <a:srgbClr val="2969A3"/>
          </a:solidFill>
          <a:ln w="19050">
            <a:noFill/>
          </a:ln>
          <a:effectLst/>
        </c:spPr>
      </c:pivotFmt>
      <c:pivotFmt>
        <c:idx val="10"/>
        <c:spPr>
          <a:solidFill>
            <a:srgbClr val="3B87CD"/>
          </a:solidFill>
          <a:ln w="19050">
            <a:noFill/>
          </a:ln>
          <a:effectLst/>
        </c:spPr>
      </c:pivotFmt>
      <c:pivotFmt>
        <c:idx val="11"/>
        <c:spPr>
          <a:solidFill>
            <a:srgbClr val="3B87CD"/>
          </a:solidFill>
          <a:ln w="19050">
            <a:noFill/>
          </a:ln>
          <a:effectLst/>
        </c:spPr>
      </c:pivotFmt>
      <c:pivotFmt>
        <c:idx val="12"/>
        <c:spPr>
          <a:solidFill>
            <a:srgbClr val="81B2DF"/>
          </a:solidFill>
          <a:ln w="19050">
            <a:noFill/>
          </a:ln>
          <a:effectLst/>
        </c:spPr>
      </c:pivotFmt>
      <c:pivotFmt>
        <c:idx val="13"/>
        <c:spPr>
          <a:solidFill>
            <a:schemeClr val="accent1">
              <a:lumMod val="40000"/>
              <a:lumOff val="60000"/>
            </a:schemeClr>
          </a:solidFill>
          <a:ln w="19050">
            <a:noFill/>
          </a:ln>
          <a:effectLst/>
        </c:spPr>
      </c:pivotFmt>
      <c:pivotFmt>
        <c:idx val="14"/>
        <c:spPr>
          <a:solidFill>
            <a:schemeClr val="accent1">
              <a:lumMod val="20000"/>
              <a:lumOff val="80000"/>
            </a:schemeClr>
          </a:solidFill>
          <a:ln w="19050">
            <a:noFill/>
          </a:ln>
          <a:effectLst/>
        </c:spPr>
      </c:pivotFmt>
      <c:pivotFmt>
        <c:idx val="15"/>
        <c:spPr>
          <a:solidFill>
            <a:schemeClr val="accent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2969A3"/>
          </a:solidFill>
          <a:ln w="19050">
            <a:noFill/>
          </a:ln>
          <a:effectLst/>
        </c:spPr>
      </c:pivotFmt>
      <c:pivotFmt>
        <c:idx val="17"/>
        <c:spPr>
          <a:solidFill>
            <a:srgbClr val="3B87CD"/>
          </a:solidFill>
          <a:ln w="19050">
            <a:noFill/>
          </a:ln>
          <a:effectLst/>
        </c:spPr>
      </c:pivotFmt>
      <c:pivotFmt>
        <c:idx val="18"/>
        <c:spPr>
          <a:solidFill>
            <a:srgbClr val="3B87CD"/>
          </a:solidFill>
          <a:ln w="19050">
            <a:noFill/>
          </a:ln>
          <a:effectLst/>
        </c:spPr>
      </c:pivotFmt>
      <c:pivotFmt>
        <c:idx val="19"/>
        <c:spPr>
          <a:solidFill>
            <a:srgbClr val="81B2DF"/>
          </a:solidFill>
          <a:ln w="19050">
            <a:noFill/>
          </a:ln>
          <a:effectLst/>
        </c:spPr>
      </c:pivotFmt>
      <c:pivotFmt>
        <c:idx val="20"/>
        <c:spPr>
          <a:solidFill>
            <a:schemeClr val="accent1">
              <a:lumMod val="40000"/>
              <a:lumOff val="60000"/>
            </a:schemeClr>
          </a:solidFill>
          <a:ln w="19050">
            <a:noFill/>
          </a:ln>
          <a:effectLst/>
        </c:spPr>
      </c:pivotFmt>
      <c:pivotFmt>
        <c:idx val="21"/>
        <c:spPr>
          <a:solidFill>
            <a:schemeClr val="accent1">
              <a:lumMod val="20000"/>
              <a:lumOff val="80000"/>
            </a:schemeClr>
          </a:solidFill>
          <a:ln w="19050">
            <a:noFill/>
          </a:ln>
          <a:effectLst/>
        </c:spPr>
      </c:pivotFmt>
      <c:pivotFmt>
        <c:idx val="22"/>
        <c:spPr>
          <a:solidFill>
            <a:srgbClr val="245A8C"/>
          </a:solidFill>
          <a:ln w="19050">
            <a:noFill/>
          </a:ln>
          <a:effectLst/>
        </c:spPr>
      </c:pivotFmt>
      <c:pivotFmt>
        <c:idx val="23"/>
        <c:spPr>
          <a:solidFill>
            <a:srgbClr val="2A69A2"/>
          </a:solidFill>
          <a:ln w="19050">
            <a:noFill/>
          </a:ln>
          <a:effectLst/>
        </c:spPr>
      </c:pivotFmt>
      <c:pivotFmt>
        <c:idx val="24"/>
        <c:spPr>
          <a:solidFill>
            <a:srgbClr val="3381C7"/>
          </a:solidFill>
          <a:ln w="19050">
            <a:noFill/>
          </a:ln>
          <a:effectLst/>
        </c:spPr>
      </c:pivotFmt>
      <c:pivotFmt>
        <c:idx val="25"/>
        <c:spPr>
          <a:solidFill>
            <a:srgbClr val="5195D3"/>
          </a:solidFill>
          <a:ln w="19050">
            <a:noFill/>
          </a:ln>
          <a:effectLst/>
        </c:spPr>
      </c:pivotFmt>
      <c:pivotFmt>
        <c:idx val="26"/>
        <c:spPr>
          <a:solidFill>
            <a:srgbClr val="73A9DB"/>
          </a:solidFill>
          <a:ln w="19050">
            <a:noFill/>
          </a:ln>
          <a:effectLst/>
        </c:spPr>
      </c:pivotFmt>
      <c:pivotFmt>
        <c:idx val="27"/>
        <c:spPr>
          <a:solidFill>
            <a:srgbClr val="98C0E4"/>
          </a:solidFill>
          <a:ln w="19050">
            <a:noFill/>
          </a:ln>
          <a:effectLst/>
        </c:spPr>
      </c:pivotFmt>
      <c:pivotFmt>
        <c:idx val="28"/>
        <c:spPr>
          <a:solidFill>
            <a:srgbClr val="CEE1F2"/>
          </a:solidFill>
          <a:ln w="19050">
            <a:noFill/>
          </a:ln>
          <a:effectLst/>
        </c:spPr>
      </c:pivotFmt>
      <c:pivotFmt>
        <c:idx val="29"/>
        <c:spPr>
          <a:solidFill>
            <a:srgbClr val="D4E5F4"/>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D4E5F4"/>
          </a:solidFill>
          <a:ln w="19050">
            <a:noFill/>
          </a:ln>
          <a:effectLst/>
        </c:spPr>
      </c:pivotFmt>
      <c:pivotFmt>
        <c:idx val="32"/>
        <c:spPr>
          <a:solidFill>
            <a:srgbClr val="CEE1F2"/>
          </a:solidFill>
          <a:ln w="19050">
            <a:noFill/>
          </a:ln>
          <a:effectLst/>
        </c:spPr>
      </c:pivotFmt>
      <c:pivotFmt>
        <c:idx val="33"/>
        <c:spPr>
          <a:solidFill>
            <a:srgbClr val="98C0E4"/>
          </a:solidFill>
          <a:ln w="19050">
            <a:noFill/>
          </a:ln>
          <a:effectLst/>
        </c:spPr>
      </c:pivotFmt>
      <c:pivotFmt>
        <c:idx val="34"/>
        <c:spPr>
          <a:solidFill>
            <a:srgbClr val="73A9DB"/>
          </a:solidFill>
          <a:ln w="19050">
            <a:noFill/>
          </a:ln>
          <a:effectLst/>
        </c:spPr>
      </c:pivotFmt>
      <c:pivotFmt>
        <c:idx val="35"/>
        <c:spPr>
          <a:solidFill>
            <a:srgbClr val="5195D3"/>
          </a:solidFill>
          <a:ln w="19050">
            <a:noFill/>
          </a:ln>
          <a:effectLst/>
        </c:spPr>
      </c:pivotFmt>
      <c:pivotFmt>
        <c:idx val="36"/>
        <c:spPr>
          <a:solidFill>
            <a:srgbClr val="3381C7"/>
          </a:solidFill>
          <a:ln w="19050">
            <a:noFill/>
          </a:ln>
          <a:effectLst/>
        </c:spPr>
      </c:pivotFmt>
      <c:pivotFmt>
        <c:idx val="37"/>
        <c:spPr>
          <a:solidFill>
            <a:srgbClr val="2A69A2"/>
          </a:solidFill>
          <a:ln w="19050">
            <a:noFill/>
          </a:ln>
          <a:effectLst/>
        </c:spPr>
      </c:pivotFmt>
      <c:pivotFmt>
        <c:idx val="38"/>
        <c:spPr>
          <a:solidFill>
            <a:srgbClr val="245A8C"/>
          </a:solidFill>
          <a:ln w="19050">
            <a:noFill/>
          </a:ln>
          <a:effectLst/>
        </c:spPr>
      </c:pivotFmt>
      <c:pivotFmt>
        <c:idx val="39"/>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40"/>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41"/>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42"/>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43"/>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44"/>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45"/>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46"/>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47"/>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49"/>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50"/>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51"/>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52"/>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53"/>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54"/>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55"/>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56"/>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layout>
            <c:manualLayout>
              <c:x val="-1.7226528854437095E-3"/>
              <c:y val="-5.4794494279895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59"/>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60"/>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61"/>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layout>
            <c:manualLayout>
              <c:x val="-6.8906115417743325E-3"/>
              <c:y val="-4.26179399954745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layout>
            <c:manualLayout>
              <c:x val="-6.8906115417744591E-3"/>
              <c:y val="3.65296628532637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64"/>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65"/>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layout>
            <c:manualLayout>
              <c:x val="-1.7226528854437095E-3"/>
              <c:y val="-5.4794494279895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68"/>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69"/>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70"/>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layout>
            <c:manualLayout>
              <c:x val="-6.8906115417743325E-3"/>
              <c:y val="-4.26179399954745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layout>
            <c:manualLayout>
              <c:x val="-6.8906115417744591E-3"/>
              <c:y val="3.65296628532637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73"/>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74"/>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layout>
            <c:manualLayout>
              <c:x val="-1.7226528854437095E-3"/>
              <c:y val="-5.4794494279895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77"/>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78"/>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79"/>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layout>
            <c:manualLayout>
              <c:x val="-6.8906115417743325E-3"/>
              <c:y val="-4.26179399954745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layout>
            <c:manualLayout>
              <c:x val="-6.8906115417744591E-3"/>
              <c:y val="3.65296628532637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82"/>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83"/>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layout>
            <c:manualLayout>
              <c:x val="-1.7226528854437095E-3"/>
              <c:y val="-5.4794494279895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86"/>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87"/>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88"/>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layout>
            <c:manualLayout>
              <c:x val="-6.8906115417743325E-3"/>
              <c:y val="-4.26179399954745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dLbl>
          <c:idx val="0"/>
          <c:layout>
            <c:manualLayout>
              <c:x val="-6.8906115417744591E-3"/>
              <c:y val="3.65296628532637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91"/>
        <c:spPr>
          <a:solidFill>
            <a:schemeClr val="accent1"/>
          </a:solidFill>
          <a:ln w="28575" cap="rnd">
            <a:solidFill>
              <a:schemeClr val="accent1">
                <a:lumMod val="50000"/>
              </a:schemeClr>
            </a:solidFill>
            <a:round/>
          </a:ln>
          <a:effectLst/>
        </c:spPr>
        <c:marker>
          <c:symbol val="circle"/>
          <c:size val="5"/>
          <c:spPr>
            <a:solidFill>
              <a:srgbClr val="73A9DB"/>
            </a:solidFill>
            <a:ln w="9525">
              <a:solidFill>
                <a:schemeClr val="accent1">
                  <a:lumMod val="50000"/>
                </a:schemeClr>
              </a:solidFill>
            </a:ln>
            <a:effectLst/>
          </c:spPr>
        </c:marker>
      </c:pivotFmt>
      <c:pivotFmt>
        <c:idx val="92"/>
        <c:spPr>
          <a:solidFill>
            <a:srgbClr val="9AD6AD"/>
          </a:solidFill>
          <a:ln w="9525">
            <a:solidFill>
              <a:srgbClr val="46B06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3"/>
        <c:spPr>
          <a:solidFill>
            <a:srgbClr val="9AD6AD"/>
          </a:solidFill>
          <a:ln w="9525" cap="rnd">
            <a:solidFill>
              <a:srgbClr val="46B067"/>
            </a:solidFill>
            <a:round/>
          </a:ln>
          <a:effectLst/>
        </c:spPr>
        <c:marker>
          <c:symbol val="none"/>
        </c:marker>
        <c:dLbl>
          <c:idx val="0"/>
          <c:layout>
            <c:manualLayout>
              <c:x val="-2.9665810490276713E-4"/>
              <c:y val="-0.423588777343372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4"/>
        <c:spPr>
          <a:solidFill>
            <a:srgbClr val="9AD6AD"/>
          </a:solidFill>
          <a:ln w="9525" cap="rnd">
            <a:solidFill>
              <a:srgbClr val="46B067"/>
            </a:solidFill>
            <a:round/>
          </a:ln>
          <a:effectLst/>
        </c:spPr>
        <c:marker>
          <c:symbol val="none"/>
        </c:marker>
        <c:dLbl>
          <c:idx val="0"/>
          <c:layout>
            <c:manualLayout>
              <c:x val="-1.4260249554367306E-2"/>
              <c:y val="-0.382978937275332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rgbClr val="9AD6AD"/>
          </a:solidFill>
          <a:ln w="9525" cap="rnd">
            <a:solidFill>
              <a:srgbClr val="46B067"/>
            </a:solidFill>
            <a:round/>
          </a:ln>
          <a:effectLst/>
        </c:spPr>
        <c:marker>
          <c:symbol val="none"/>
        </c:marker>
        <c:dLbl>
          <c:idx val="0"/>
          <c:layout>
            <c:manualLayout>
              <c:x val="-1.4260249554367201E-3"/>
              <c:y val="-0.418439949986011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rgbClr val="9AD6AD"/>
          </a:solidFill>
          <a:ln w="9525" cap="rnd">
            <a:solidFill>
              <a:srgbClr val="46B067"/>
            </a:solidFill>
            <a:round/>
          </a:ln>
          <a:effectLst/>
        </c:spPr>
        <c:marker>
          <c:symbol val="none"/>
        </c:marker>
        <c:dLbl>
          <c:idx val="0"/>
          <c:layout>
            <c:manualLayout>
              <c:x val="-1.4260249554367201E-3"/>
              <c:y val="-0.32624131693824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9AD6AD"/>
          </a:solidFill>
          <a:ln w="9525" cap="rnd">
            <a:solidFill>
              <a:srgbClr val="46B067"/>
            </a:solidFill>
            <a:round/>
          </a:ln>
          <a:effectLst/>
        </c:spPr>
        <c:marker>
          <c:symbol val="none"/>
        </c:marker>
        <c:dLbl>
          <c:idx val="0"/>
          <c:layout>
            <c:manualLayout>
              <c:x val="5.9436046430025122E-3"/>
              <c:y val="-0.276660678316121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9AD6AD"/>
          </a:solidFill>
          <a:ln w="9525" cap="rnd">
            <a:solidFill>
              <a:srgbClr val="46B067"/>
            </a:solidFill>
            <a:round/>
          </a:ln>
          <a:effectLst/>
        </c:spPr>
        <c:marker>
          <c:symbol val="none"/>
        </c:marker>
        <c:dLbl>
          <c:idx val="0"/>
          <c:layout>
            <c:manualLayout>
              <c:x val="1.0221679509312673E-2"/>
              <c:y val="-0.339356865670891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rgbClr val="9AD6AD"/>
          </a:solidFill>
          <a:ln w="9525" cap="rnd">
            <a:solidFill>
              <a:srgbClr val="46B067"/>
            </a:solidFill>
            <a:round/>
          </a:ln>
          <a:effectLst/>
        </c:spPr>
        <c:marker>
          <c:symbol val="none"/>
        </c:marker>
        <c:dLbl>
          <c:idx val="0"/>
          <c:layout>
            <c:manualLayout>
              <c:x val="-9.9821746880570938E-3"/>
              <c:y val="-0.425532152528146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0"/>
        <c:spPr>
          <a:solidFill>
            <a:srgbClr val="9AD6AD"/>
          </a:solidFill>
          <a:ln w="9525" cap="rnd">
            <a:solidFill>
              <a:srgbClr val="46B067"/>
            </a:solidFill>
            <a:round/>
          </a:ln>
          <a:effectLst/>
        </c:spPr>
        <c:marker>
          <c:symbol val="none"/>
        </c:marker>
        <c:dLbl>
          <c:idx val="0"/>
          <c:layout>
            <c:manualLayout>
              <c:x val="-8.5561497326203731E-3"/>
              <c:y val="-0.340425722022517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1"/>
        <c:spPr>
          <a:solidFill>
            <a:srgbClr val="9AD6AD"/>
          </a:solidFill>
          <a:ln w="9525">
            <a:solidFill>
              <a:srgbClr val="46B067"/>
            </a:solidFill>
          </a:ln>
          <a:effectLst/>
        </c:spPr>
        <c:dLbl>
          <c:idx val="0"/>
          <c:layout>
            <c:manualLayout>
              <c:x val="5.7040998217468804E-3"/>
              <c:y val="-0.347517924564653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2"/>
        <c:spPr>
          <a:solidFill>
            <a:srgbClr val="9AD6AD"/>
          </a:solidFill>
          <a:ln w="9525">
            <a:solidFill>
              <a:srgbClr val="46B067"/>
            </a:solidFill>
          </a:ln>
          <a:effectLst/>
        </c:spPr>
        <c:dLbl>
          <c:idx val="0"/>
          <c:layout>
            <c:manualLayout>
              <c:x val="2.8520499108734402E-3"/>
              <c:y val="-0.283688101685431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rgbClr val="9AD6AD"/>
          </a:solidFill>
          <a:ln w="9525">
            <a:solidFill>
              <a:srgbClr val="46B067"/>
            </a:solidFill>
          </a:ln>
          <a:effectLst/>
        </c:spPr>
        <c:dLbl>
          <c:idx val="0"/>
          <c:layout>
            <c:manualLayout>
              <c:x val="-2.6143488837859237E-17"/>
              <c:y val="-0.31914911439611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4"/>
        <c:spPr>
          <a:solidFill>
            <a:srgbClr val="9AD6AD"/>
          </a:solidFill>
          <a:ln w="9525">
            <a:solidFill>
              <a:srgbClr val="46B067"/>
            </a:solidFill>
          </a:ln>
          <a:effectLst/>
        </c:spPr>
        <c:dLbl>
          <c:idx val="0"/>
          <c:layout>
            <c:manualLayout>
              <c:x val="-5.2286977675718474E-17"/>
              <c:y val="-0.290780304227567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Total</c:v>
          </c:tx>
          <c:spPr>
            <a:solidFill>
              <a:srgbClr val="9AD6AD"/>
            </a:solidFill>
            <a:ln w="9525">
              <a:solidFill>
                <a:srgbClr val="46B067"/>
              </a:solidFill>
            </a:ln>
            <a:effectLst/>
          </c:spPr>
          <c:dPt>
            <c:idx val="0"/>
            <c:bubble3D val="0"/>
            <c:spPr>
              <a:solidFill>
                <a:srgbClr val="9AD6AD"/>
              </a:solidFill>
              <a:ln w="9525" cap="rnd">
                <a:solidFill>
                  <a:srgbClr val="46B067"/>
                </a:solidFill>
                <a:round/>
              </a:ln>
              <a:effectLst/>
            </c:spPr>
            <c:extLst>
              <c:ext xmlns:c16="http://schemas.microsoft.com/office/drawing/2014/chart" uri="{C3380CC4-5D6E-409C-BE32-E72D297353CC}">
                <c16:uniqueId val="{00000001-448C-4E6D-A17D-50492F7E37CC}"/>
              </c:ext>
            </c:extLst>
          </c:dPt>
          <c:dPt>
            <c:idx val="1"/>
            <c:bubble3D val="0"/>
            <c:spPr>
              <a:solidFill>
                <a:srgbClr val="9AD6AD"/>
              </a:solidFill>
              <a:ln w="9525" cap="rnd">
                <a:solidFill>
                  <a:srgbClr val="46B067"/>
                </a:solidFill>
                <a:round/>
              </a:ln>
              <a:effectLst/>
            </c:spPr>
            <c:extLst>
              <c:ext xmlns:c16="http://schemas.microsoft.com/office/drawing/2014/chart" uri="{C3380CC4-5D6E-409C-BE32-E72D297353CC}">
                <c16:uniqueId val="{00000003-448C-4E6D-A17D-50492F7E37CC}"/>
              </c:ext>
            </c:extLst>
          </c:dPt>
          <c:dPt>
            <c:idx val="2"/>
            <c:bubble3D val="0"/>
            <c:spPr>
              <a:solidFill>
                <a:srgbClr val="9AD6AD"/>
              </a:solidFill>
              <a:ln w="9525" cap="rnd">
                <a:solidFill>
                  <a:srgbClr val="46B067"/>
                </a:solidFill>
                <a:round/>
              </a:ln>
              <a:effectLst/>
            </c:spPr>
            <c:extLst>
              <c:ext xmlns:c16="http://schemas.microsoft.com/office/drawing/2014/chart" uri="{C3380CC4-5D6E-409C-BE32-E72D297353CC}">
                <c16:uniqueId val="{00000005-448C-4E6D-A17D-50492F7E37CC}"/>
              </c:ext>
            </c:extLst>
          </c:dPt>
          <c:dPt>
            <c:idx val="3"/>
            <c:bubble3D val="0"/>
            <c:spPr>
              <a:solidFill>
                <a:srgbClr val="9AD6AD"/>
              </a:solidFill>
              <a:ln w="9525" cap="rnd">
                <a:solidFill>
                  <a:srgbClr val="46B067"/>
                </a:solidFill>
                <a:round/>
              </a:ln>
              <a:effectLst/>
            </c:spPr>
            <c:extLst>
              <c:ext xmlns:c16="http://schemas.microsoft.com/office/drawing/2014/chart" uri="{C3380CC4-5D6E-409C-BE32-E72D297353CC}">
                <c16:uniqueId val="{00000007-448C-4E6D-A17D-50492F7E37CC}"/>
              </c:ext>
            </c:extLst>
          </c:dPt>
          <c:dPt>
            <c:idx val="4"/>
            <c:bubble3D val="0"/>
            <c:spPr>
              <a:solidFill>
                <a:srgbClr val="9AD6AD"/>
              </a:solidFill>
              <a:ln w="9525" cap="rnd">
                <a:solidFill>
                  <a:srgbClr val="46B067"/>
                </a:solidFill>
                <a:round/>
              </a:ln>
              <a:effectLst/>
            </c:spPr>
            <c:extLst>
              <c:ext xmlns:c16="http://schemas.microsoft.com/office/drawing/2014/chart" uri="{C3380CC4-5D6E-409C-BE32-E72D297353CC}">
                <c16:uniqueId val="{00000009-448C-4E6D-A17D-50492F7E37CC}"/>
              </c:ext>
            </c:extLst>
          </c:dPt>
          <c:dPt>
            <c:idx val="5"/>
            <c:bubble3D val="0"/>
            <c:spPr>
              <a:solidFill>
                <a:srgbClr val="9AD6AD"/>
              </a:solidFill>
              <a:ln w="9525" cap="rnd">
                <a:solidFill>
                  <a:srgbClr val="46B067"/>
                </a:solidFill>
                <a:round/>
              </a:ln>
              <a:effectLst/>
            </c:spPr>
            <c:extLst>
              <c:ext xmlns:c16="http://schemas.microsoft.com/office/drawing/2014/chart" uri="{C3380CC4-5D6E-409C-BE32-E72D297353CC}">
                <c16:uniqueId val="{0000000B-448C-4E6D-A17D-50492F7E37CC}"/>
              </c:ext>
            </c:extLst>
          </c:dPt>
          <c:dPt>
            <c:idx val="6"/>
            <c:bubble3D val="0"/>
            <c:spPr>
              <a:solidFill>
                <a:srgbClr val="9AD6AD"/>
              </a:solidFill>
              <a:ln w="9525" cap="rnd">
                <a:solidFill>
                  <a:srgbClr val="46B067"/>
                </a:solidFill>
                <a:round/>
              </a:ln>
              <a:effectLst/>
            </c:spPr>
            <c:extLst>
              <c:ext xmlns:c16="http://schemas.microsoft.com/office/drawing/2014/chart" uri="{C3380CC4-5D6E-409C-BE32-E72D297353CC}">
                <c16:uniqueId val="{0000000D-448C-4E6D-A17D-50492F7E37CC}"/>
              </c:ext>
            </c:extLst>
          </c:dPt>
          <c:dPt>
            <c:idx val="7"/>
            <c:bubble3D val="0"/>
            <c:spPr>
              <a:solidFill>
                <a:srgbClr val="9AD6AD"/>
              </a:solidFill>
              <a:ln w="9525" cap="rnd">
                <a:solidFill>
                  <a:srgbClr val="46B067"/>
                </a:solidFill>
                <a:round/>
              </a:ln>
              <a:effectLst/>
            </c:spPr>
            <c:extLst>
              <c:ext xmlns:c16="http://schemas.microsoft.com/office/drawing/2014/chart" uri="{C3380CC4-5D6E-409C-BE32-E72D297353CC}">
                <c16:uniqueId val="{0000000F-448C-4E6D-A17D-50492F7E37CC}"/>
              </c:ext>
            </c:extLst>
          </c:dPt>
          <c:dPt>
            <c:idx val="8"/>
            <c:bubble3D val="0"/>
            <c:extLst>
              <c:ext xmlns:c16="http://schemas.microsoft.com/office/drawing/2014/chart" uri="{C3380CC4-5D6E-409C-BE32-E72D297353CC}">
                <c16:uniqueId val="{00000010-448C-4E6D-A17D-50492F7E37CC}"/>
              </c:ext>
            </c:extLst>
          </c:dPt>
          <c:dPt>
            <c:idx val="9"/>
            <c:bubble3D val="0"/>
            <c:extLst>
              <c:ext xmlns:c16="http://schemas.microsoft.com/office/drawing/2014/chart" uri="{C3380CC4-5D6E-409C-BE32-E72D297353CC}">
                <c16:uniqueId val="{00000011-448C-4E6D-A17D-50492F7E37CC}"/>
              </c:ext>
            </c:extLst>
          </c:dPt>
          <c:dPt>
            <c:idx val="10"/>
            <c:bubble3D val="0"/>
            <c:extLst>
              <c:ext xmlns:c16="http://schemas.microsoft.com/office/drawing/2014/chart" uri="{C3380CC4-5D6E-409C-BE32-E72D297353CC}">
                <c16:uniqueId val="{00000012-448C-4E6D-A17D-50492F7E37CC}"/>
              </c:ext>
            </c:extLst>
          </c:dPt>
          <c:dPt>
            <c:idx val="11"/>
            <c:bubble3D val="0"/>
            <c:extLst>
              <c:ext xmlns:c16="http://schemas.microsoft.com/office/drawing/2014/chart" uri="{C3380CC4-5D6E-409C-BE32-E72D297353CC}">
                <c16:uniqueId val="{00000013-448C-4E6D-A17D-50492F7E37CC}"/>
              </c:ext>
            </c:extLst>
          </c:dPt>
          <c:dLbls>
            <c:dLbl>
              <c:idx val="0"/>
              <c:layout>
                <c:manualLayout>
                  <c:x val="-2.9665810490276713E-4"/>
                  <c:y val="-0.423588777343372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48C-4E6D-A17D-50492F7E37CC}"/>
                </c:ext>
              </c:extLst>
            </c:dLbl>
            <c:dLbl>
              <c:idx val="1"/>
              <c:layout>
                <c:manualLayout>
                  <c:x val="-1.4260249554367306E-2"/>
                  <c:y val="-0.382978937275332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48C-4E6D-A17D-50492F7E37CC}"/>
                </c:ext>
              </c:extLst>
            </c:dLbl>
            <c:dLbl>
              <c:idx val="2"/>
              <c:layout>
                <c:manualLayout>
                  <c:x val="-1.4260249554367201E-3"/>
                  <c:y val="-0.418439949986011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48C-4E6D-A17D-50492F7E37CC}"/>
                </c:ext>
              </c:extLst>
            </c:dLbl>
            <c:dLbl>
              <c:idx val="3"/>
              <c:layout>
                <c:manualLayout>
                  <c:x val="-1.4260249554367201E-3"/>
                  <c:y val="-0.326241316938245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48C-4E6D-A17D-50492F7E37CC}"/>
                </c:ext>
              </c:extLst>
            </c:dLbl>
            <c:dLbl>
              <c:idx val="4"/>
              <c:layout>
                <c:manualLayout>
                  <c:x val="5.9436046430025122E-3"/>
                  <c:y val="-0.276660678316121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48C-4E6D-A17D-50492F7E37CC}"/>
                </c:ext>
              </c:extLst>
            </c:dLbl>
            <c:dLbl>
              <c:idx val="5"/>
              <c:layout>
                <c:manualLayout>
                  <c:x val="1.0221679509312673E-2"/>
                  <c:y val="-0.339356865670891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48C-4E6D-A17D-50492F7E37CC}"/>
                </c:ext>
              </c:extLst>
            </c:dLbl>
            <c:dLbl>
              <c:idx val="6"/>
              <c:layout>
                <c:manualLayout>
                  <c:x val="-9.9821746880570938E-3"/>
                  <c:y val="-0.425532152528146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48C-4E6D-A17D-50492F7E37CC}"/>
                </c:ext>
              </c:extLst>
            </c:dLbl>
            <c:dLbl>
              <c:idx val="7"/>
              <c:layout>
                <c:manualLayout>
                  <c:x val="-8.5561497326203731E-3"/>
                  <c:y val="-0.340425722022517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48C-4E6D-A17D-50492F7E37CC}"/>
                </c:ext>
              </c:extLst>
            </c:dLbl>
            <c:dLbl>
              <c:idx val="8"/>
              <c:layout>
                <c:manualLayout>
                  <c:x val="-5.2286977675718474E-17"/>
                  <c:y val="-0.290780304227567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48C-4E6D-A17D-50492F7E37CC}"/>
                </c:ext>
              </c:extLst>
            </c:dLbl>
            <c:dLbl>
              <c:idx val="9"/>
              <c:layout>
                <c:manualLayout>
                  <c:x val="-2.6143488837859237E-17"/>
                  <c:y val="-0.31914911439611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48C-4E6D-A17D-50492F7E37CC}"/>
                </c:ext>
              </c:extLst>
            </c:dLbl>
            <c:dLbl>
              <c:idx val="10"/>
              <c:layout>
                <c:manualLayout>
                  <c:x val="2.8520499108734402E-3"/>
                  <c:y val="-0.283688101685431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48C-4E6D-A17D-50492F7E37CC}"/>
                </c:ext>
              </c:extLst>
            </c:dLbl>
            <c:dLbl>
              <c:idx val="11"/>
              <c:layout>
                <c:manualLayout>
                  <c:x val="5.7040998217468804E-3"/>
                  <c:y val="-0.347517924564653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48C-4E6D-A17D-50492F7E37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lumMod val="60000"/>
                    <a:lumOff val="40000"/>
                  </a:schemeClr>
                </a:solidFill>
                <a:prstDash val="sysDot"/>
              </a:ln>
              <a:effectLst/>
            </c:spPr>
            <c:trendlineType val="exp"/>
            <c:dispRSqr val="0"/>
            <c:dispEq val="0"/>
          </c:trendline>
          <c:cat>
            <c:strLit>
              <c:ptCount val="12"/>
              <c:pt idx="0">
                <c:v>Dec</c:v>
              </c:pt>
              <c:pt idx="1">
                <c:v>Nov</c:v>
              </c:pt>
              <c:pt idx="2">
                <c:v>Oct</c:v>
              </c:pt>
              <c:pt idx="3">
                <c:v>Sep</c:v>
              </c:pt>
              <c:pt idx="4">
                <c:v>Aug</c:v>
              </c:pt>
              <c:pt idx="5">
                <c:v>Jul</c:v>
              </c:pt>
              <c:pt idx="6">
                <c:v>Jun</c:v>
              </c:pt>
              <c:pt idx="7">
                <c:v>May</c:v>
              </c:pt>
              <c:pt idx="8">
                <c:v>Apr</c:v>
              </c:pt>
              <c:pt idx="9">
                <c:v>Mar</c:v>
              </c:pt>
              <c:pt idx="10">
                <c:v>Feb</c:v>
              </c:pt>
              <c:pt idx="11">
                <c:v>Jan</c:v>
              </c:pt>
            </c:strLit>
          </c:cat>
          <c:val>
            <c:numLit>
              <c:formatCode>General</c:formatCode>
              <c:ptCount val="12"/>
              <c:pt idx="0">
                <c:v>66642.78</c:v>
              </c:pt>
              <c:pt idx="1">
                <c:v>31773.429999999997</c:v>
              </c:pt>
              <c:pt idx="2">
                <c:v>53033.59</c:v>
              </c:pt>
              <c:pt idx="3">
                <c:v>31949.97</c:v>
              </c:pt>
              <c:pt idx="4">
                <c:v>29921.459999999995</c:v>
              </c:pt>
              <c:pt idx="5">
                <c:v>27318.539999999997</c:v>
              </c:pt>
              <c:pt idx="6">
                <c:v>55601.61</c:v>
              </c:pt>
              <c:pt idx="7">
                <c:v>34307.049999999996</c:v>
              </c:pt>
              <c:pt idx="8">
                <c:v>20771.789999999997</c:v>
              </c:pt>
              <c:pt idx="9">
                <c:v>30852.6</c:v>
              </c:pt>
              <c:pt idx="10">
                <c:v>19985.5</c:v>
              </c:pt>
              <c:pt idx="11">
                <c:v>32907.839999999997</c:v>
              </c:pt>
            </c:numLit>
          </c:val>
          <c:extLst>
            <c:ext xmlns:c16="http://schemas.microsoft.com/office/drawing/2014/chart" uri="{C3380CC4-5D6E-409C-BE32-E72D297353CC}">
              <c16:uniqueId val="{00000015-448C-4E6D-A17D-50492F7E37CC}"/>
            </c:ext>
          </c:extLst>
        </c:ser>
        <c:dLbls>
          <c:showLegendKey val="0"/>
          <c:showVal val="0"/>
          <c:showCatName val="0"/>
          <c:showSerName val="0"/>
          <c:showPercent val="0"/>
          <c:showBubbleSize val="0"/>
        </c:dLbls>
        <c:axId val="575352784"/>
        <c:axId val="575352064"/>
      </c:areaChart>
      <c:valAx>
        <c:axId val="575352064"/>
        <c:scaling>
          <c:orientation val="minMax"/>
        </c:scaling>
        <c:delete val="1"/>
        <c:axPos val="r"/>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575352784"/>
        <c:crosses val="autoZero"/>
        <c:crossBetween val="midCat"/>
      </c:valAx>
      <c:catAx>
        <c:axId val="575352784"/>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7535206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6079CA1E-56B2-455B-B088-3FC675D1F9AB}">
          <cx:tx>
            <cx:txData>
              <cx:f>_xlchart.v5.2</cx:f>
              <cx:v>Sum of Market cap 2022 ($m)</cx:v>
            </cx:txData>
          </cx:tx>
          <cx:spPr>
            <a:noFill/>
            <a:ln>
              <a:solidFill>
                <a:srgbClr val="0F766E">
                  <a:alpha val="38000"/>
                </a:srgbClr>
              </a:solidFill>
            </a:ln>
          </cx:spPr>
          <cx:dataId val="0"/>
          <cx:layoutPr>
            <cx:regionLabelLayout val="none"/>
            <cx:geography cultureLanguage="en-US" cultureRegion="NG" attribution="Powered by Bing">
              <cx:geoCache provider="{E9337A44-BEBE-4D9F-B70C-5C5E7DAFC167}">
                <cx:binary>7Hzrbt24suarBP1n/ozc4l3aOPsAobRutpeX47v9R7Adh6JEibpRt+eaN5gXm3LHTidr56STgxz0
xiAGbGORohZVLFZ99VVR//E4/uPRPN03b8bClO0/Hsd//pZ2XfWP339vH9On4r49KPRjY1v7oTt4
tMXv9sMH/fj0+/vmftCl+h37iP7+mN433dP423/+B9xNPdlj+3jfaVu+c0/NdPbUOtO13+j7ateb
R+vK7nm4gjv987fz3eXF+s3b5dkmevvbm6ey0910MVVP//ztiwt/e/P7/u3+5avfGJhd597DWA8H
B2HICfYF/u2NsaV66cDswA8Eojikr992cl/AiHPruvTN2w+Nfrx/7fnaPP6Yxf37981T2755+b8/
+ouZ73fq1kYfRRDZ56newWPDs/3+pYj/pQGedu+Sz1ZhXzR/1bW/CHebrXwrrxffevAfXAAUHFDG
aMgC8uUChAeC8oAiCu0fl/vjAtzp4uH+YXh6bf1+4f85ck/wf3b8i9Cv/36hX6r78v03de3HRI4O
GCGEMcL9jz/oC8ETfIAR5yxk7GP3nvz/ejpfV/3XcXuyf23el/zl6u+X/HZ3toui3bc07cdET9AB
EjjAyCfhx58vRO+JA0I4psFrbyhev/uj7m9tYx8f7Wvj96v+p4F70v/Uvi/+7b+BtTnZrBZnG5jI
z7L24cGzyhPGxYvmsy/EL8AVhKFAwWv3nuk/0eqp0d/ciV9X/U8D96T/qX1f+if/Bsp/4Urdfvtp
f1D5yUFASUh98aWlDw+o7yMiwpdF8feU/jsm8nWxfxq4J/ZP7ftivzj5N7A5by/PNheby/Ofp/Ye
9g+wYCFl/MXkf2nxmThgArZFgIOPSwDdn3vc7b1rdKdd+9r8A3bnz6F7i/DZTfeXYXv59y+DtF07
3Jff3Ow/pv4eJgeIB0gE7KurgOkBC3EgKNtzuN8zla9vgD9H7gn/z4592cvrv1/2i9Xt6cW3dO3H
BI/5AfMx5j72v+Z0cXgAQkd+iF/MPgQCn2v/Qk1V99r0/Zr/MmxP8C+t+1Jf/BvY+6PFye3bbz3n
j0kdHVCKQh6QL+MqAnCfIBJyKj4uxp6xP3oqp29uuq9r+suwPWm/tO5L+wjil787krq4L+f78me6
Vw/UHFOBQMtfHCnAl88iWsIORCACcAIv2yB4XeyP2PJ7ZvR14f85ck/+f3bsL8HF3d+/BCdvtxv5
M+Hls4XHEFnREKGvWRoE8B4ThHz24mf3LA2sg374tkp8fQE+DdyT/6f2ffGfwEb/u3fA5mp3dvsm
2r09/4m2HiB8EAoifPyyAGBePtsDHjsA8A9AKHyNffd8bfR//0/39Ob9/9r0Vjf/DYphf/zegux3
769LtPn71+Xi7cnd25Ofui9+WaZPPOgfG3ifIt2n2S4uTzbnP3MFyK/Q60va9A/ic1/sq/XbZ8P4
s9iG4MAnvo8D8srmfOmPPQQMM/SLV1Qahq/f/dEhr9K/iD++7gxehu1ZnpfWfYOzWv/9BkfuLs6v
f6rkf4VakHH5LkuzfXv89hqczs/SeQ8BBOKBwD4H3X/+QV84YDBEIfFRSAP6CSF9Hmxt7w3klb41
n68r/eu4Pa1/bd5X++2/QZT7Ordfoof83r8krf5H01iXq7cn8U+09L8yKt9rb+7ebn9uyIWANUNB
iPAez4CB02RBGARsj2C4uy/+WzHW67g9C/PavG9h7rZ/v2PdjzZ+lqX5FWR93bl+rHT4Lr97/p1V
BD/Guf2qZngtN/muRfiU/PxZG+NXevel2ue7xP+XxPqPKf8vmv+7pP4p5/yzlP5XUv0H7P5fpjd+
TOd/JVm+KDXcJ3T+rOv6Wcru/SpX+yvy8rPE/k+T+q8Chs9rab/Pzv91MunHbM2v7NaPgJu/JG9/
TPi/uOSvh1z/YvH/Mrr/Mbl7/3/zC/91pfinovn4vrtf/FFt/1mx+Ld7X+3T3tBvkcwfPcXm/T9/
Q5T/wZx8zNc83+Jl3MekyPFTa7v0UwXspxFP9233z9+glgeKybkfEMjyQg4eQ4Z9ePqjRxz4CEHi
lzBIv8M/qH4obdOlH88AMKiboFA38VyeJRBw1u1zgA59xD/gIoByXaiGFgHC7NMhh1NrJmXLT6J4
+fymdMWp1WXXwrNgBg9TfbzweaoBChjBjMIkodAXjh0IH/of78/gKMXz9f+7FVNQ+6NIZOf6Pq6z
nEWubLRUQxDnxPknVdGcIdos6NSbY+PjbtFZd+iT+q4u+k3C+3XdtkoyP3UrlvdL3PiptFi5qBZj
Ghkdxi4M3+muk3l4ndT3NqkiNRayVtnhVBlpHL/uu6aUFe1Oel9fTEJ3O6+tl6IjWRSK90FNHvsC
+7IZzDIputNGm03fZXeKhnOcJ7iVhrrxquzKUAaENREhzVUy8DgVTSp1Eo6y7IcdKdOjuiM0Tqk9
Lo1eca895bkYIp6iPirreVMKmHyPaVzRPI0TizKZuvaJkflu6sdFngWpbPWwrL3+Qz3yYWlMFRVq
fshys+M5PJZXGXNI6y5mIrvjPHQxJ81SpOUHb87ghIV1N01TnLqpKKPQb2XCwkemjylTG51ejV7d
32U+qyPRBbV0bM5kNSgcmQmm2XdTZiKlKu+izAw80yjHrh7kgMRZkHMdVW1WR9VcVhGr5xtuurgz
I135oowNIUVMxvSItKiVxLW7Ug/vaI93hAbRjLuoRXabhyKThS1v5wYZGVbjYZgrEXV+uWU2KSPU
NHoxerZaBDn2l96QZKtZFO/SrFqY3Kz6oBmlmt/RxGxJU5x4ITlsm9RJ4VXnjcvO1NSkkac8u+Rd
Hg3UE4/emJx6gh+OImjjqYaLA0MaSbqpXnmGFnEfkrCUc9F6R7BXpEOBL2du121hTkw2RohU7rRs
yLkXaO88b0Ily0T5Eg1hucJuvvKoOqK5Pa+buc5lXT9oM/oRGwn64CUVlm7iw7oXoYhaMiVXOkAq
LkmqllZrssHTcOiybF6YMU2iwtQ6mpqWRRkb6zhXdMV5e9o0yYcakS131XWZl03cWDrIkeU7rWt8
TGi6xL0Qy3Bqp6WXsDHK6nCrm2k96bCIWScO06JhspvcCWJts/R808TdjOhpGAz3VHfzsjbCk8hm
MK86vcktyAgHapK5pqP0Unacu+amMeGl75mtMOm0TGu/gS2IxxNaFhszMxdPLrsdHMrjpKn7hU+q
q9zlsBuxPRmqQUQeTYqFMvqBZG6LrFAyEzxbaOKvw2xraF/LRNNh02XKiwpXa1nQAWFJR3vkZXUR
tS2fVjS1RaxRWEgxml6mgXkckC5kqRsrTeexuMvcEWr0JQ9VH3dDsS5qAxs8TWOhOAzLxsewzI/7
zrUyTZi/rFovwk1xKMZaet5YR0jjh7LHK9zqPKqdKeNCkwK+i61DPTZx7ibZKbNIzU5jUy8q2CBp
965MvGUY3mWoHkEVskc1HPeOhDHRzWlKOxeZDPeS0qY8dv1UUOkyoc4J7qs1yVF9zD3eRiysikUz
D+0S+yrdoNRsmqTv7wyvhuWEEnQzhM05c9PxpKYkoqOrJS0VO6m6kEXTyErg9ZWWrnQ8HgqSbag3
ztFU5nIMh34RFGEZl8LuyDxu81kd1igY17St88MelQtQhOp0CL2jqeqPWhO+n0V/kWXDlSlY1BSp
jYvRe9K8Dxe68JOFr5Kd4lVEZ3xI++motTqXnE0u4jyL7BQQ+CLrrdsu9+XEhmHVWlJs8UQi4QUu
0kpHhR3W1utP08CdZDYHW+Ars3aDTqVSw5FjwWGbeziuwpKv59A/doV3U/MOS1z3/lMWkEAGAdiv
CgfZQ17i4tAvbS/ROMbB3IzHvinLlStUJ1tRDnHWjmxJarGc+vKcCXObN2d2Iuty8LBUmQM9ombR
9WqQc26mi8RsZtuA/Xao764mjtutp/BhOcyL2ZWH6TS0vhQkaKXHxlkOjA5LpzED/1CIaEBz9ejn
YD6nnOfbnKc7rxpV1MNRQum7NF1UphuXvlC7objHeenHzLosEvl0YibK73tXvdeqa1cNSklEO7Zu
QrROrbccOj+2iZ1l1Q6yS/nhoOZIIH3iaX01M80XaV8c5l6+0QyML2uquPdaWJ8klcHUPU0iGONa
mSOeBMkG87KWo5qzqOyrKO/LRemDj6ndVnfBZcPBG7jkiOfDex/V0azCKGdd1CRBuq2U/9S05hKJ
ZF5Y2rBl2oAyWWaKJU9HJHVaulj3Sb6cumQZlpWWbUuQrMfardM01EvSuD7q3HBGe/921PPSijKN
Qtvc577XRSUCAzCQnC9bz+TbMAQP1M/DrRZJVUnRIrSqW82l3wWg6EHSLKdmZsvMc9OibLm/xqU3
34zzfB1wZyQZOkAWVQH+ysMjoEJWrUdm+ygtx+zQ2DR70Jnql3T2SrhQpCwWY6JkneQ2Srl2D35K
is08DfnaS6m71hRPV2ya7O0UlsU7P2eLcOpF3LAdU8uJsVqycIyq3j8nHr0uyry9yPx+iGZxXVas
29ikpsu0oz0AJFOCNwcj6+WiWzDTGdkOyV3YikCKqqJS+UMR0zpdtqE9HH3fyrJ+GlpOjhMUDPHs
sTruJ3afZeGqLwXbFMjzz2vVXeOJgy8TZ4lwq27oyTVVVkes8bZE4VIqXJeHA+rKiNSoj6sWvKXJ
q25DAn85eY0c8zRKrNp1ZXaYhv7GjVjaAkUWo1yysl53YOOx38dIp1Eu7HGRDTLTSlLDroSuj5OE
yxKbqKhDmQxtuJwS1C5Nr0nUBtV6ytFFEVIrXTGksp6VrJJx2HUEr9LueT9yFVeFkPlUR37NF1km
wGfaY995i1GlUclhM4TJLkjducLkbrJIhtMIvrXZDNpfakovWzNGBM0umjMvDqdM8myyMuyFdKFZ
mBSdoNyBnx8iZrw4401UUPyEW7Oy+Lj0g1iHk5xcL1mu1pSdqlI/GlwdzS2PK+6KqB8BLynYCKKI
hadWReLWia4ObY1XJmgjgF1Lx/mh13XBCoUNLHnp5Us9KREndD7LS35CbG9lXgz1So3zpUXch5kM
LCKpc+vaDVcB4jimEzi0buI7V8JzM/9BCX6EfPBn7TR/6Pthq2ubLdkwy6Rs1wapDdF4B0oNkE/b
aJ49yetwOVi+MAVd922y1a55aNozzx/OK8rjvE3iipxba277Sl2XFq2qLlj2YbOZPXNcKG8jav+k
ZkU8elkT28zgeBzGUFa+Xo5tTWTRTB9sHtwwA64KbEPO61srmifqJ0dscNIl9rjVZjVgt/I0XaU5
lkxXq5wN7/uhWGg+HPa0v53rdeirla0VoPlmSYrwmOQn4Tzc9RM+btWxT88Un9/ZMTxyhkWUtssg
zWSTNsfcr2Hz9rlMERgyOzZHDQVsMym3dbm+54B18zEvoiYMADNV5QOu8Zq3Xlzl226ukshXNYvD
IIfnKuE2k88/lDkoNqBpejxxAYgq3Na13VnSvOs9tgT7seUcLsiDUzYWi7k5I603Sr8Y+wibndFT
J70ab309xV2DSTx44Exq30YUDM4mnG7H3l8m3FxrbbYUgCpr0ZHA4krT9LIqqZaz0moxoS4yCJyW
dqcW+bdaMRP3ljhwCW49ObIT02NP0jjIMjmP7RSXgSebMdy4MrzqOICXunOHU+MvR0yalSPeu56g
y7q6ESM/Hnn4CJqk46LLzzDEibLnaSIhGFGLIR0eynQOF0GVL7GhdFtOFVmVVbGeR3ySZf7pwOdF
0U6pbFqeyMQNuSzEE9dMy8ZNV9oLnyOKNArAjalntezD2xGwUgauzC+9Y1OKaB4vieCrystTsKK6
jTjtz0rdx5Pf7uoRRQq7oxx8YOqNgaQ9uAA3sk0yJxLO/972/S401cmkmi3xgvPQJXHekBuadBKB
2QOf0TSRw9Wlmx9yfp8x72kmR9pjpz5f8FrZZ7P3bprYup3d1taOvGts9n60emt9dlUgxiJGp0VO
u2iA2aWJd8IGvciD7hDTfjHp6kOI7LtR9Qtb3eBMPKWkXRdZeaS0P54oxGQ6JLuqFrlse3IIThui
tVniTqdxnsHvmCw1chukhdQzf1/WNo/S1m48S3A0GIEjb2i3pvJWGs8LVafrpmnu8sC7bioe5VM2
Lpnf5YugwTrywDWYYth4gzphDUDS2QNjQyBMl7odUJSleRAl5bDw/EZF+dAHkqXVBy/rZIWTBpbJ
P8u9IFgIBNZci76LRTeQDRqCBj7aiJjgIqnS26rIAWz17lghfFLV9VU/myIaSTkcVgVPomRiV7SY
p8jl/RwTkj10FT23HrGrssvvUwxYkgS2XgEyvez7SUic1BuvmFrpvOamT+rbIi8NwB9PRW06FpEY
sscCgtaomUf/MLFWLGcXOKkD/qAGe+a3JYuRC06bLKvhbnklJ9vusO+2s+InOfVLmWWIy7mpYUe1
M1skCeEya8NW5rW69TiYAa+lxVoE6bDK4BBKbNtxXvnBZJa6t60cqqKWaTgOUciz8tC0fgYi18k1
QuoirUUJscowPt/N7XKwxAocmLfGTbqExell47FE+jipZOByJQl1RyYBBO816p3Jumgc8FkZVDLl
4SLRbSUNGxahrZ+IQKemmZeJsSiaRGKAAVF5tWyGpNwKjSGYqDMSi6D24rGfumXKbRhxq8W57mm6
AJGOYB82Ey4ghlSAVkY7nnZJDpwN75NjbYu2kKTy8BF1ZbmsiqqWWTiUkRYV2uA8A6RU1+YuCcZi
wz3dQoj2qDzY2362nCjoRi5urBccDx4ESi0+5Kz4EICvJVNxlyZ+sLaTzcFOZ4OQI+7vCj1cJVm5
8SiH0F2Rw7kF1zaHVBqfHOMe1Hws8RFAUyM52Kq4KXSUV72sPHrMGVg4geyFQ5UfLibDQMcHL92A
ayk8AZEHSsD5MQxQ2AZLUSJ9j8yIFmPem1UIsfVKdcDBjKkborSv0mSjMyOKhT/3JmqCuZM+7D6w
HslRppLt1BIim3rmkTJeA7gOX7kkfXBhHqMRHfWiPKGgiUGb3itQtVJ4FzpoRYyqfJFkVWSacpmW
jZLDjBYs7WSTTAmwMOCWs8JSmSd5E7HELUrqJHZqzdFwpBqnZBNOywp5Y+zgqEdkWXmEEDnJAKoV
uDxsBv1Ew3yhaX8YarLui/SI1g+GJ5djG5z2Qx9RzJYuwIeicbJ3JmodzaTu27sk1FFriocmH05q
kx6Z6VYJF9lyekeo2o1TfuOV1XGV12sGoI1bFhWhPoRTQe8Cm0VET7JtvDQuveGY2uyUFDkwSe5U
9df1mJ1lVWAlnecFC6obYBXoRgAkBsBoW3CxHgWKgBO1NKpDS5NN+thLAZ4m9YlLsCxmM22Tsd8Z
HL6DbRmnvL2gKjFgzp4o4L6ZuOshrR1sY3ukS32Wjzg86ceMX9Wu8RfOznE7WyW1ITHxmlvTl9JP
PLC7Fh17mS9kAn5KDjw8ytrssm8V0Fn1MB62qX6XkCpdML9WMi/rk67HWiI3n89GhNHg8igfveuu
RDs1JiLCFgO6nGkZlU19o/JpUhKjMy9sG0BE5grbWnZzDRSEqQC+u3CZ91jmChFAKOmHNm/sJvGH
cFuG1QRUTkbcMsuDdaPzU3jLArjFAIJdt2xtcEXVfIlDsJx9XkxHySw2RKVbIIbCyCtSDo6B+Aqi
xEyvsA8gB1dZ7hZMqU06pxAgUnGuyvE80+amrwFSf1799wVT/GirqdEqfXkjzqeP/7l9fc3OH+9v
+bP9+Z06f37aVU/ledc8PXXb+2r/ymc6/9Olf1bQPpPonwps90j5L2sXfqTzO+l8Ae9Y+PRKnuf7
f0Hn71Wj/EHnP4/4SOdD8oULgYCt94Gwh6JyqOV8ofOfWXloDZGgUEnOEBD9L3Q+VKBD1ScnwP/7
HPgFDEz/C5tP4Rg8HMh4PiIWPr/lAUa95iq+WCNIcX+FzefP2YTPyHxBfIIxZfCWmoAhX0Dm4Esy
X5gW08wl0vSZrsbV5I/AEhNs/XAzG38KTioBYZAce52nW9eJrotJZ5p2k6kxyCMAISWPRsybC/H8
MgZA1YMadqFlqQLSBGwt+BhX+8Fh1aEyCyXFGBsLI3KfxKitZggGC9/TyxyLJluLiWYsqvzM8i0t
28GPIIHhWdlo3zFZdN6EpOWQ94BYLAPeefQQ4FZOEED+1ti8k67NyZay1LubPc2ZhJDKN5IxMW1p
G6q7PNOQIiAFnoC+50UF9ytoMkg65NrIPFCiWlOvSwtJ86GYoyzBmY7IkIVNPHHgzmWaiaGTgOBq
siQ9hwiL+7qykVfnfFrTkpqbUOT4hELOAC2ATlS7Zu7C+xQyKzdWdcH7KsFhA5Ecc1qmzbNJnJxD
/CbB8JXXCtUdkxkdxmI7YRMWh0OfAyNaWpyI2DGfBhtqysmekznjXTxX84AXuZjDNhKVCOaF36dA
BGXMBVfWAhtzzmzq5i3LGnccAiU0whp6pioBFbr50NRJ3e7aNvHNBmcuADDIcX6EORk7adthvClV
ErhlHQIwamU/lskV8Cg9XQKdmBbrNkkbAkgCMMii1m390EwQTMq5DsRjysskjXw80auhYN2tr4HI
XSCTdysX1FUdpVUZPLaA55o4G/QAXNgM0WHko2fPWAas8IEBVM1Rxpg3AOh3E1s2GRdTlFPdGulP
HOJ7SGgREY0IprViLR8BbNWuXXfW896nvaeBVh+0PkJJm555nW4/IKALOq0qCBtb5EOupAuAbTJZ
oM/dYEsNAspryNSgkUTe3DQQTc+YXGM75kgCmCwmKYD7OXO0z7DsMweWV6dmrmRveOjJBA8tlt1Y
jDdjCedMIqDDykfceeDHA9KhAggPNr+rDWcwNwQ89xITG5TSlP2cRyT0m6cUF8ljMhTlThCKHrQ/
Z2bZKjsO0om67GPAbiyHv3q4C2Dn10A6+rhZJX7iKqmnkADbMsIZbuqxatcTBoiirhsgMvPeBl3s
N+A6ZJDWEKABIs/sIe4a0krtY6COFGvJAF5zmHyJ9YzmG5Or5BmDU7GqCovLIxY4BTDbFVV7XipM
gYcHXKFl3+H8FGUMnyVTlR8jb+6SOG1y/31d93heKs0h69X2WXCTMcXfdbwLb6wQBiLQCgm9sYZ0
dpMOptjVxvoQWBqcUNhyAuBU2AUKSJvJB1Da1JDXKcww46itg6mQjFiA3ck4msshVWkIpiyd3WVm
jbp12fP6hCbTVE4dZIRiPgHxKUdtMJKGj9bIlATAX1Gk6m0YZMUlJC8DtUhENl0BJUjSXV+0DX8O
Pl1+1oy0SWLiexxSI8EMnBFO62HFMWfdQjV8NAuWDQ1EQbWlCpCIKWBD1bzxIVCgRsswKRREH06E
WHqhI1VMS1QUcdVnKVBapYLElrL589OF2rOxRy3kUgog1bYt1LpQCfRRmEs0B1USBw1J+HISXn/r
+cLeFrTGTg6DB7AZ2Ag1xN2oyQzJ0wCoMeNUNwK2bvnOtOXw0AZdcwTs9WykClkJmdepGqu45ZSc
gcICep6SwoRSUZoOCz3V3MQaXgbixxVsuFISMndDlFBHymjiQTYsBDCa6S5J/XTTQL5oljMW6kxD
CriTYzK7ZYlrsMk1hSWAEMsrZKHqttgmMy/tUVeYDFJMU6bcgoIPcjKfWVYsA0jmhgueFOWdDmpQ
CqfVWEZdHYqzNvGSGchfnvLYdODvQK1Hfau1r13UtM8MHxx71xeUcmDo54TYw6TAqF3kKmBZpGgF
xAFYU9+X4DNcI6cas0B2XgGc8oiMV8cGWNVW2gwXV7pNkxLiY58B2w1/psgf/eoKaxt6UeNyUL5e
+0B1m7Jgt2mX5ioyNtFxw7M5XdSoSiuJhKDvx1ADiQW+PrsNWML9ckOHFjIqVwkvYENLDpz7+6Er
yhM3z4D/MALsx9q86FeJxvmHbMTmhI2cXWJPz7fG4eYx9cAWQvxp+XvUOi+BaNj3r0abAcVJ2sZ+
oIqlq3EW9sigeb7TCLttmCAIjtPEEiDD6qyxMUR9kCkDrhGdTZBZvOYsUynwPBbosgFG3yQ1GQDq
hxjYTe3NH3Kv6/8fe1+yJDeOZftFbAOIgcSWpI8xh0JDaAOTQhJIcAYHkPz6Pp6qrpZCaslq++xZ
1aIyK5V0B4GLe8/kZxqhDKSu4OPBVxaAbA6m9I6HNcYGC7+dSGYX9nlC+hxszpjP9CSmCHsGIBJw
zw2HprggSjPDQZnlU2kCgsbb6WhOKs3Hfs+t6aaML87XySxKcpNXff4yLEEZJ0vfMQ6It1rjB8M2
irGnkIzdDsiMNCCSY7+CSbBNrSjueADUn0pFxhx/cBvpdOVDUy/321aLpUtC6af42ig6l9fSBLPF
zbJsunmSVTGWmY8txx4oQSEcpzJwxCfK1ISe1kBU5MGtfUzTCINAnZFIgp8rJetuAHzE1VUDXscl
0WbpSxQb779QDA/9dVtpgNOowDUqU6WmIgMVodnlT64bOP2cfcYYan3KyFoPFxwMcFfWT4XW2baM
RJ+GaZ3y93IbA74bgqGxTyP4sDartCUWeLU3skgkqjxNa7FiYdQYAifPt2HWHydgq2xHfKP4sZ3a
OGqTWVUzj1G4KtU3eycEqLm+RBlLAkSnkMMqbeA3UO6Cjz4Rcc3ja1WMev02qoWUtwMKhNuPrI7d
TVGa1t1osGbqlKuSAoap0Vss4DZIQ6p97rspujKlZQbMo2kNwABemc+tC5zK8nEheE1W1GNacI0P
GuaT9sdFT5wtSb0Yxr9MABmrsynntbxHohTZMNKrODg0Qz8COerWGQzDir17rPqgl/uegAsEg7u1
LGWbLOi7gWxhcTB9hFYYG1ksb+PZNnHSCIB/QEbCvo+elaf0w6KDJTzU8aS/kQmKnkNTWrmiSpQr
5lhNiE3CDZs5G+d6GvdxP0fjsalcuZ6w5uWUrmS+oJ7O9uOdReGprnIbTl8DtNE3MQbMj1GzkmhP
47Us9tQNQ3hg8azWnW+KJgQWQfUGYEAakW1bVMRYtLm97eIhYLt1oqRLW4kJ8DrAF6tAzDK6JpBh
REviuqj/jJpQTHsxg6FBVSEFTw0DKng3RhOOOYWoot1xtB09urXJAGLSYT/tpIzJt56REh28Khr0
3+XWs52cAK0nbZOXOpMUJD56kHmsDmgQABH1QG1oohUAR8h2nH7LVaHwPxnvn1qObno/rdEIKtp7
PqS1povcdVFhHzu35t+aUNoyrWawMIla+Ho1dhpg3ICWeszaJuImad0AgnfopVcATmoZn2lusMQu
Ivn7gHZRl07SlCQdmbN12gjQA8nclyS/Z5Mz06kRbbGgvV2n9or7qrfJmusVXIoPbHNUvu2itGzs
xgGlTGVz0y9OQvpTxX14Vap2hcyGARPZzVM0F6ltqQ+ygOAtJFEuQRvydovBneFfVmVk6iEMGbkr
h8R2azOlxg9rlHmb+zUhg/Ivc7BV6KKHvP1quqJSu143vf3cVR1fHcjdAMPFOhTdlm2SDu2W9m00
g3hnZpSuhCRpnCB72AQgvHmPsUOBPIiECQFCNgsL9G5d2RimZdlE0V2Mmq/PWzNadxu5erHvI+GX
SQPWYJZ2qUPzz5/QelqGBsF19bj9f/wA8b7/oAEECrn/Gz84TEXz9dP/+MX//Qe+wweI05Qs5kRJ
CP9kCDMo0l6+4wcBRb5vJKHrw3QLUID8gB+EwBbwjxOCREJORIip/l/4QfRf0BR+zylUoC9CBBn+
B/jBBaP4AT4Q0UVwSC5iRYrPhjRW4B4/agHtuJiJ1UChnHefINtpMAbF8fzVglqTGSlqfi/oELbg
ZTCV7IY6mi+QnbWfMTzU66lEhF2T/bB8vwE1AI788pkok0ASIvxXyot+8Qd9Yl03PQmX6mZb1+5N
XQXiufNrpTJclOVHpYx/q3ylPggxUfp9E38Xcv7m0T9LI78vB1XIBgOww6m4wEA/PrryYaDnyN40
nQ32RjXi2te6SIKwIPfjSvPPf/6mv3tcSGhEMN0hFIhB9Pnj41i9AHKq7E3MKxslee7qF9sXDXD6
FjqBqI6+/Pl5l4//v8rP71/vx+dddsMPK8tsIN2E59EQDWxcku4k+4Ec4ks/++cnIVfk1yeFWMCY
AKNm9JXGNC9c165beRNUzXhjg7I+2XydEXP773P2m7f1u40SQk8JLC2Eyfr1Q4LBqkkO4PriqT2s
s6XfXF+469UOAEL02H+ecJlkrpLhX74dUlF+/XYxzi5gJyri+NU6DiWaHQx3NxAyxCwF4QsgCbjZ
Y7yJ+LFZpvkKnd+c1qUMHrVt+yj58xf/7eoqetmiwP6QK/jze1SRW0uob29M2ZJd5wp/ML53//lZ
AIqCEhNHeEosL6v/w2YpRTzasc1virgQLxNZgwMFgvGwlAASw86N93/+TvSy2V9tTkAPSOaQeFwI
mfLPzwsBR4pQmBu7uPbKLV3woS3C4r4lTD/EYbA8K/TLaFaZBU5SkmGPoLkqStHqrvs/f5TfHBMc
x8t/cCzZL693bmZUTW1u0IfSdOwqnulpaCBCgQzpP34Si2UUK8T0KIGa8/N3nlxQNrWOrudwNB/Y
UtiTU5vc+97a45+f9M9heLW8CAFCCiUF2IR57tXy1j0qWWTZNYZpioGiHj5GXRl/7lS5TWcPAea7
SEPSm055XX7SYDqWdLWd/x6i938W2N+cHI77Bt805gjivSQm/LipFlGIppP0OuymFagutOhpl0/8
ptvKbleTbbtZqamB1VT1qa74cPXnVfhNwUX2L5EU9wpGB3558z/s6XoD9jszdt0acDThqsZ9WeVR
ZsvV7TVtDGJq/lSgfrfonEZMggiIKcE1+/PzJsVzXLzhNaeyjyG3KUWdAi0CNFr20fQBA/Jy7aCu
fF8EMT0GumHvnR2nv5SL3y36j5/i1S5DoYeqrAuv3TJ2dyGm1FtlNXBRG8oHIgby0Nh1Pqyt6g4j
U/lfdt5vihUHGHehQ0JUkfDVVSCbMi/AnF4DTN3O5RiKI50NaIU/L/VvzizH1QZkAmxNhMr480qP
3mnSdWAHNRl3WkAjDAqAQODejOc/P4n+7lFMhEhJR4cm0I79/KjIbFARzfRaNYDv0zlfI8AAeT7u
AzbHoCZzyFmgf/GnIlzDrOFDeS1s0AM0rEX/FPm2vRW8Z7dLhWkhCYWL178sxuUsvzrrwMCQ88jA
UCEE6dW2i5shD7hYrilmr2vvBr6jjaruw8LLA2jL5XGLnPmq26j724a//Jt/fjIlgBSBiONihDL/
1ZNVPgZzH8gryCrKO10VNjMFx8Q5y+FARAW+HgzRhYEJUtsU6wM+Q31qZNjuI+kaiJdI7P/SJfzm
EFISX+IwGWcMLeWryscWMAKgz65m18JLgqn9xtSFelPUXZjJKDePLoqmo6LrnG3U030xifndX/bM
r5cbpQBTeIR+FgGc6Np/Kjw27zeFMfcqYMVw0wL/uw6N1rcCJDyUqFHzGPCOHxZrw/PCZwgbG9bc
y9b36V8+yK+b95+VQCouFkNI/uo02mlhM534la4H+0VL0WVGLCcKZWMG6TtUFWu9jNBXuP7IelJ8
65iGIMupKYXGeTvlREImOnN3CxSO/+1k/Wb3hLigLpNSiLbx9cmCur/GArIrERZwGqgJ4t5phfgg
nJbppq8/abJVOzRZDZDDGQMwKm5qIFK80jBs9UnL5kuw7x8r+OVCerWhQ8JoJHFpigip/T+/OMNH
YJIruWJTAZybRXV3vxWDy7oRvYfpuupxhVYgnaYBqqilBdnVqpOe2/UhdyZnf+lMfreX8XEEJkO8
RvSfr+jezg+2yCN2ZdbSHFykJU3cQoGiL27cbe3YARxf28dlDlzGu+YWii3+HxcX5PsKEYMTv1RA
/uo4TaPg0eDDKzKP0R4CyBESh4mU2diz8hm2Guh56fBcgjT/y0XyT/H45V3gmTGoc6Srvr5NC+hr
SBXRKwso8MLxFofZQEcWXaDaCtL7j3SJ3VdVwwKWlKTQp0VVp8jGPAmxPFldq/EvteXXQgu2FusA
ax5D2/q6tFQNjExus1dF226fiKPYqhsIbwBqBiAYGyXklRFavKPUbsr+vDV/vVfBgNBLNcFSUNx8
P+/MIPe8ZMpexbSzj6PP10NTheXnPz+E/vYpnOEBJMa6v+6YRDF2IVSgV1u0trerHOaTq4MynR0g
MjZGfF9hOxxsBV5ElwuHl6Fj0LjlbMmqiW3P7cghWWri3uz+/Ml+s/S4aiC/QOOMS1+9qqiV7irp
8MGwOuFxaWl9WwOR3OslNGncACBdL+Y1HNq/lPLLsv68CaUK0b8iXpBI3Cmvlr0cWZw3dXCOZRlX
2dLGboRufG6aXT61XZFVXhtsOG+Wv019/4x1rx8NdyimXYpb/ZevPAIG5xvsfC4S7TXrA1CnvhhT
YQF5tyVMGpL2u3pbHszcyyvvoegWwTrsA4wTUN658t710OFVQo9vIt7fKdpsDxsV7qbu5zntZ/Pi
yPQ0ASQ8r1bbXdP1KnVuCHYSf/mXXuHXXhyxo4zjPrzkNKK8/rx/Izg6UVOjM5wNOB+Vc3G25Zod
nOhVu2PhZh7+vGN+3cqXB8bYMhhAYilfvTlslzrc+MV0qMzOQL6wL8u++csF+5tvhVNJQnh14bFl
6tVDSGG7LbDiXAdU388RBwvUNwZMHqXVCgVhHrz587f69UKP0OgpJnFAL/X48v//MNI0pXfoOtwZ
1skiU8MyX4wSch8I0At/fhJalVd7HxgVWl7AhXhv+ILs1Znrm2qCvEjuwg2K6n1vRNimgyHNe9LI
tUnjYhYdPEz19j7sULnAxQYu3EWezc1JDlrehJ6i5RXBwI7Egxc/DivktZCRwwK6m+Rq76gfijoD
WyMPEOwt+gSJevsFisD6a7CQoX+z8rDcUj518BQPfcXeeVfBM8hG9TL0kLNnEc27T3ThETQ+oRz9
jsc5hLhew5DowE7VcK5AOZpwSe1th9c1YeYdYXgJpxAqSLfUcAjxDcLldqiql9GE23VNez9Anc/c
lhTtQDQuXAXRge8qkFRkg65ddmx6weF33/pqW65KgPlQbbe+dMlUTdW3oWuWMcvZKr+2kbWPmFDJ
t6FZwgdW+Mokeedg9zUhpZ+bkVYmC8oNcocI8NUnqKkgBp8Doj/ymq4LSJoK0kjtib1qSl4+TFU1
wIIU8eAJIECYH6Axhh7GFs2wXG2Wtz51PKTwdoVL7ROj1QTplbZYvBY6hrGb2pOdVJOGtg++Ogw/
b8eWw0yQw2SAHdytdN5FTTXSA7SFVu6r3L0PpwkiFkVH3+9tbvp+13OdQ6TJrJqh0Lg4gCAsg1mw
nrT4xnLizgTymg+uKUefMVyUIOdr2BSgUoJ2OIXfAhpKOpruH2rSX7UB34psAto7wI9czeBPIS2H
dUd2UNqKJoexoFkV/NkNrsJsYLE/DkMNR+jY53mQtayoW7gYhL6rHYwWiYxlAQNvUIT38LwG+cHZ
2Z9BmkDTD/q2N6kMCxknZefweXoywEqhQc7BWlaWHaT62sZRVjA5WAjV8uaQg7B+ETYE89Y0I/bW
wAqolxRkQO9wGKB8W4iAXEMJN4w75vh6YgOrn9FWhV2C+qM/TyK/vJjGBFMCgr08TVDSvUNpXJbU
rAt7qhuaf8gH0FW7cljYF9ngtoXwv+eProK/P9NjW0wZ5PrLipUk2wWvasTFarGKN57w4DmGrWHc
QdPQ27STlb8C6VWJw1xgak7cCBbtaGYHgXCRqxaatvKizQsgLoM9aYyCKCEwPb7ATTtABI4fcQwT
auA3KnxZBUkXbbVJKmfg+zft1pGUQg4skgFbaLritmhBxtoIDbqCnLY5+HaBsml1wlepdjXapdor
MHpdFEsQuXU9TVkPN2KD19AqeN7BBX+Wdo5IQniUf4w2wWAQWVlF9vBomWvuyXZQi4TQqBWjftaq
hozANKa669AS5ikE8nAOmDjn16xSvs98I0x/oq1gx8WtsoUlnxTxbluDuk7I0rirtgMnmrZ4yfOu
iIn+zKWB4Z2VJC4z44ZWZL6vg/EYtt34rOFyHe8iGOEexQKBZNrrAjIZhoU0gAVi/a7pysKnfdn2
0EF50sVZxQuUG+2nvsxcz9BAVVsMl0zRxaTOxmKeSvRaULIn8yChbseFqV66FT+Guas2HUc71UV1
fA2dTwAxct+Cd7QVRcu/WVQerrv4s+l5jkYI0PjLBkXjuSZ9/MQsh/iDYkeSpC3LoD6Agw7dzvVy
HkAnmjBK6QRJGPxHkcsqB5gggdzKMoBlDep0BSkc2tru0mYXRTi9LaZSlCmF7s4C87boSybarLdb
HWxvYb5F8TFzWB+NBYGKqc4H36KCixVRAGDr4UleggerQVYmckWjndoV5Tcpw2G+mdYA5se+a9sH
CdVLkUSwSr8ndPbPInThDVYKNgGZx/YtXsD8aHRE3oRFFbA0rpt5RU5DQ9pdCzGi3cXSKjjZ2TKo
BFx23uxDA4uFwkwbJVsLLiEdmA2vJRPbs5rQgCWjqjRcELOC4K8UdIOY0XXEZG3he5nMc7zV2cpx
s6Tea/ZFxL64YbaBBHbFN+yOItjyNyFn3fuh2MLPM2mXlyWqJ0hO86B+G0Euf8+tU+8Cyf2tYTqG
ELNuAglrLIG1wkIzXiQFJFca0pFedPux8OSB5AIpGmOl8GZUtAgJHS9XeBtmoBtSFKLgvo1DxG+M
Y+WPhWL2PexO9CsAWX1fgUxbE0kW+dhqFLS0h/IA7Bo67evK4s1l3G1FdEBz38XJ7DfclRK6JgOJ
B+m/eYIe8YjaC2eSD+lkd11cSXiIRwiaoDXpojbrJle25wFyiw8K7lexm4s5qk4EeNCH3qpyznCu
pvG0Cird1RrnwdMaRGIXwMGVHyp/MYRXm4LcOGya6m1JZwV9S6/lHQn6qkqhWDR1Yhcy0lTWEUjz
Oq4h7eHTSpG7IADb22DpXOqh48EFIHIHbX6gQavzxbdfFxA3TSpa3LvpunE3pZETaj51S9mcN4t2
AlprxDhA+eG/CjlPR4obB9ZTQprpvMD0CpNXwdo+5bSN7xxvIT0mcKx1CSs79pEHddlDndhsbdo3
bC3hFZPzc+lkcfLh0MxJz1jTpMtMg8emquFVWMOw/BKDLVvha1nUtI8rDlex49SBxGf19IiZe7MZ
Hl4FaTeJ+mWQ8+L3PHLzcONXKIFOplLy2PTVQBPwq5yhoFXiJd+0uR032b34wpV9MjdT+cDrKPgM
nRicb/HWIHFjCDrnEAkDQ15KeQXH3Jr3PQqOsm+YHJfbGlUenBa6dlwK04iUFafNECRbX5EzwUyy
nbWOfPC+bsVSHojO1XTSvoN3vWmchv1K6IDfUNQfdIYrxop7/HzTTFLoKlv4qYjSuc8W7Kg5HaCx
YLuyG0kIzwe2JqRUEGQk8NhGaperbXonIcXLk7kvOkBpIKV2kOK6D0NPrc5MFBm7d5HM3xfEyS9S
44eEYZ5H85MsSxF+4VPkHwTIwhgSQ5hvEy6cfJh1RFEBa3izErfWkCqxBiuY6hjddCKgIwG+s60d
Sebo4lHqYyY+5EGRI/FBxm+2zaxvVgCvT4zmXJxgwFG4RbHhowSJDF2xi8dlFqmBZ+lqJBayoogB
8edruX4Vzo8dZEZMPC0wzD0puKqKBGAm6t8G3fgMfWGn73KwN36vIEbSj71wMF6XQoyXPkvoHjb8
bYBeH2ogaOMjq+j+0l7fBOgVYJeyzeXuad38EPk1/1gHSKwZ1cZv4lAMu45WY35AR4+a4v0Q24Qz
EiLNxc9wrvUKwpsSf+djCKn3kuUQci07i/J7I2BPfNoEqfuTJXzojr1f6weYuqIDikzRHOzacVgf
tQQQoMOcNwlvuf4KZWn92FURYhZ4AzPQaOLSZ8RvuCcZyqeH7C+oZcrt2m+JDaJO7Tc4CPI9r6Dd
gpm9LDc0upP6Roe+i9NFD7A11u188Q6qeqQ3quSh2XeKG5k28QjTNJk25G2smxZvmmqu3nY5/tS+
xJXPUyQwjM9zbuGm50PU11exNpDsubFYaQpwVHyBHd3id52XugBwjHcCmVQ8IDUFpTNVgzfNflxH
AD9zx/BOoF9sp0yN/OKtKwAKBHKrn0gP0R7UPejYd2IGHL0jUpv3XeHpDejj7eMSL+U7PjbsHFdT
7tIu9Oujql08p+08TAe5IL4ood3Wo/1Z5/UgAZvqI5uHpxny0AMMU/D9FyWarQNzYbBDwFHPbhYs
zgNEmoU9doWIr3Hf8hwTConQYufDOKEXsnO95LB9zO1jt7n5qeGGyATj9DZksS/HzzUEzM8rvAuP
NTZVlTVqtE0SLFPbZBAXjvKI8qrR+q0Ugs+L8OwKNIwOEgW4GW9/7RxF3ebLF1eN2A45Hxb4O/Fl
dt0wzM/MzCZILDXhl2U1JXb0wrp9168aC8xG/QYO2RY6rWEtb8FIV98gvyQ+U9HGP7ShmPNdUFAb
pgauEnEu7AJhYtCtiz86uL0vduR+gOSrd7BvxF1fQlldLT3ARLWMMmPd4ngaTAIa1jwn6zUnfMKO
usj097rRCD3YKg0Xem/NV0Ba0Zzi7oWDA+k2yweIACd+iDzR3yo6hyeBXCEgX6hHzxdS4jYf17U4
4S34Hep7Y3Z5GC7vlMPRHqqhvosNNN2wx0Kffc3ioHqjDSbgY9THS54xNcubrSQKRjcdD3Bj9yvH
UDKZzzCgwLzAuzaUmcoh6EgGaIOHVNFqSmPf2CmRYR3cTyGHM7I3mGoyDDn+21a6YNq7lQZVCkEI
nK99o6LnBn/nZvX98DjMFYyrGkuDZIgSsTi91OrDMKFIIJpnjCjEdm0Nl6/Ma7g/zRR8gF5phcOm
B+G994zU38qoCZ56G8OCuk1RUaFdUgr/JoGUMDShFB4kJQwSnRirNigcLXq1Xe39NO+DWjRn4cDQ
7p2Y0DHXbQGDcY2u9NLzcbTZQ5OL+cZ1kOnvZLtsCkElufrIQ9cMO2Av8IcQFbR3xhnVQgQXw0li
ietuN9T4IFmmAjNluwTrM5wTPYONZIlbhC7Y+Am5bc7taR6at//AKP/Ksbv/Dth9j2T70Qj3oy/u
/1WjnQBg9G925Rej3c+/NvKPUO7yB74L5fDTgHjZF4AJMqUIHD2wpe86OfwYuIwuoD/0EYJGIgIS
/D+xeeq/GBhlbJiYhwJA7wVu+5dQLsBP3YFbFyqGVhXwPMjI/0QpF0KG8jP6hd8jB5fPCVhE/Fgw
9EYXRPoHpK3WFolg4bZAwBpHNtWwdm/XA6iavS51+y5vCByy+A5+l8fc7ZcqFidAxcN9gdEC4FFY
Xw2hq57kWMT7BWrzcw9FTdYY0NaDosihkQaj0jYsA6IS+vFslqo9dd24ojlH9o/vr5z0V6hO4dcQ
IRQ1eMJ+04/j1kCEDelG285xJn2IXnTpcIWQFZ8EGtKw5+cKT+8myFk8QvHcIrIVjdkpUDDpmwqK
g6DE9erX+Yo4tPGSBt+CUL2f2nJvNuj+ghyaeAq/1gIH2dRxhLoAhDl3OKhgc4t2tykYpKFDzlbI
/J/6/hPUqQjuKMRxCpFxYLjE83v6xtTlHsam25EHfL+R+mmR1cF0DTqK7dhp5NTYMVPISIM1pkzB
K6nd7IchAZ5zB7Myes5hy/KQp1MBh2FQvtXBDpBPwmFuuaNV8T7HxdOzBdkLxa4teYYMrI9aItGj
HqH2tSz8SoYhfyZGNhkZBcLYBA0y+Ag32HwqdioM2u5Fq3RRyFHwpj6udcmSArLox8bBod3CREtY
DclwHOwCDDJIEeRoGCfywkZ4qEbxJe/kOSfBQ1c/CYREiHo/g3VWIzK6Ku8/AfmYDgI+7ceYutu+
HGCuRILcWa+wpNsBPhNQgFCe+/bkR/oBOwqenHi+CtX42ITNdec1TCBziNCaSd5vzfrVRcpmbGhO
al7mo2gXZCqsxxIeOEi+y7OfcvQxW/2lKKYXw8XdJrGXHFBLIAKQOhcBQu5W/01gb6VwRJxqoZHi
AkQBaBLbA8axx6WqMsxoducsYKZyhp4VgSvO3llioI0yc4VAhe06hJb70HhfoPzrRyfheGtgzrIM
k7cuyiPphtvBFxNyh/oXPdGXpuUXkvfEyumM2LkGEnMgko5SB+ipAypk7P1Ull+HQjxQt30LPSby
COanXUvhn3dsr0Jkt2wr4ko6tSbNULyN+fi2tMOt6cgbHuCfwHiIPJiVZmHYV1m8sB3ETqd2688w
OH4epmLbRYiZ+ARi+zOf5w+IHyxLdMz0DiZ9dDnuSbWwosewkgcVIMo8hK90/GLGMQ0R0MeIfFO4
pbnvTWFhpWrai0aNHq0JX8qchec8ALvRLBgHuha6WhtU574Un0LPdq7esHcgFF9PasNwVtxv5kog
fC0agDgXcbLSowZgA37zi1zFOdTm0E1n3I8bvajdhckm/CgHDj+iFgqYjWoIKtyBQWFRb0j9cXq/
Lu4jZdgzPkY+WI2z4Ks5WxhBIuZ7NrxpF8Rh1WjMeA2rID47jnxa9p88PwABhyf1/RzLLzkg5Yss
HTAc2gdg+5h+DWGJmjAyfPSjpwrHs2kDGCwBKIEIKJ01fVK1YsrRc7N8fYzRtK3n2W0VJmU0+eJF
wIcK2g5C+tqWSRMUMT8pvZD8I7GN9HUaryBQH4gcOHyUFAkez2DZasSswUBSnJXr4TRFelzdRUe9
QtyUTiPT5RUyCEqJdK7QhBnYJ5gr+ZzDuiBHwz5D/x7fEQWVakaDYH5AHA9H0qDg3WmxLRJF2VZj
UBvtAhc0ZJBxfgDayt4j7hKxWnBUdu4w9Ey+GGIIjFIwFbDdANgN1dluyBtNpDOgzgJnOfKbmqqH
R8QwO2fDDIhxN05BZfcb7huRDeG0JF3fAZNPmpERDB+sau+3UEQ7Pbj4kFfcPNeY6/Ra4cDHAuba
3CCAgc/NjYaTu8IpF+tYfkDYY/Vp2OgtkkLveGyDm3Zo2FOrYcbpWg2jK5frG0YRVAbSdnxuXdxk
i9bvmKptWvjpi+K8O47dUt/RccbRGcvEiS6N1XJsQndGTIE699t+9cDjl/JqFP6GIxlFFSatkTUo
JxTReTjO1u4A2mLh23vPYDlW6lAiPccFNA1g/Nih0q5Hs52pb8ZUmz0yN+qbWS02w8z/VBTFxdqh
nwGm75TuomsYqBGcOHzdeIV4F3iKvcyPaASPHsEYF5NftthidIjm20+2ALrC27QK/Ljz3aTPASYV
7fwBQTriI7xaDHoADNfo3cf9hlN0kgZ4Qo4GcUY7yIvzsHWZBzYP2zyOJJxuj7LQN3Fn9kgYeaOJ
IAC9Y/Zk1ry+XoDRpyGBw9gsD1Ub1DB3V1fQ+o0JQjp1iskc3I3XB7zNw9RO8Mysw1cQNEhYsQBq
HC2O+bx28OKU1ZEZAA5DFO1cJZZk6dZdt+DsbR7CF53X975e93Suv7kpuObmv9k7jyVplXTLvkpb
T3rEMRzNNHRERupIOcFS/IkWDjgOPFe/Qb9YL7JE3yqza213fmd1rPJPEUHA59/ee+1+H3nd4s2/
CZI320HrJd94VXbNXV+BJLOJq0CbmtJsr+LbqvCG7RCEz8CYzk0zP3jEGVfMF8OmZQ2/Nj0k5Cbf
F8188M32x5z6O98ui1si4DDEnHnfiTbYitE4D64iZtJn6zYPkWwUrJpL6Iwfkb6N8Aev8LuFe12K
XZKW63A+t165WcSigXGJR2kwfLOof3YykvmNz82ffCpHt9ICfTPaCzm32jaTfOr98TQnw3wTGUjE
MI/YzU47F/Wmd8k3VWHJAW4s70o3z/eDk11m+iyHflsSioJBePQjLUBRqRUowlM0Zm/lDJDADtZG
XfF4kSo8ih4HRQ0jyucVIK/00LHqaTll+9yXR5N0fFCTiWhAjQC5+vFtmLCO8clW/BCwmkfn3Oqx
2OB2X/chJMRWcgEQ4Mv3eTo9453YTXW8iU1xiP3yLY7a66ZODhJxPQZjMhnVn2yI17ost4QvCsaY
RWDMX2y3P3gskFFBbvMCMmRrxsEucMfqaLvj3pb1YerGnU7Czz73N05610XnJOXakqBSyUfqgJtx
eOnG5gxwifnmaXCibWR6+16/SCBXBO+LZ9WYPAVvw9kM9yWRbRnBO7I4GAH/skuYp773YsqPoTS+
wjzh0X+uI9KDqGpXVm6tHfKLLqpmEYWkZIynUpTRFqnHIkcXlM+NDl8ESdxHPpPoMT5PuToermvX
3MeF9+PBGzB7RhoZau6+bPN4VI7rKmkfUuSuadO5Sb1ymxdDBgtgR2yDSVd7l+URM3SFCsOtEO8k
E1+06oybMgPzE7578Rb6QZfel6m7zQY3ht4MxqxO5/hON/WLG6Q3KsOw5PYc15PKX8WJZa7TSF0N
nHQ7s/4YneYKlt4NAUfjyIYRvGLWHnL0qXkd441KCM1LiIRttyuzbn7V6VDxpH1virDexFLEW7Zm
W+Xv444H+WDeOL1RrdHxgwMBvOgp09EhTA8owq9z6d0Xohs3Ru28hfJzKORGWckBB1lPZNu/99kM
bUxQvHbcDQhggCH6XHW7zAMmkWi9TlFSnIzrh8giMIubUDj7OGRjkwLBYSYq26eaLToanufMX4B9
4NXxoRvO9jhkGyXHeRf0lt4Iy8iviZIXG9k4l7blESMa964up/Fttrr5JwUPkiIGmMJOrjOuoW2r
7sJeP80QnOFNnfxZHjGXLAnLdt2KfL1YErIpRnTzd0Pj7VoYr66EnOkUPcwb37ifJ69nOZQMz0Uy
X0qLCcuYrmSvu22FZWpdJ6xfU/FiRB62F7ZcAMjbHlWKBQkx5vDMcuScsUpIwuzGqIIXVY5fTZfd
JNV9qNzPKE2Xh8srLLpNUgbbSKkty4gMO0DrXVxRGQdADsivTnE04vbg9fWVyOZrK4sFd3/N3xFZ
uIiq7eCaj5AdbyE/7kaC47OzRFk5uK4sU7aHJgD0R7yzXSNzser27xoyq4njALLsQZnXLObbJFl3
fbOWXoxMjRK76PJDw4vXuWiQ8ZBPB5i/T7apOMyV+NYgw11CHrJ48vetFR1trZ4YBE+KLcku6tig
STmd8A8wE7zIQIVrpCHrtuocAOPGSXP/iqryM2QFuFVFtJ+ndNu79zxWLov62jpKb3PbAmkFdHFZ
/K30EKlTM6qX3DbWXqpu5kZkcEjFD2LIn3g0dyrOnlWozioByQab63XZ4YGK57MdHtjJYQA59AW+
/vo9wiDYciZwGG9rvNLtYG57YA1rQG4s7IvqRdYqfM4m1SPbBAdEiXEtC7VzhHk7pzyRU19Oqybj
TEiw9QWPxXtVOGJDPv2GpduHnNNtW5VPiRyndVaGAKLFt+rDdQFF+NQNt9Ka1pHfHmQrzTXi0UY3
zl3gJ+2jdKpd1haQSy2mU9Kl94UMdnr25QpDxk88w1pBnqu5Rcw5ThLuq2bIHStUw1aO1ocZ5ej1
k/0dJSSp4eUQfR3Lg5GPS8Y639hRvwOEMMDJ4/Bh+0N5JcaOKdH5cPyK+0gIhDB2p8dgJhHe1heO
98Jhj+YPI7uFXa/UDvB4vulyf+fU8YNWDf4D60Fn8Xaw/K2rs22t7O+qaw+BHh+9qHldzCwFFHfV
cUaqkKGDq7Bwdm1fPIHyrLry3g9d+RC5mBiG4dA6oBywPjTQ0OYCOf9Fqci/bqVELpu97D3PA2oA
RISx1UgkDM9BcVK4Q4RJvuIkNeFlpkXyJ7ah02ROBofXrCtx5Ioy6i24b95gBpJVUgMhTIYI2Fsa
WJdOWM2dKWbznOdce+BrnHVBkBn4LitL1wnMY+ETw24nDs8RmRC5yGlQJBBo3breMc8nnKi5gFMr
Fqziwc7Ms+p4Vpg7HZqfbLYn6ARmLI55KcK1dOV4kGwf9y0RecNKqidh4Ly2g9j6LMZCvnSECvbk
74ZdGPvpvkI9XzlO0B2dXNV3HGEFXDFDH6DkuodIohIgKsMPSpLAfrJxO+i1kZiQ5o14sh7cOcpc
fn7NMcdg0XSJeJSdmgpFGcKrkwMZsLjNY2Zhqs/diYeGl9dnHi253PvZXGz0subo8l5dJ00ibisU
rFNZBWBm8E1N317oQFKc5HjkDlQf4y6ZjkMdG6e5J83d9g7epTZmYZBau8kM1dZM/PElD+fy6ObW
+No1/shCFr1go/g1HzwW5T8R8xQIXdffV/YQHcxUj7djVE7fuRty6DXLaTthPMJ2VcVByKqWU1DN
X1afcTkkW1E3M6GLeERMjYO9wfXwEavO24fulH9yIz9BQYKbMQ/mITCRwrAOOeMfomfNaz8MUNAs
GAkX7S0SqKqwatjwOFZ15ESHIajTgykda1NyVO+yFqONO9hIDFXD+VeWl4DnIVv7NIt2ihf/uqy6
CjSsQaAJdzJLJH/AKbDsF3G840h8ZAkTwaSY3RvP6v3P0Sqzi1nmvF5YbrN9aDbGrrHM6DLopL6q
s8Y+l+mAGiDMKwxE6KgzpI8tzGi+jTbr/h693HyHyqHeEjhi3FP7fr4HrcyBJNBl8RkTtQef2NXg
IZhu2ez3Xr7K4JtLZ+QQWxKO+gaiMEyrFCoHPOeoz4/STdsrYub5yTXq7JwxHr32uZ7wa9nuFTzx
mPRJFHoGqGcrOtn81NUc9DCri7p1Gddrab9wfqpxgC5GF9M/pmm17aP5iLH5XrhcA1UbPqDhfMAQ
3cs2OmFai/cklwaEf7H46PIuKI991PflauoUG4DaJ1KBV8edrpoUM+CK2CxHpdFOshlUd7hn0443
DArgxTO0tWkJ3C7uDTOpNl7vu5w9KnDjvWGuHY7Te4cFrg1I2Y8eal0le5NXBUkb0jWfgX0eQeHa
qJy05ybWRrQ3+Dm7NmjEpuySolsFvv4I+vplwKlxZ5ijwxxQXRW2vm4MsJ5WDpQ8D8PsHlSKfw2/
8KF2yl0ZVPfT2A2knuZeHWroRpjqtfKvR7+XJcnRDlh11bznlVg+qTrpj2Wadc7atqbGp/ejTa8k
XlCY9Dm31AKm/b4ZnU8MthMSHcvX69itQiw4RemdmZDFtpoMtq2lbSFDYhGSJ9GAGFR1H+29NhxB
RzVV811YADVXs+/FvKOjOS4FLffaZNS2LM5SDCNqeEuackIcVsXM3S9SATHlUUZUMJgONMSqfaJQ
pYFzxfc9RXFLoYPhF+fZd4ZDZsXHniQVchCAVW01wdZGs7rYzryMHnMwHLUjCnaKfjSdcPxDx8ny
prseI9DNiqgECb4ItM08iHBna06IfLZmwVKl748sZegg4BhYKXM7xMokqTCoTwHkZAMvfVhlnoel
SNbb0EPmSey9kvpcK0s/WH3J6V7Z5vjlQ45auQVzCAfm3J05X2PlyniIHzleyT8uAJ/dHHRAPuYh
Xjov3OR6LBMMj17HusSyEkghOBvjkzfVd27gosD3ZdzeF+QS32POYOFKKgn/whgdPm1ZfGUL7thZ
3g63sI6eHSWf8rpjsdjH92KA5lwZiGwSVweYKt4wwJG8vIDUa2otVr792Fv7uY30WxgZ9bmw2bQV
fnGyuNdytEnfbYxxB120b16Z3YmxvwyR+OE2sta8lIylnMONm6FFgS+nmm2Nozeoda+swPiSKXrt
I1FsvSLQ+DQzrqU62Ji1R38H7gRGNreIsWboqDxL/82qnUc2SWJP6YeDIdG+06MPmkLX+9Kl9SQH
bZtq9xkPbbKJZ6e/Z890l1bjLmW3mpkXyDv+uXbzz5H7nyha9r0GubWzqgx5bxgs0zvXSLGY8Ebi
G2l2A5+kwKCuxGdfR/fCLrEi6x0CB5Iye7C1ngf/KW29LXSTda7MC0xZZzUGwe3YMTm4YflVONaN
6dSYFSJqCVSwELczGKquWX/hw9k13JU3tipuzXzotjiCaM0Az+3rx8IDVkQsu3kYlBlsLWc8y9x6
qWb7q+u9jz576sB9mlG9TefBxlv8UhcoEGqM2DkBq1ojCE4b4X7MIaT6KPWftBleT4tb1mAB0EIb
ZIs4Q4oSLFOybtVgYa3ZjblxfTew5RtwPoxNs+VP3bncESLUl7JHos+T53Hyea6XzrCOZHYCzFuu
0KZxMDnOgy+JvbVVe9FK3eLLpVojY+E12/vU5LwA28wE11X8SbqhZRfpPwymzA45c9qZfcOhDuL0
OhcMeaAndrZRRXe24FwAvf6PDabtMNd1dceC+GFk6l95A2flSLuPnutSxcRyW6Y4anpTLB1HBzQd
51XVA6eC5rnw6DFgTb/pg/KPTjO9L5IGfKROMvM2zSrjiS6a6qhDMFd72zPe2BxcqWoxFwb6ObDg
+PvjeDCH7l7i4cZAlSJea0a0uvzp0HzZr/yMlXgJpMrw6lIpRVYES0Lspvs2SPIdG5UnnbI1h/F+
H5tNfmL9PF8baSR3pY47nCBlsya1hWG0I9U7je9eURzDWPDKsQ1b6bK+sI03Vl1pnmDG9nuYbw7k
xg7xCDHj6E7luqZjZQFYu/V1rTx7E+beZu6CPcFzc2MKySsXYb2wkhWvs8suZ3ydaBjYEBOnfme2
rg1A0iu42/p+VMLAqcwpNgH9O821Q9VGMiE0A5uq7TngmTufG1ncYwcKKEawLr5FMlgQ/HvHCKyx
xZt0DFQxRTEhFQi3sJmy1QC5A8YamOGx/w7azoXwn3eP0zzkbzzIxytKKT5nI0rfYC4FN1EXHSrF
5RIbHscTSm8I7sek1eSJU1Ek82ibRkGKyxPfuZ3DCIJ3PJ1B0Rk726a8oKjPOIj3am62FN9/jJKF
HWsPg5UUwlhoT9e9i/l91H8s7suyyF8hSO5q5CGwnvlhZovDHQ3LIhzSbZIo99ry+Jw2UOg6J/+2
smRXTfzVjHkrX0e7ws6fZNt7xwJUjYOBYyVyewuMmjfJYqbmHBfZTykVQKvFqs8+uv/JOvk652Fy
pr5qQ0GDIF7NQ4UJY2VTlbK3sJZiMTkBEzl2wmWrzS0at8AqFfPw7kqj3Q5Rp6lfCJ5mTduYn1Jm
lJ1E5h+yIt+HGPd96D5e3R0SKGVuHslzasTyRpsiWudhjJhjLQZMMwKe1c4TXvS4xsSOvWHM+CPZ
XdXNWar5aHVBwdSqiD6H58pxy4NDcOCUR4ZBj4bjrr0mv8DnezHs8QcViz93vvWsCiaps0wIyWvI
gkmpAvBn2TLqa/MxzdKnscXo2lTJ0aHHbBqjq6gS1zjZoJ8PHOVVcoWN6sSDsWMHLDJz0TV3vQun
MHM4ipB95WEHUjA1QyhyFujj2X3p5p4rR2uqe0ZXnJBDLkZIdwaW4DXArbcIdRs4SeRc5/wlu9pr
8COWXrYKANKZ9nOdvXX6R3aIHQaXfiJmLEJz6v7pY++9BVrY+qDJSlsgYFUsfB07fMKIXZ7chg+s
Fd/Yw3yhheujNts3XKqUrUXNVnX4heMbiSWFycGbcOIkzi6LA5iAnDBDYZA7UIA7Gc8YG2Kxrfmx
bifuBwmIsOR1yChxi2Ko026Etd+86mNg8U3P3QGuU72GpcEBwnAobTK3rthpT+JDnA8hluZV19Tm
OjEhtXHsvynHUmwKV6B0peNptG2qMaCmPfmAQXjMiYTwht/dOp79pVA7hs7YLxLnYCQ5AYMo2cgE
my3w3Hc3q++z7KzzcVtmjbmZC4cDTFFfJK/Cec4FN3DhXQTlNnQF8MibTVquRI+c9lxz3bmD+eOZ
X9nQ6k+8fHLn+jk//M70MO13dRTewAy+b13aAnz7NmvYA+mmfM6tyAb6NzNxD3iqausw01UThuqj
5fqCLhnqZ5uFbAYDliQHmAArPsy9v+LL9uxUETUSB4WcR/vIfdwUDyZlFRg0cvj82RP1MPUq1faP
N+/o+LGilUMvwqZK4lerzXa6CFAWrfh+LhEbx1GcZDw/wAW8d8wE3RmJJC5/YsIAbLRB3Zmz3ruQ
Wg88am4lN3m/qcCouRup4JWFVDZVWXQV6/LKlhDy/Rk7sp+Xh6yyj2HDsxpaSPHFAyVeD6HT7Cqj
29cp2/VuwdaGlmQ/g4xnAqW85aOVg2ufHzgL0ZSFKEeNk7Pp8fhu6gKKr+XrCxtg1l2qOUQJYrD4
ZvA/lIkBNoizfeYX33Gnr4m0vTghvtfJDqEE3KEIrQeuZArFCPB09iae5LliKCxfCk2DBJ0L7IrY
qXkqpbqi2NlESbFVi4iiP7y7doEFmE+Z6ZlHx+tZPqZXYYNhQMSvuY+C34jmp6yxI0xU2/Q8QtYQ
4RapbGLp78bTyoI7WibiU+VefW2pFvhg51yZMXmLwsbLgH0urPT07pll+5LO/bDXBss/n6XQhpnx
0E/G2+jk2wp2+85x9QYfCMGibEZ/zU9O+V1k0U1fDeuQGBZNhZcEampg6sda1NvW6n/YdaJnmjhV
u2h6Ar6Yvquhups4rOqWBXUzbPPB4DgUyKug76+speRvfothADZBiXdArETh37O229uJs1dRul2c
MXhK15Hd7kfB8q72KV/jvLqzC32EIprs7anDw5eCggfBMQz8R9DfdA2P5pp+Jt+5RR44NpnYjbX9
BQSau1/bX1eDeW65x4fSYJ12P1gdcyaWjopyCLsCz2Q/lwB5Y4S/0Hmkt40EnnnCNsgo4OhozTOb
E6C5CSqeiIHxasgSXVnQ3eZr3D/TXthU8YjunNXRjqfsJhhUdxQWhSHDwQxKhkiuvTTY91PyRYMg
zt2G7dqCgYR/yD2uiP1Lxy4/r6Nirxx35zQ80sP8werkS0INU5/jMcyw8GP/xRItkh875i4b2+C7
vfzIGX/Vlt52nrE0xX18bL3puhMpnyxLr2Qev5jGcKL2CY7uPeOm3mWoxOT/jFWZfbi0d8bEzfqy
A1cdb5sIaXfm3ADHuWsFsoF1pVrn2MCx3MyGzRYXeG7Hr1labUkzh5ms3SE9VGTcbHLDQTeTQ+lO
ZYazavZWUVF+uIXzMvjTLTs3krbs9r0KiIM8VPjBZ1cm98Ax8Zbi1By3vjmxp8+a6Y8VcXSKJudn
TKp1QWSjcJsHM8wfZ/cUVv1mKqzHtBpuNKIJN/aWE1XTYclM+22W59gianzLS4foYHCODriyJ56P
20rmN3Yh56eO8ZQbZMLClXWKEzsnd6q2ARG8FZTlr47BCZv9Y1jMjxg1D6kK0MnL8DqbA3mWpspu
sCTNt/UwXo3WzKgTff8HV93f/YX/UvG6MAn+ZjtcTHU4TkmiC3vZk4JcMUkF/6tRrQmHOcorLg3o
Gu7tlEee3DuY/r8r0oQvctQsUtNq8s/j0AxMgMnUW1tdIPVu/z+/yb9hLzx/cd6RSgYDZi4w/H8L
p6b4NT2M2Di+Lbf7IEzDOy3YCVKAQtHaAwEq45u1fXApVN09Br2tdwiXXb+Bd5n/+f1l/tt3+T8X
7MB/brtc/QEl+h/xhMuX/910+RdvjcBwG9pB6C1Ipn+YLs2/fOK/BCtADcJ9dX8von+0G1h/2SFU
Q3LUwnIsLJv/NF16f1m2u+DzHBCif/Nq/hfohPYv8+v/Xck+fk7H8Vmg4eLEcmmH/5YRt7h2h4AD
kG4SdwT3ACuHXYewpah282TROQjcRfJ0nSWrVKEduo+GiISP/oVv5robv0jMYmSDfA+e027aGoVh
jBjsmclTjii/OE+NBp1gppSWu22DAEZ8VeJz2FhVIC49RpGb5BcNCuQNk3LziwxtxwUfyqkdlGiu
HVZB/GAQo+YvbpQoO+hRRDYwpD7gG1bIv3hS5xdV6nepldyRtcXW0vQZ9WbDL9rUN5KA/fpCPLV+
4afdLwi107+1be0CSNU90xyrx2E3gvfhvoiHBm/dCFN1RCEuV/jAQa3SIpL+IHlkDypzJ2/LtyCY
oKSlCKCIkRMYJhl5gVcOxFUuPNcoAUaK3WfBvBIOBflqdW33aDExGbQ49PC6HPqcUPybWn+kssWF
LSPR2tuRWBQpvXkmk5w6nfgBhNMqrCYLcpY6Y/CzpN2cejtmBrYNR6kxuCWelzlr4UYBeZPIzehI
aXz5Gf7CbSlhtKYVmF26Q41GNc/ARcp6z/EaIm7hDLGzdRdQbuVYGQgYoLR0PzkQV8GwBgTf/WKK
pq3VLrxd65e9y55eUMW7IHkzKiWu0wXTO5g0Hl65v/TepY+vo9eiRYLyoT9jx/ul/apf8q89I39u
qmghAruBg9SeKVBGS2PVQg1eAMLTL0t45BV9naAPuvfpkJTv9d+Yw+EvgLgxpT8+6bHLKY7MfDvd
9xalumvidn2+y9OONB6TSttxch3KO5eSbrASdZi9cbGj/vs5RB+OwIN2V37X2+81a+iPzHKFux9n
W945gkDVyuoZzxHkg5njrVqicjLIKedFv/DOwUB2cGN2w5KxYzGODwaqRMucQ2R9TV/XshNQvh3d
usrtv7ouLh7pkjUfqTYDUmn1Q/KE3V49qsGuaYkMKIumgiMH7FuMY/CdDZ3zkulaz2sLxZ61eTMl
n6ZQxo2MhyXHoYhrYV8dRmsd0h/2OtDM8JrLLElWEJ0D85oWVvvQizT60THdRs5QxBSroav1bmB9
kJGK8LdUVfSJq8L+SYumfbPUIE9d2jpPKHTVm8nMB8AIa41YNW0ST7valRbe1bAaT3gJjSlew/+D
QOyY8RSQu/ILLkw+kHo9oli++bU3GTsropJilbYW9TtBbKLR1MOAXc/QZZivfDPjcBqxgKblxyAY
tnRo0JUKop5NmwyzZu/HBRYMG3Fjk7miuEtbpLWNtkGubhrhJchiwfCKr7R/0txbHhMVQj+QSYtf
MQom9cf7fa97ITGzltq64+3FJdQJhIikoQ4yc/tyY43YVo1M8ke1rOngFXdEVlctC5RwHXS++ycG
FYzFuq35hCfNGHIkGlLx3tt1f9UzL+abJHc6TrgBCVp+4din6Ei4ebrWTP+X1OxLjGxgG6JzNbZJ
sOqQ8cINaytKOLlnkRrCLNhPt8h6djljkBDMVegEcAHWQ+en6V3lOjaiYJ3fkmzF/0tzzSQxMHXt
J7BA32O53HQONhjW77s5jsvrUFEvRnsk37x1GpI52iNNQwNBWIudC5Gg2Xt1YqijLWdG6bJuhL0l
LGYRcucIzZHaIWrJ+pJJadcOVkadVyw8XEpNHfJrYUKQTwHlThRJ+EFyREtLxmsWF2GyZzuH6bOM
pla8NIYlpq8pDKw3W7Zms6VPsVUHvJL1XVjjgaZ1puz8dU3CdF7nSaFuMYBTjJN3g9HwVDBYV6Ac
SJsd99BTMmZa1ZYB1mZC0xFrFx7gibmNdd48pRYZuzjKomeLIrA7LnU+LJElyh/tT8kNz9y0gJcx
+DAUk8G9+e8Z6e8QZwGm7z8fktb/53/3f/7H9/9CJU9bBss/Vf8P+vPyD/8Oc7b+coia+MvgYwob
AA//199hzsFfnikcBqbQdgEIw2L5Z0pFMEw5JjkQBALfcmAW/XNecsivQIMz+adMxxCAg/9KRoWp
6F8nf99jVLKY6Rj8idJY7r8BWrLCHqNC4oEuo7i/0IsckkNUM41LF/JaZpmupsajUM3DXM3ZG5HO
euhiZU3tkRW7KPuNDmP8zt8jo0kU7ZKmcetvyspDpdD+gup1jjB1r0MCpcYZsQgfTY9edaiisLob
rAHmAKmxTxNB8CVIqDpcD9goKDRN9cL7zADgrCNQERwHxTz+0AWzbFjofqg4GwqfApU8GNNz7pTE
0YJKqMug5ozOFCkUiHxdcoCA5J7fm3bSHps4sP/MsTkQdAG+xbDh+SK/RVDOsD0LQ+SvFsqcuolr
irnB3JbvblKSYiMYT6JynfR6+kkqYd0TPmO2mgOVvDsSi8byXBjOgaEjLONhz++LrxWo0ypPPHdA
nslochYeaM3NSDJhvp8Ip2Ga6WJskX4fKPFsqTRtzmljL8HlorHsxSIBsWHn4T5Wa1oRsNukwBiu
pjxxGqyQtvNcSJ9illrEuU2mv56xhsZuo48zscHkSHTK6K8JB0qimIIJ4tW2U4EWJROMDpS+UZxC
RXmCp8YbppAYjzOpLXkEd955MSaCtWjsHE6EcOMS0p+J/3uwhfyOKGhJd8oumjPRD41O0wkooV6H
QGcXMDPWhrD7C0p+WS4lC5K2wN6s5xvDyaaLj8253ETjaDpfPmIn+jh0gADRUcTxVRImrbd2YS+x
WGszChiQPJJun8HUZV3oAB8lm6EyXnNX8I2p8lC3vOn0C9e5yXMnHxm+EN4UddsV4xXl0kJVb21Q
WJgq5ybweOAhYWPdzMNn5oKemIaIoqPGBmkggvhkb5VWAWtfYl+E6sme5ntLcFGs3YSRhx4dI/gG
M8NFV4RF63M8ThQGJIfI4qpI+si/cpy8iknbz+FdFOv5oyEJ1a0nM2Jc1jUB2hU76wUk0Tjje4AU
/yBa0//omtGAkOfFS68Sa9d4p5WJxZjejhy1hInoIxMh85dHcPE5JTsg14E14t52Yr6HbIbuNTPK
6p4JBUdmWHf5n0xaqHI18K/PeEydx4kzMx3wQzseCnbNzqrtQraywfLE7VJ4pQdeneZHZy2VvSkH
9icjycpnvhKXopm2yRZ5vn+E04rHJcwqMpJYPC1E5gp7FgJxCarAcWK1aSD7vGW2x15/Fm2DHKML
trU6aawfIa36obL5cK/bzmGFZEJQ8VZTrvuXmI6Ree12vZvtCpEXvB+TLG4MUM90XGV995XPvkmT
UUxfM+tA+ApDMXs3esxivWspeUDEKTtC2nShkhhgsPwAdJYZWJJVy7DlYOPmIYk5yUBMLqDLpHrZ
VgMVWFtxNp08v5reTFYLn/bI6YtNnHJuUL1RySpmgHZt5lCiYCOY5dMsMiISGMGL4BizCzznhmF+
FmFFn82ofF8uwYbynh/qZEs7KFgAtxY+ZbVj+mJFgctFJ3p5xYHG+6wniRChJP8OH00yPXcqTG46
GTWPEm1YrurJr57iwewf0FTsq5GeFpR2Kxe72k/xivhlol7TUgfzqoqnSuIjSyXG465z36id9bNj
JI0IVpARsafLS2PkL8Y/sLJlQIShkaa89kOvqTd4ixjCbT/HbwZC4LGEVaSXqpr2UVXNwkJgmrzi
72YrnhoJsBZ+FAAeHKdGtg4y2ZbXrl/mb4rgyDNG95YGmo6N+SbUnqmxehRSI51k6bnpuWOtvZx7
0Tr2akonbOSVDkiGFX8aNhwZMvaJ7xNPM9qvvC2z6ewrn4Bf2GbFH2wcpB+8GUQqCTXupTNVJNhw
lb6z44b6G1XzW9PuU7N8HpMk+bL8EelY5wPiVfJbyOEpKRqKuBV17BZYEn9rV1Gwt7qoRT7RGa6F
sqV9yWo89QYaPy6gAHWUtzGfhaB/PNe+OLbDZIqpTS1un8G6Bi4lh3UR1MsJkFHgqafb54ErhYMO
xAv7O4xq3cImqJLXOC6AN42mxs/p1N0zveJsXf2O/JqVj9ihsgX/hJ+YrJTVAYXShTv5e+HUKDDK
/YVHpZ56bn+RUhluoKVS3mfZHS/Uqf6XP2UvKCrnF0sV/yKqSgAU+GZFV8ZbHHpgrPjfLkXRgU97
EtY5/J4YQfWpngwG3WxhYUF/B4sVEZXjbVloWdUvOKv7hWi1v0CtnNr5Q/+L2QptbukrVZox3gi7
AsXlNjwNR7cl/tP/wrp0EEwAIQNbXzVYqjEugDZy+bkL5qv7RX71Y0EAAkYUiH5SNd6r37XtqVhI
YeIXGlYJCo8OzS9SzHaiWm4DsaDGSlOXA3VK/Tzug18kWR/4TnetfoFl9LDaT4KD3J8OPDNuQpsV
y4z9Bdu8tbg5uDWB2/q/1J1Hc+RK2p3/ikJrYSITLhMR0kLlDb1pkr1BkGwS3gMJ8+v1VH93NHdu
SCONdlp2tGEXWZXI97znPId/kEpz2cPfOANbwyOGSgY3rSw766kgWct6ZS5YbuOcR9VAf4K6NlwA
bJZd4IsrHdt7D38T2tA3obVVc2Z/AC6D4QZmmRma77l9H7qN/IbEkT5Iyu++2t8MOFqfsm8ssSwa
0t+UuPoCjKvl0H6rGoic/s2TG2s/vTO/KXNcaihMX5YU+txQ9Gww4o6oZdTZ2SezO6Q643S0Mv7m
14Vp0Qa4WMeZKpkL4q6vBmqdSql5+5gLBM9VlkNVl+3DxmN0xN+nL8i8rhsBDYwOIL3RG7Kr/gLX
49mn0jPvfxo2o2Lpr+Oo7us9mb6gOAeDdod9m5XT/aiD5VdAwdGTqQPwGAlho1vHrrkxEbXBigky
i7FMeZ37VQet669aJ55uJYrStPE4/SDBzRelgmLugiCInNHsBj8Vjz2Jt+o0xLIO9hUz5jnB1+sR
eMvbW6CRM02JvIcczppI3qQwXq7rhAY6vlEKWFnhSyT2xGhM0XM8NhRWLiTfMCbpM1Xx5jmp1Uge
SJXpviyWcaBT1Mm4jBpV37UZF4gNxx4Vqfx6PHeDPbzh+tMNp2Y0njGJuXjofAKiK38MsCuBME7L
fQRC9IX4LB8NnPLWFQVvSFPuPFfvLdXj4tSWkqhhJpx31bftA7W+ob0xvZvwvhGdfmy8GQNIXKHA
rSrXin0+V+28rKKpZlWGPOWdYRWOz7J1g+9gLlnGBAmw560zwbfeu+5AqKiEUMKCeQAVRZdYwqMg
7KmSxpzzFs0zlZiNqMunhtPm0cOqmrCqcjUMmXyat/lYp4fcEltllYoEmW/5R9Hb+ZdDHvdpwLkg
DpnTWy8TrMCXsLGDM2xYiEt9Lpl5eaIPoBcifxRgqpbxFA0uc3I1RBcXfEoTMzVu1lda+9wQsMOU
wQanOc1GKs7jmLR40u5jP5ut9QTLPNpR1gXPDqTM8FBEsboERf3lSo9tNG1YdnRiE6eG5XMwLIKK
OT8Mi11XNO3OiTHZ7ryuqj1iBHZ210J5JNgylkatPDvh0h80yURdoomw0BaNpsrp35+p/3+rTLYv
M+r/flp+5MiI/9N//26TT3ja/5iVf/+1P1YL+m9COPDWNXOxUK4NWPs/RmXp/831KdjkPJVAHf7n
mGzZNsAGUChCeuy5tXdR+/8Oc3D9vwUM3h6jslDIx/xz/8ZiQVJ78c+Tsu9SxUQlA2gjccH5Xl7v
n2EOdM9iCDU2Z4MvCxtT1wh/wc47DD2ciMMbByOqjbHKTl3FDhVzzdppJhWvQtgq9Y0jF58m+wLr
+aat2wlHqOvO3JIcckw32NgGfT824LUCuFF9FD5krtuaqzIVebN1BEfggeRXus88N4pO9lhLhhtZ
MgNs+ByP5tFfhI2hfS5Lh1Zgy16GTdQ3c/eeS6lGe5UXRB+IvYZWdF8O3cIpCjXB/ykIDdR4tHjV
0T5LJ+15ELrCeboF/jbVzLilG5rt2BYZmqOqfcVQBP5mPel5yW8LeC7tnuJ0nT4K2/LYJidLXXzQ
Q6juvaj0xb03sEk6+VXDye1MlSo3tpwIThRs9ysGkNbop2FWlUdaDN9+tgnMWOYfMN04UnodjNgp
7D6sqATyExNcm6pv7Q12F0XFM31IJKg3faEAaQD9WvD8SPyBuNV4edX85vWBtZzGqenrL0jMQQMH
z1Rd8p7HFSEREg4jFzt3keSGVyxmO/vAJVtm97WM0/Zn7Kmku0l8S5Pa9+vROhYM6PpbDx0OcInx
o/uaMyUrCkO5ObBm537rWPYmFzxCok1O8JAJLW4ntMJN7y/VQsqfH8n3JACQ8dxbpLULMTzwY2sK
GGwT7MQ6IH07ukCJSZ9ifuYFGrYFyMb8ZxO+EQmYwcufb/PuNh9M5dyYoAyWV2tAwHHWMMswqh65
JcnupzvJLnwltTQ1PwjKVdUdFlLWt0Gzh/71hDLknrPRyX5EeOeP0Ugqn4joqzv79S9ZZUwKljGv
Qkf1BlJ1/PuNew/eFK+tP0UbLibjgt4SgcEqogjr8kQb710Kad15cSI3HN4a1gYk3W3u0ShRAAk3
XSLY0mnAIIPeKDwd3rTuaL5+yiegkPhc02qXmmW5D62+3vFDtQjuxvStrniW8TZ2ghhV28v470yS
jsl1kKT+G6Y/mR4DAhCQaYtgTMQNamgr7kYrCKNwHWm0rA1qcnJZ/tVoHVfJTFvsPmH8Xj5A+od9
uAVG59k3FFYSdM3tGlOworHyLSMvuW1cKyFkSB2Oswc1anZ8wsI3/qi9T+vBwU/o2kgSQJMuhcJA
b/2TkBTEroVoTf9gUVvDDpBuWDvHpFplfHD7jAf2a2LmznzMRRCMv7TbBfoofJBZB6vOQUQ2M7Sm
71aIrNpJi+rPk3+p/NniZIAyuCAP5f1ti+esPyxWVzwwhrDSg/CMySJmGnbWy0x+0B26VuC+QH9Z
uwTM4KXMVvWGj6eJ6bRxagBbsCGWmzrkMyOVn7hchfmmkg62KBEPiHcdyKJ5LMa4FFJwiDa2DlRf
BdtIVx6GroH9BVHzFMwone7YMmlnP4dLXywsaLhwgxKmMBLnTqTtLcCS4pV1GYiYuQ0yyi5ac1fN
hZVvHDYFlznBJayRO175yl11oYHE9c/STxbchcn4q7K12UbV6D8UsUZp9OYH4kUuTBZeNF67OLR2
o91l+yKDkEkZhLHXU8P5yX/E0vgZRXVUTSL3S4WDOfERcVaF1XVvE3BYD4ymlXxGyPEvJRvE255/
kzGiS0jOOjMznM73tfCdfRMO8xWLweIpSovx/sIWtk+h6jDa+UyXIT0Eu8Za6reaTo/nlPsj1cG9
tL+NfYkPtDThEGLFOHfBaI5b3EbyKXKWhRmsNNE3Op96VbmNvW0awCwmM02ZbV+k+WnwkZ7w/Hg/
XH+ciHXQ57uKi3wCBlPZXMlNoeKNscPmNg4stfWBWmdbKVoUj7Jzpq+hNc996xvwrCDpX3EyNk+c
AKQLpAv+clvA7j8OWrugJk1wk0AK22ivpNu6tOdr8szhzzGOKevJK4YDM+StWeEGSm9Vk6p7vs2w
Elh9/ezqQdIvSvHazmheFMqEcNsNyF1qASaG/HXZSFkfattvX0Ye9hHmXxsbikIOfsgtJLteqvi1
FMpcR6z4wUVK98lnG/TWinHAEOVTgzWRx69dgsZNPomDUdYJVij3Yqd+EtmEE9cNxvB27qzs0Kaz
JDtTjGY9tqSSelDP/Lo/JDbhZmZzfEPDXIqTMwrvGebCh9vU5UlO0RVNz7iZ8xEigaxrl3e9cK+V
O9xms86favxRG5ZNdHxQNwDwv+rXJgmvevbsa2/oW+DbFI6CpOQq4NR28ZaEHVR7m+43PAf0YpRV
dUtaNN7YmRW9BYkhZEWP4rYRnvWdL6hG66BJBzhqZMDvJ1E12bGeK1JDLt+FdTcZGMICUQWN+hvA
zG1AxXrZNICOpX2nRpzgbtNY25T150tjQbp0kvpG5f11S+SG4r06sQgxFOI7zPAHtBeIUcuyT0IH
/oGyRc991G2msoC8EhmuC113agKLdgFBFJWzR0AxnViCroJlDJ9wfXo7nny/bJjFZu2r6uLtGjBM
p9W5HssdtM8Uf1yH7+pY2y277qbmVj4k/SWYPJ255OgDB2pwVSyptS+KyPvBNcjyfzbAKaNfkz/L
YCXysnnIcnT+VY3takOBOiYDFmP9C7wpxzm1fTU9ebrqio2xWHPXGxW1AcOsx2XtUGByKB7ImI7q
LQ+k+Yg1hJINgPj5kBBM3Yy9L2ADyu8a6XveccgVXxmP/Bs9+C9gPIBFtDHHM5AvUsiC3q6wi5qz
U2NaC/tAboxICAZPCMhv04BlvVQIbflkZWyWk3qnSEKhIUzZVVHP+pVPhjVvU8vx9vznL77VOI9Q
+Prhx0QfvHXM68upPcgIc9YgE9qGVTvPnxMLTipzTVL1t64bNnvKW5tPOBD2FgVsXtNYlP80DP05
uQPfbELfBPyMgXft0k517ENZLYC/uCUxpKMt261w7cYgKQDpzlgsiBxfIZjz/4nSfs3W/gr9v4l2
RV2WV3OICheUc7mvbEMqB1Ox3FkStkGIJIp1rUCIRsjjPGX+RamdFnvYdsaBYBjCbKgT5tVVG2Xj
ryDNyscyS8o3DSz6dbaMS/ty3D9MAdopcAi8y0bM+oV4Q38wJit3JBJ/LYUShwbD5yZKhb6uZVlc
oxh1O6WX/BcbcbJjmSsOcTb6rNzpfLcrp7glaA52y0+HTRd1yYMZ3XJNJ5bchZA2nm1PLycP18RL
rOrnPBEMyI0We8REQ6LhwkrN1VfFu2FvghySoheQQYsVgLPMPHBN6HiYJm6xbpoAK3TX6DubhdcR
iS66bgPFW1azBUF+Dq/Jj30lOTwUgGV9sKEzonlo+Wk6pw5r3KYbhuLFdQpY9aize1Pl8QfEDP8Q
z5oPXGfL7PkiRO9dVLObahzcn2C286cuLdwJe3tNS7M1WdCap5rrKSJ3fOteoDi5TIl8hqqHzF2S
TlxnDG9UnQ+TGddean+XiTcc84X7xaqbhNqOCmPmOksUNFwvo8jZJmA9bJFw/CMsdC4NqAzcGSzb
PbakEGgHKTS7pyZqQ9pQ9AKALpz0sO/60H4u0jgLeHOSFyKhBNobgcN9tezW+/b8Of+wf3twWP9t
QHe2P2e7tDcLwhgMnlSQJei7sn4nXlScJECvixI80EcIc2ELJLvekN5ozH0BPBbFyl8irnTdXW6P
7g0E03YPfDTYFnmBpC5t76Yns9WTWsZgHeWVQesL4UCi5cCVzYcyOfn2AncpFy3vRKdVpQKznA7Z
dYNJaD3UgFAkpkm6ISxjrTQwBm8DfRKoEGyAK2qjlLiueG/DQ4W3y0uape2sROMwCfKOHW+CQWVP
bLFEuLHopK7Pk0fKJIYf/ECLy3zAHE9SxbSJCi9uhe55rC8O3zGd5Hru3NlbD9h37VUXZ3J6IQpx
3RIOwb5tkajmoi3iwxyXzpYrjIdlwFj7BuDep2eP8LnyrBruNMfw0Z2z9IoWvuhDdQXZduhVcAQy
TPDb0fVIzGfQOJBCkgorLRskaF9p3i5nr/LY2jldQjpeDdmblWougfSpPEVTx0ex4t64ipUnvl3d
F1vUl/Roccq9RIOXfOCzgMTXp+a1BUd1O7icTyi8cJUcWGUrOJsW6z74RGNvBC52u8p/hE7argwP
mHndNtgeINYPeJlBhKcwYdAK2cDfJE6mbuhSHN8lV8rt3Pjup2EvUBEH8KjowI2ORMiheGwhDFzh
WSyfSh2UbyCguE7Xbo+hZ0LOfKjrQOxoN8nPs+jFT6RE8CNpeJG8WtQsHj/hL7fu2fgW4fionXa8
X0qsOqD1u7HZV7isN8Lr5T7zk89ATNGPjGj9ekZPv+5RIiqM1uQMZ5gpD9ItlwMer4F6cpThqwan
yakHkr+vrdldjQJwbePjJtp4wn2JWWQCPDHzI/ay9MvvMcTNgTOcm4q34iD68NOLfPxiXhff+MWU
PUgORR48F1BLwLR0H9tBzhts6t7pdwzuk1CEOxsH0NaXpNF8MVzlfhGdysDD9ah5+RRZ5M2jhp76
sycFfel6ZeAeh+QqLiA+MLdl843Hu9iiyjEHi8sBkjgQXJPCc356SG9nnEL1VeoQwmmc6rFbLlS8
ScoK8mOa+DvOb9JfTTon+5HFyUlGQ04YLfFabrRt/sNdutEBhMkDGohFtVEFMyHndyHvASd0L2Wj
On/tVzN0Jwi4GTbCMFr4G6Mf3Eesm2oetPWiwHfHDNeoJ1yqo4QfNuEJkEoSpnYP7S3YqHYy701b
EXqcuvEZT0LB4nXCZLHFDqF/UJBEaLNMp+DYs5EJzvPSJOnHUuEROfwOx4zEg5wjy+Fmgkvh01DL
VflXjn68CemAvDPEvVgrNvpb6NS8dUkuuvOE0SC9raSHngS6A486wJR8lbbZR+e10/SUGpCTsOYS
7P3NGL0E4ewfusntHhE+wj2KJWIlWSnhHR2vyTCdYqk4jFPrwYyBI4CSiUUEZxiL161O57Y8kd2t
ytUIa+mqHEqRbhcUOKgyiwMfMQTcmVSN98uPRLMPswqeLkIsxXZg3cEbsKWjNSUXX/4lk0Iw28Yw
r4qRfk2TZTvG02Xc8h6XF8P/aHrc+vZ8hbDTA8CIwDNUPC7zdekZlu2XCouVEXVDfs0FDFX2yL9J
QGRIFUnxOfTSO1G70a8G5T+CZQJPNozWp+gKmoJmwP3F4kyPUEfdKy6ozgZ9Sq2nwhY3FnTre5kv
5d7GY0dXQ6muMZFNj4rN1Q2vlEEMNP+bz1HfbepoBu/TFQWtANLJbmZtxduiJfTIcxVesdb0RC3e
PF83RJwVGTNOlXWFsXbnVW36AIGefG5X5hDpaSUi+QXB686HDYGPNIRydS0V5JQ1IS5YqIuYHHUa
FhJcDy3t0OhuDZ7aM2pHpDcZfmAQfNPgDTQ6OJbz2NZdFd1ZIQC7dss7a8S8Y2MU8b9ghA3lB1J6
6u0yr236fNPrlqBU6xNN/5Fojo8DyMw4HVYa/xi5cW/QtH0YnC/W3i4MNkOIZcSx9vSOZ95dxzDu
HqkHzvo1hTgMMn1A1uoc22ZetlokfNW499SVN9UaH0GfBj8n3YUepNmew2lLnMlvr0xYqDsmBzd9
ztgI9yt3ThMQKpVO9S4eqlBfh8y14b0XOmG1y5kacLaMHJW7pc/4qklUQMBgVm42C5AmYvU8mVeJ
U1LusAZE0fqgEunECDazZ8MDC5Xi92HmC+c+Jj+XH1JprGHL1wa+g1VD0vNl+rMLuQEgacFj5qEZ
FUD7JIOZvhd8mrxr0+l+AbGRze6BlKcTH9CHCnXOK1cOe2daUCTBLCwEsSzt8cU7S1h6o3mh0R6l
cDbHKOiK/g60QzGT4WLLv0+1EtYug5FUHPrOtqy7NGEztl+4v4CHnDu7wkE4+eFVLoDPE4qsZvGM
lu5z7MLsdrhupS54f8WUeBcsE1936ReE2v/SqVk3Am8wm695vrLGBRYaWKGAHdmJbqpgobohiJaN
DrvqSkHvWdYQtubfziN/XlujFLTheIV/17ERJerrIzHjQ9zEDR9PppP8sLjgDUar5YLUk9bIuoWI
N63ShIrog5JF4X8kXR9tTSvCZ2QMwKGiVccB9fCIqUye/Xlpj+EQZpvQZorPjGcBPG8//d5O1noY
XrFkDas2sRsKU7R68grd3pqc6wVLSmVG+j/EeDv15a8mnJ4nXfR8Lf3aUk+6SpfglNTdye77cGV8
UCz4Kqstt658ZYCPsNjK7NWS2SkOLxQtdkov7cKNwxCAXLEb7tZjb7W73l2KbRNH0D2nzjoog6O9
d7mClX1AN9O47xzlb3sN1q+m/WEXFmJeyaAftgjj8s7DxLE2duQU28TUcXj0OkOTR0IxAaIKB/js
usEWE1vy3jmx3nkTp2yWdRJUrYqNI64XuiMPcU4trOmiQ+pUxZZl37zD3/PQae898XM20wVH/H2k
Q7k3IsqO/uh2x3iu7ac+8+vvWfvYSRjKgHHURX5HiRDProaMgK6r4VoOQ/PmCtgVorPzI3d8HOyY
iqKfoyuYm7zSAQ6YuucoaaZvXVK0UnodH2w/ycw+rKX/wWrtyixT/iM3ffRiwMhsmDbUpxOm6gNP
IZIl31j299w7TBcnjzRM48CapLmRlN4RqIBwgV4GpdoxSE3G4EoGtrYTlXZ3oo5f/Iqo+x6XM6aI
thm5OdlB9GANPhFNP/nCeeUfk2a+dRAU2dSpZ1niyJaZxVHdJCBkBuLOePu/XTOmRwno7aPyNF56
xPHGLn7NtQPdnyDDZlk8YmRUyEsFRiweua1bfROejWrrO1VAsFSxtaYaAsmDDx5crwwohsYi7uMa
7jdKDffcwT4KPrTsUwOePlN6l7O+WXFJGXdyifFIVllbgomU/bZO6uYxo7SnvBAf8oeFYlg5sM2n
M0FsF2usj6QILSL3JaHQUICrzBO5Lp3sMQWqD6MyaNtNyEd2n8Vd/W4y8bD0zsPcz89zlh1wRLPt
6KtXS7XVOS38A/iX6NBkvK9SZ3wr5bRcJ8MM/dIsWx/bw8qNaRqm7Lw/G+xXgJL0dJIecs/IvfbY
XCiADbUYK5l4ch8sZXSTjP0uarT8akBYP3ZK2xcJWLPzbvzhqJz2M4EwxqcO1LRqFAa2qTpUOXsS
mwKlnWi4bxE43zM2ukCtonlD2gWfROe/coaat6EeTy4wrGOStWbtDISSIcS6YIZU2h36oDqR2bM2
XlznqIuFc2F3SohbvW2cW60UlO/Y6b2CCcotaXOjnmoj+bwArID5cHaIBNw4bLA39ZJMh8Ap5ovj
5KUWKc/UNpTPIqffCX2Gaoc+KE8qLrilFHQGNV753Eb+a9TyzswAoxCULTm+lXy5dEmu+WFdJrYU
YnuSz6hhSacTQpD+i8zlZ+UTvMwKnxEN/PmeuwBZ8KT0rgjjWTiFJlgpuK+oD1XVeomr5zrjRzrh
FdNriY5HDKezT74hwwmiInpZMhB+zQT8MVE0qC1Z2qyT2C/eDPvDbWvN0yYyBa6tlGUbg2Pq3Tu4
OvZ9cjnIMU5dHgRz9ItBlLsGvTerCbd6zDlY8z6uovo0ov0SPCiv2PA3P2RbyzX2Qb2inosPpW7K
g5IJNkRHWdMWG4Z/GKLhUiMH4irue3fDgnAet+WYXA2FP+C6qzjD44E1ft7dz2nqnfkZll/ukuLL
y0qGFJHEzySCuqsR6sJTXHHZuJRylLy0FCfIRRz+tshnEBkdqmd7FhQCYhJGNGF1BE89HteLcAZe
r7RGly4I3rJH5Xo/JzRkAPd1RZGfiz9zOylK7YK4XLgYDvajz/IQmtf0EdsWNg+MhUBZQzMmDqQp
C/KYXbp+tR+V7ZzAf/YvIUrquZp5WCY6ru/ZbpdrSGCKKzpSGuCHkYBvnFjvCBhcoq1sz8gjr20H
+h5AuJlAN56jvkl+6RlqN6LUvSyD+x4zF8dROFF1s2QXv8kSbaQLW2/M3IBQStwbshyYUpCYgVnX
+jNJe0K4rCPCbZf4Dc1czPeXGBec9bVd17DH5ghBmBjQ2mOTxq22sG9B/44IQACcTDKgCk2OIVTs
Ywua23rczYvNGZTmNpideZ53scjFAUcImzyqRL4ozoHPPuUo72I+J520bjmv6ZOfeTRzWaXHXIfi
yXedfqXm0Vz/yWDwvwi1XpKi/0gCer5nKzdwXF+5rqArVv3F2d4U0YjXbPbphTMHJrRdNg+SBe/8
f2rZvUQK//GFtNQOSUNbSihZUPRshY//z8YA2DhjpkKSzq1TAt8oaNeZzrO3SLH516/on736mpfh
kyGQrudI4RG2vPz+n+okiPeMaV2UCZ2C+ai2kG36dMV2JXwzFXdHShDqDsePF8RPMvI9s//XX/4v
bdq/vz7NGY7t2ApbvOP/JVs5Nhqvoh8k26S03Iv3sWIs84gr37sxvVQ7bamgfsU/kZprMdAEI5Ya
peHiD9ywULfiqyioRXAt+6Hz/h88M08VY2HxXy/53s8K73oSxf1vz8c/fnVN1ULVVd/9v/xT+6/q
5r346v76h/7pX6aw5Y8k8aW35J9+sf2dBbkfvtr54atj9fp358nlT/7f/uYfLpmnuf76b//5sxrK
/vKvITr8UzRXev/Sd3NdtdXnZ/Vny83vv/FHPEViuRG+Rx2KTRNwwBvr756b32UogqQJqz3Plv+R
9P0jzutcmlcuIQzlEk1xLo6cP1w3tiAFLIQnCGBpWyOV/jumG/f3O+ofHy2POC+BA+E5PphFRX/w
Xzw3egkiq5yj93ZwreVc4JgsbmoCBNm6KIemOQJITF36y/qCmxpBMoJzq3ryg45VA/MglUH7PLF5
xKwHJyqH+W6c+rYOr5C2fWj7onWGS6CvaL+LaV4yDJuAKvunFAMHhtW6ciBHH8k0T3XEpRpfm8sN
pgual8jOuK5Qmyq9eGo3jZ1MeBDSCpIgV3YGZtqin1wrqthz4H0VfXnN7Gb3ZjeA3B8eW0bt/G6O
hsF7dagftLf1peP0zlcJHh4abETwnhRA9k+uR2p0nZcDO9+gwD0DlyXK8l1SREKcELfI106mF812
mt32O4ytCzTetU376DltUD8Ewyj629ov8jergbh0xAwEAFYURmDwJmfwzs56aOgVtfH9FX5JZlNF
GqcFUFIIJOGI2QYcddNtvK5s+JTnHKHoA6XZlbatq1tlKtFwy67Tiy1gzqxD3xZOfl+lXLzW2jSU
2cRt79X7xGu8Q0eTLbVLLoacFT5Rnwt6zuGAAsSap9MZnp6QKykTVzt9137YDZ8kCbISU8Ik5Fkm
XfRkIR+gk2gn/JTC6VKG7qRGjqOUlWkTx+HcZdtE6CV5L0TsuCf2D7n+akiWpq8BZPr2FnNz0J2F
4V/aDl1Fg3gM8tM5FaQJ7s2Y13rn6nb6KEiwRNu+DLOeMhhXPFgVKhyMW+Pius97GzbWUqL111GM
AM4yP0bZbGhhXC0gZ356ZPUe2VSQbG6nyDz1hOozKOCGwjyIGupOERoFcuD6HbhUnaFP8Vt5sYoq
LB/GBmuyzoQxj9RHEglZVOlRrBeL9hbrMFnaFazpsU+3Cup73UAQhrm2DjOHkEPcNFW5LxMGecAu
eXDq7WYmfCgSG65wR+30dV9quFZYx7RczZMlvW2clEF2Q61nne0M09hzPYj6Olbo0afC40ZISbRO
olsyEQgAkS4TxOTalz9zPeDNXIRcvoWptbMXncsHRjSW41/nLh69zUwn80NRjwjJ44gndW+A1dEj
ELlztPfxcO4SGj8xRcVV/pCrUaHVhFZgr6KktaqdD48c9z7MzwXGUIaHQQS4qNhq4YndVx68DBTD
WgFPYh2OpMU0+pYQwESDzis6YmnsCBvn2LVKcXO3GQwzlvfh1IHKGtJwK0aDiSknn0vGbHKb5DhC
Y2spG1nGZ0ImcUEg1UYijyuwgpoW8mZNx+p0KRKF0MhKw8caUYTTSAioyK2r3KaeAV2QbTiAlIQS
KFlGOJcyPXf0D041JBWUQvnEcRs9cstXE7fpgdIEOwxH9ylDOR33yQAW4CaxxAB4Mcwg/rNWH4jb
gJaF627FXvxq6PGRvABag3k/ckNkzizkO9/lcbybKt+9T/teTKtxRFp6JKluDpd5YjuUpX6XuMrq
ozsW2KzR5Ej3ptpFJCZ9zBAecaFxdqZ0fAW9oEwgFtUyWyiF6Sg+PiQTLYMMGLjadzYecAJQNdnG
y3pO2/VPu6jKs3Axtt2xGuyqHXJG4a1clBp0l8lK3pfW8+4LTEnolZMPBL9a6hHaFF0w3wr3/cFw
ytcvaH90PmiZgARKGteTV1lPhfbKGaWM9sNgB69zGFZPLiyl/CYdCYVfuRjhmWKVQT0tTKlhwE4e
cYuloKx3nZg0woUW+AMbo9HUrn0NrEbN0P9q3/4x1Eq948XKhpcOUl2/c/jW4IGb8L49euEU0B5g
YWc7jLQSe0e0ucnsvAjq7k05VeIRgBbdel6Z+ukpdntqvxKt6PSNHbSWIGOG20pEROdWFPHIz85C
wN20TkbU253ZQXAsLQv39wHRbk3kenK/WG257KDGAiRduzYyi6YZdlmgyY+LOGvmuzilewlPEP0v
XNn9BTmcz+cyq8mmhSesMBK0eLwMXZEqwteRLUnSr3Gl9Yi1aWG1HzqKwshZB2HbMvDhmme1YnlF
VP+y+0nTyyO6yv0EPy2eOw37i2ZuzzDvrQOrCDlYDGk9ddtGA+oohbnUj6is6cVmhDEXH1IclhH4
PQ50lOO0GO4MQZN5D16G5+MGz+uAkg5bDmI+N5OUSmbbyeyHwteMbLU9LtkWf6GUm8iavOUm7WL6
WOgMl/NqxoMT7auB59lawSW8dzV+qmmVkcGJyKtai9x7rEWzVQ4azYMXreMBgTXS2WtWmcXGeBil
CSYxahmAGmGGi3VXr+kaj/uvJIJ7du4y7uZcvkMW6eUu9Czdv1PqXE4aDGdPZl6axNXkAcAPlD/S
PJ3gIxYLmhvBSH649TEnKydy+EfzGE5bTB/xfI2dX2E8jOPCnN1u6PQJ4sDo7127SPjBLXEr3HmN
3DSQUecp1zEMh2AYto6P67dbVULWFE8mgRhI+ytHTqwFgCVKs59ti2bMVTbkYjny1o04m+w5UPF1
XjgXC03vzd21gZMx3I5lO/osbvH+ty+17dTeVS+1bV/YX5Z/jq20z+40hsVLeeeoFKJfWy3mrvZL
a35qwlaYt54MJjYX9u0LXVfJRIXlbEeN4oGWFEQXvFCBT8L8EjnfVQsC/px3o1VuXa/NL03sHrkd
3HzqSdoyuOYbp5bNotzyf5B3Js1xI+vV/isO79GBeVh4U6iZxXnWBiFSEhJzYh5+/feALX+XLLJJ
y145vLkdN1qtLACJROb7nvOcJ0n4Ndz3qcS39a23UIsuckHg6sw0s819xG4guRlFJbrvmLqypzJv
ArmlfZ92h8HmNd4FatxHqxywTX+RZBIqHSdcx4aNSmvjZAwNM9sHUDkpWiT51DxkzHRmoQox+36g
eXJdZdhIbd3Q9Fs70+is5u5YmRs5qTLahgn4afJHIQiwpOiputQ7hBU77BORcpOmadFf9UihKNL1
GUnCW9cU2Ny6RtDuzpuyvwJ0FvSrl1Pb76PH73Pw/8nwSI4Frw6w89Hq95FpPrv9x79D2fi3m+99
lL4+/Lz8N7/9BuZfrPFUkgmKxARP7/I/zz6G8RduA9vGru9y2H1xIvw++uA44MSkYr13iJew0ZP8
6+yj/cXfw7803NnW7+jOn5x9yJp8XVWgRGQ5lo4SxFM5tbgcf94e9k02wzo9fZq6XldrTwF/BpUs
/FL2+BKTSr2IhVc5IPvowQFBtUJzoM42dajFPagsXRKCX+PLevXn8+l/mznF5ub9szdlFY6yeT1J
5j/+e47Yf7keW9+5vmPxwfhXxqhu/sV5mUB1ExfEXI/5ly3F0Igf1ZhReFK0l1P16znCWVvDk4B2
GuwVI/1naeDNmxz+LH7//9fYtrf1IMAQ/B32fDJ3qEHpfHXeThGXz5GGMY6TkgsODwJOVqT7ORwm
LvGkpPW6jG5e3ZgPRpwrPP86j/8e0TO0uR5g8PPnSfuqAiVZl0WFZo0zqHtiQPbMgujvQg41mY8v
SnvLonsZA/elw90Fi6Ryk96OMUL0xSEdhHi2nwXmBpqfwiZdyYbxOfc91LNML6hK//r80t6PCy2M
J22pNoM7VDfejktTahSJyrhk6i2JZ90olXZWhO6Jbazg24CiooKbWhvX/vb5yPNjenNT0RHNhb25
Vskt1Y8Gblxw4eOIgb0wUWgNHdY8w5Gke3U3hWFQgNWC39Wyf7zJ72YOQ2Jnmpc9is66efQcI7Zc
GRAPJDJyfKqHods7sdvM2v+LTnVu8QB7V/Ucr/j5lX4wrMeYnoeHCLCUfjSsOnSlU0Qx0VpTSJBd
r+lPCdvTVTAkO2hGNNz2Zu8oz5+P+m7SurSZ8YZRR9EdaCxH9xdVDojOMcR4r5i1gVS2Se/H1M2G
9efjzHXeo+fIBJoLaYY210ePXkebhDIsqzk0SlJvS4hDAxvNQs1PerZfnw/1trbNO+Ja4GTQWjmu
ZbMuHV2SHXZU5cBT+Tle3Gg6GzCEm9MXg7y/b/MgSNcNKtwaX7S3L4Sc2LFoCg41mjUg/pEB4/ft
/t6e/ONM/PBKLFtHujeDcI5vGlzkuGo7g+K5gGqqdINcDBNCzhg57p/fM07RrOZw2k2+qG8vJ4w9
tJntyDQQKt1k0vfIhefl++KCPrprpgU/zTDZBwKzfDuMQxK4qUu0fKEubhyrui5T+cUQ2odj8Bbp
fJgMPJNHl0Jvt5XqwJNhZ4ACNzB0Qtex0nVVcU1CMq6KnlzgUUMIRSETq4OHbkknW+NKrzoNC0xj
0dwCN/jFD/vgYep4hinlkGXJyePo/c5AvpBfRxt9AniqA+6rCfcyq+qLiTnzlI7eNCrVeN94l6FQ
UiN+e48ble55HTVEnwz9E/Jp0qKb+EYlc2ipJshGdLX46QFke+TUis60sGfyQ9nWewLukgNGgmhr
xoO1K03CfpzW+NW0RkXErSGWk9qqPz6fePPTeLsuWPRMqGkyyVUwmEczwsbyneKW4q6M1+nwwwnO
Ul+/HI3bz4c5as+8LApsVi0NlxoeWt6nt3cFJkyHfpOII6uz963s+jW6rOHMJccVgUKF1ATtGhvN
xagPaN+NoULzhfq+UsJwMypJYa/wmn6xKL5f8tk3OZ4274hcvLpHjyqTtY5FrebjBnSAakF4MXic
z5pta+2arFe22H4U//M78cE0NAxApHNjjs/pu9UR+A3LPWmCKAJWRe+mpDzl+6Bo9p+P88FryDeF
1cTl0uZco7c3nIpzDS8Gt19C/TdcQLzr11nhBld/NozNJoi/X5+/nBpQ3KP5E2vQ5FCXkf5Hi/bc
E0awbCnhf3Exx1+v41Hmi321tZuAQhtgNriYgp6xAOjnp8Vkn6CYKFdpVrVfTIzjh3Q83vzvX40n
VC8KqcrNSYGnpnYyIR746sZ9OITBO+dwgnIwcL8dwi7UtiKzKPa99GDTxM9I2SDF6avVaJ7Cr99v
roQWM7VnjTYaMLWjKa4nSZvEOSHylhX2h5qaCioSOTx2SLbOsH3WgDJqan9z2lU2XNQai+NUtFP9
xQ85Xmdefoemqs78utGdPbrcIR1xPoAu9Ql322CohaES0N4SqrVqdLVbYVL9Ys68zPB3l85GhMXY
U7HhH70BrtWjpMy7BDNpO2xMmQWXWYvOKbApbEyUV6+D2rOWQHnNJfkESxtjNChzcZFoofTV+GzK
gW46lxpgxRtUVX/DCf/Lm4uXO2K7fCY4IlnvYNLWhCQ9Mnt+XtDXzwr1oXXhIVGmdDbYX9z9Dyab
CcP4/481v1+v5jPOjIJqJasvEaZAvowf9uith6j44pKOP33Hl3R0x9GL96Kf2LmDKnMPRI3tE5jE
vW2ej150NeoCQWLRfkfblS7/eBlCfTifXtmrsXc/GnmKsPjgz53Nagq1xcpOTiqaU19NqXdvE18v
/JKUUJz5bh6rKfgGqw0NB7Y1BHPhwM22I8c+SB6qb82BsHF4W/QhvYt837ViA1b9i4Xp3UGQrbtO
VUiFJU2gGf3vt08SvXeF3N4kOicMfziNeQbO7lpFZgQhRpxrVXOjtjoGdrKcq2D3+U1+N4uOxj5a
FZui81QgoKjMjee+Sxe6Quq4634xVzX9eMk6GuZosmqyL8qeo7xf9uRYO+3WoQ3TUOZY2Lrc4+4g
VWHckau6QzOF9D6f9XGEdX1+sfOMebN6zL/CQUBDocsFgnk0oxKnrNWo5lE3SXxRim5PXs+K/Ihr
IyV4usj+eIFkvHkdcNmFqVROjm4uRsYxMYBO+YBiFiwZm2EgW5A5ZVvroSv+OzcZOAlX51E/4iD1
dh4JoAmwkHmWZe9tsdTuhdVd1l60RyV0qcXeqbTJH9Im5yCjQF/g+dTRVX21Rh9vwObZ7JhUJXXH
cShlHn2d6Dn2bd9oJXLB3GxvUJbPIZjAOc6VBIr3XW60vbymPVuQUpx28ne98B/X4ONN0nwQdql3
UUDjHP5OhpXXgzI1DXvPZOqJDwCT0dni2x9PJIcPkEXJlF6Re1zOwGCRFfqgYh8d0kfLagmuErQp
vCtbLYjAG7/YX354Sa+Gm9+uV0t9nwhjEmFc+aDQgC8k5X7o2uvPL2l+A4/ejTeXdLTpG+gNUGyY
qvnLamGVrZZ97kCq521kTfjigjQ+1cfjcTA22LxQ+kLDAL//7TXNfSyRkkgzW0JUf6hHXVtaZJNV
v9oJ+yUpKgBQlrUN5JWWVVBcFxw9wZfarWUs5BRIWFMp+lHbd91YnkOFbsW9CF2LvnWs5c5ejl1M
q7BBGHetT85wlvaa8oC/3jkxJhpG39AjkHNkN2Zx3hccWhaRDEgLQgJKXqNWu+02qcqKKOYxkz8J
ttXPA7WrkltPm7CNKWikDzDvr0CnuavaUZxbx1Wzy14XvXtA79C727H3lEfNi+piU9OIvqzUwvA1
rYbuak/dcKf2eseWZHLHczRB2W6wMQmiRQ5+RXxYH+Ccy1MdbOMZtkJcSmBztmaS/LKsGi9MnQxw
U2SnEXwZiikEb4ea128qU01WIyROhI86J1E/Zz+P2DM3OIjBvPiewrFaR56m73MqvjAULBUEdoCf
6UGVHgr5OsgPgU6WJUQ+OVX7DsDLRdLAxdQbcdLjn9ujruvWKUBujrmVfa8qyVRtrVFTD6qWm5ce
EujlGE/XNG2bszLKmx1Y3VpfJpW7rluxDiBOBjut9mgc6wWJTySqNlulAE2Ivywl8q5pi37dtWaz
hAFJd7dr9IsmSGS7yqzMQNXkDEttVCbiT4Ncv7Ua3HGUpCJpzboeL9tBfZhOtESqiF914sySbEWQ
Vkt6e0W6kUG6y0WfjXsyVuhG5y0AenxlmYRDYxdp/asCgrEau+pUq0N4uXJaCnUsL7JBZgtmZgr5
BzOCjTy7EAn+LGJjEUaV2UZa414nYYH4L9P+QQAqrilEGotkDk1Wot5eOZNDUJluhsZZmQH80hxF
nU2BzfkAGkY79crpyVIRnqg8NOQ2Ycp9NnOicRN21IaX/zI6wsTV2L0o5roSzDki3UUG5NWcsRaq
eY8b5gl4v/0Ibzk/aHWPwz6ff2BEP7gjEG0XFc6k+Xao7HTIqNIwKwzYPbDPDD2HDFGmEQWtpMlt
PICdhM25c5GfU7E1rwLx00NNki8A0ysPg1WcjwXPmIWJWIbRuJmMqiBjbJR7R2adzx9SthmC2301
f/CVKXBPJH/Uwjimn0cewUEkQMIJwJqzylFcrbFIncOO1v0azsK2zyghQPNJh3I1peoNqv2OZhSs
AHpQc9mr6xYlcqxvec3mpbYytNxB+WyoGMBL0PunnqZNe7ZOyXnKG/ajx9cw+RBizX1QfZvS+ITC
nNb7HoFU3oODvoF80vO0mW4z60EGq77V+tuC6ZFf6q4YipWLJmWdp1G7FbWHcUBJ8uS6BzzgLshi
1K9bXMaTToKB2y6RcC/dVDxOuv4daSH7WFgoIIXgwfHom5uEs/5JHdcp4Z9mtNRKpNDUyEWyb1ja
yo6Es1Yp161i6891pNhrwKreLgtZFVYh+ZxqoiEoN1dhCjFU9OmCpImfThedwLbYY59bg/hbTU3N
C5SYK+GSt7nqUtJiF6o+4WTQiswnlvgu7FK5tHUNYgKRsBog3lWU1RknWZf/vp82phBb0sZX+eTt
SJJDxOh9s1qyqGO8fXwg0iladzAMuri9H0h4gwbCcPGSrPfmR5uFdcEhZVuDRkbLv7KHditb/ESY
OCzkJSrUyy5Y8iFY4I/uwStI27gve21Ywrt8YB1belgiu706hnsOuxBU1emX7Ta+GUkJfsO5a1BF
ncU2y0JoW/GiRF0p1xq1vCdNhT3c2fq5wrzYm5U5naqJYZfrCP+JDviTgxP6yfq5jstnN7QuJzVN
t8R1A3tsUOCc48MOVp0Sa7h/c/ca1zAkZ8sU53E7QdZ1+2lak1VWXg0J/rela6BrBL+qXkDbSX1z
NJMnQp2hY43BD7fWYqhVnX2n5iEuNvzXZg6rRSh35A88xEXnS+ywi9B1L2wjJzaqNrYhpt4LK+lK
zPiOQQoemr0xV6Bgh+VQMp/C1tN2FhrAbF+Ng3mZedQhtSEgJAoPgYlQhe/DlAb3oF6wGuPtTVdZ
XvbDPuBgs/FIlUabBUJ8UtpfZiZx/uB9HsUNztfxwgBls1GUTDmQeBfYQLzwHuJXFcpydGHwRnVm
IrjT97xy4cF1iQ+vYCzLmnq3APPcE88KjVl7rtvhHkOsLfc0FMxV2/XBs+eMw5wOowITsqwLMp4k
J/YsWZI1gIG+GDdsa5fKAMvM0JaoNfeuaS3SSiKRzNF7ZKbfjQIGQj1so5dUc68KLKqMczYvdiL1
Pk7zwtxDa6lMUPKG8bPSSrY4socdgbJGrexTQxWnlEg2dVCvJgCpU4iv6Szq4A9ROZSe7SPRK3Yp
sQo486i7wNa1wWSMVbuHudWTPW9EQAN6N35wQzGm2IOHUVuYFnY7kUFHqkZvSHmheUWRBOrVrrJ2
cWhUdyRqW3uogsaiJesFZxLmdo+gHGvyMfWyU7BivDAN5PAFeAhcazaaOQhIW0HSz43btQUXKMvm
dqp6wLn4KDDC1K6drzyQJVviJIn97rXnUDXy5xrxTO0XmnxgpfpOrRt+WNaY9dIbvPEy1JV+O9lZ
eZYqXews6wBc9ByEZ5wBREYGpqH+InsOKVm6rBBHE63oFnIxagEI20EpSCUfVTKHjfhWSaqiX2Rd
DPEbuASw4qyHRaNaVbRFrgVLrgq98CyeSvdbibljA2VlgqkTWhDe9JqILdp10PWXXeSVlp9axT3J
KD6QrocaJuDSQDfXkxc4HBpd2Vl42AZXK75FyOY2qQmqRdpIzrl7fb/C3NafZXaGWC1HFkRW2r0R
N+Upws3tkBc9UmBhZRsH8prPnwrPNRhKke+wUisGej0NieIEtmWSa8yyt7UV0+0oe8IwRzJUTpsM
434chuFDqBdsUMBjsYZmJcmduYCLZU2PgFWR6NVuvLVDYzsnKClGGKU00bviound5oALOn7GhZ0v
1dyD94pGFzZvAI6KaGurKa8KEUbLkcP6shFmss1aIQ652+8aoUI+ySDnTFP2CGx8B8sQYHqZXGaB
e4Oesj73AucetBhZgLmxniwJdnYYLBreFCcVE+TSQzhxVxBGdclG8n3wWdOCM9j6ztacunMvE9dA
cYplNrbsD2HMqAuZ29mVoXUdtjPeJVINFYegwdS8muHvC8VW1L05FtUJlJj6IR2HqzDVLo1guFdG
Y9MDfwq3acqSkzYriwRkRJx5aH9P+skA3lMZRoZuWIsvDNxWrL+7Cs7BBSDdOljElkImQ+Lm1VMv
8vK+geRzJdn4npd13vh9PckbkoFPQPhk1bLo5VUUed0SM+7GSBp8WoVMfk1CJZ6xGh6kdDIkbGiM
cbOZd8KKIVWq+nenjX5mINwPQh9CufIiK9hXTjvnMvUbbeAiilxX1yKJ7gyD1MOKgKFlD11pERAH
tGj79CSES3IeprG+saykXZgd2/F6jM5Q0h+aSl95JKcuPafur8sJI14cDQi6FUkUTxF9tyvh2510
flWOTbGgkeF51oK1jJKVdCHGWo5v08s220LZNDH7gRSUxaHXjHzbFV63tl1Rb0FokM/kuoSIKg46
x55lAKbUNL+PfiHsi5Fcmi7B4+yk4N6mkZSjhTVkzcZLON/2MuXDDXBI704MqyO6c6iwXQ82ikWt
+TXEBQVfdaxQBxWDmm0SoyHix+FQ8tyG2L+xKum+WYr+WxWwE7Ki8MnWUS+3AdIhIgmuPK/4RnCS
WGEcnkiFr6oeb5Y6ouQLRLKrWq09LSWbLLx7w7lXoXZ20T/DavRw2tut2iFCTNSQPhz1woUXiG4l
NXtdmnSbTLzbvjNUVekPU5D/IuBC2VWD9FZdXJLm4ISOIFLRYFXNYHeunDIqVnqSkUI8IXBH+P+U
jzQ8myC6x1TeLeKeHdUYlSziiejkOsUnstWxRxAcm0QEribDXW4SvGQWyhkZUr8KdIyXMUROslJ7
Lz2PIj6T24ZlFC4DPokJwDdlmKWNHjrEV6fn36fe80psiUYQnqAQlfkBkhY53WzsoQxsEyvyrrxg
lmhwxAQu3Gpul/pR0GTJ1uvbavANaJslMAi+mc1pkjUO3TDEw80S3SK/DXRZYl+hSHeMNR2XTltG
o+rthsFI9T10uVG9MDU7D0hNykmH7MzMtRYVfr6lcGxt1c4swntAbjqUd6vnB8SKV+PdpCMlG5iC
iKTh54S2agT3ekFY2EY14VpvNKHF1cJoHfkdygPRnmRZ5myPLDW9BUXppKt+GMdb6vsJhEM5ej8x
vQDq6ExHHrrYEBdOnTbXnh22jy26enTi0yiGg4QHsedPasq3PnTDbBOLyr0T2YSSdyzSwXgi5cS7
4NhRsCqTu2LA8XGd/k60hBwFYYTcP4jAId6B/sgDkpHALSywojrRgQQQOzwrjFG1lixPkiUpkws+
Sc1BFkLbDhUSy7yYdkpeWlxL9bNqksHHs96QeZJx0FrQ+64weQCs9e6LvGvbE8rRaU5onOFtksTy
NiSdt812mKJmSYEnX+jSCpMVH+/AZjZ6Z6PZ9Kf04L/3WnySKxoJz3mp1wtNwcK1YGVLnsFMV7eR
1ouDrMaUI5eWswy20C+tojGH2wgCRd9tZHCjeNdRVO0jG108gJ+GpQDLC7pS7JXhuezEWUHKWWyi
Pi6vSUI2IH8iyD1wNA/3fE27ZQiRtFchWF1aCcfiIVTTAfum4WRbQdwz4X1zsEWq1NoygKfAJ7gF
v6pH7iEYMUys80ZbdS5O0yU3+gx78okRWSuJZdOo7k3n2ziB5QJ/uA6MsTjDiIGzp6p0O9jGmY/Q
eiJCD2KWsAqibi3oXBcMWDz0uibXfRd/S2K2+yEu4UE7nYL72T9PCJqJRbImJVjEFhW6uCrXCNef
KHhAqelGnACwww6yBiFUqg0uFT5g7ow7XNd2T8SFFlQRwR1Nj8da3XQAcX7WdA3aBck65JEh7K5u
Us4CVsKLN9KQ6qoT1KDGlaFr5V2vl7fyhBy+igiJIuVrKeeQl9ifc4OUxjzgwJWp6hd5vQwzdQWe
4swu4zBnObc9ZS2DXmjrVE2C88gG+gwVHMl+xTGnZbMnlCcdxqudAwkncwB3yxPdx3YR59IfMeU2
mrYC/GKzupM+EsG/VHt2h9whx0Bwj/0421neVKarqAIBS1ttjtRIwC1UsObF5aii28aSUojmNLOU
vdD1b940Ds9kxyXLQldkQho70nafCcnhxsnt73miUHTJC4oyFfX4/ODiTa/WypAKnCbsZDpPJ6tO
TUdi4wiZoKCDCR6CksoPZuNGNFvpmDfNOJzATxLuwsnlIzj6nVMByFtEZjv0qyJkxp8pI0r8shU3
JSIzueod82dNrAxw/Xtw1Lq6zbJGOJSsiB5yaFeeaRCrwYFaxSrhPblhTxpeNZ5cW6lthqtABNaO
OLXMx4SOeX+s62qdgghyF0aZERmN5dpcUPrC/o2Fv1/WMAzVOcvKzqX9RP5jcIgT16ECElm+wZfZ
1ydLN8xFVrPe5WvhEAm8ay3ldCZtrAtR7fuiO+vwT1F58/atIuVZq5qrHJH9cmzdOsH0P3UyxAFu
kbu0KHpDtEwcKzngOiC9uAmJJZFTbp3KsmppN3TyuxYAZ/NHdtp7J8906gkJijuKCYPiiy4dzrs8
YVV0o4lzmFP8SlORxpckzajXXkBfyNdqYM1ALpX7IonFAYSfmp8nuYpbxWtgPROBXZGbDq6e/Gkn
IFpj31m1ejCQWLkrjDFkKpDExyxLIb0kHRvcdUL1Ap79lOQ30PdA6whb3BfCiPNDLfRC8d0kLSFb
2aD9zsegC+PNpI/OuNdkeMP2aVRWHjQZuD3DYP5SkzHrV3XC+bBT9HjZUjDdeSQCPQfQaW9qPvo/
4CglygaLfnY5pQ4MCKULYHJJoFULHdbnvNRkCFcnJCsiTDceuQbPSd+oJ54Wh9tgwvSMu60pCMtO
EdzsXNfVsM1ptB9mfuVQ5mtq1zKzrmTjiGBg0zR5fO/m9HVdbR5x65ucvBRzgJZMXdlhjV+obYjY
SFuLYOKvoG8LrBJjiA1DcCOkpDCAi09csIcyb6mJXxj1lG9xlRjg32rrHKNVS7CnocBQTvp4HzZp
CpGLmUVdQitq2Fqda3I+w0OwwoJHFX5LmInsiaVMKn0qle99j0hHUU1SrBfd0FspQVdAArZ/1lVg
+r0Ip2xIcMiznKOWlKabE9a1vvIxzEEeJ6aBNdz2boLh6vOBjrtO80A09WzN1lUo/OZRg1EHk+SZ
He0LugqN78S69PFL3JOFds+hlfwWwcHA6szii07GcWvmZVwLzTZtahXg+/y7XrVmBKLsEH8q1qgs
SzcwzpIzgo3kF03q48blPIqF4MeeXcn8z9FtDBulESLlNgLX8o1c88NML9eT467zDHggVML8i2bi
cV/4ZcS5d+kANUBzdNTFa0Q3GkVPLzHPzhUcL7Xp28L6YpDjntM8CI1Rj1A4umj6S7byq5vHzhKy
dzRLBSOQTBGnrpXXGQtykr54Sh8N5NEWpS8KzOBdSLNMdTPTZyGGSQ2ZFKpNnCfVWdLm5VUECfLz
qfjBYLg+NHqgmob08lgWFw+Kqbtpw2Adp0O2Huyz66LyeXu/uH/vPBvcQIu+skmoIgp2BGhvZ5/q
xGOIxJzZ9+Cd58Harm6DbCX5OOQV9fJo7Vq4yb+a8x9cIIscl4jUCWX+8QVGlUf+VMC5KCXfiaCf
Ur2Hndr7OebRZVDEyhc39IN3DN0lhgPb4lCB9OftVQqKtBX4ksr3khCE/6TWi9bUVp8/tY8HwaoC
VJfbeez8t1T2C33EK0ayQrRoSgCqhjDHL57YB7cOJw9SD7SC9qycenspLR1WwJHcutw9z7qrvP9h
Clh7d59fy7tQcuYFw7AK4ggh6fy4uaraQZbIeIBulNIqi5O7Ouq/8/VDt5PuAd1fIOpZ4wksgMuS
aFO52yS2D7rT+pSebvWc26zU+P+8wrtw+vrP30ZeRHSptM8dpIZHa4tosrqc0bbUn7RsK3NK9t0o
812FSsc30BltP78dxxKmucFMaqLjMFnRMFtHq6fWgyLSJW+Ji2/fC4EbuO5ZXIHCaSFSjs0aD99T
k6QPnw/7XjU822U8G4wEKzf+rPl3vVreAAOSoeHRppLLeDe1fso5/1ewj7bR4nxY/MRCQ37Uc7XY
Y/j84pV5P89MlNouJzNINChCjoaO2HnA3KxYdGS24au1BHHkW7V9FTTuFy/Oh0OZFgYLVgTvJRLn
9VWCQYJ3M1dJCFygE7pQ56SLiiP+F9/A+S1/LVBwZsEOqlQ+ssDumTlv72ZOq82rJWu4UcZLWsTL
ppX0tqdVXwl8/tq8O//ibX2ncJ55I4b5oheykA29hNm+eoIu2WyV4rCrICcaWN6gbfBOJvPxiza9
eltryWNd1NuQnkqpclZOqBgazVUc00f9fDK9u3rTZomfDWGYL+x3X7BO0QD1z4oTK+JqjcuiB+YJ
ucOoOCKmW8I4Px/v3Tszj4e5EE8gdSD2Nm/vtkWPDda0TsdilV40J9MCTJg/3jebz4d5t7FhmHll
n7X1nuE5R0tBblO8sDmz+JTi8wUWEwfM43glLeWGDTAYRr1b/s9G1N9emJcbbqbTQPTt9EeV4mhI
FXo3NECUBvvil1/o+T69mrVIF6F88bHEYebO35b5ub6aQcikyoagEi6waPeQM88MwgAk52NKM0W4
1SdvHUqFFGPz7wnzRzbc/wKf6H8ReWjWF/+zqdLHg0sU6xtW0fxf/O2rJNFLm0VhLwFdDmJlJuLf
WV8ugdlkVOCP5u3i/DC7JX57bzXjLxZR3jfgEUC97HkB/80dwnHJpt9F7o8GGwuubv6Jr/Jos83B
Aa09roVZMoz9SZv//atJUlAGCOgZk9fQ5lv4M9NJaZBgECvTuH51Ty7+nnivHZxHi/XvkRiIu6HD
VDpaRBsa+26Qp8s0pyvjixIAA538CDyMoz7ZSK7/0IH3MiBANbzNKmZlRz2a/xOpjML04qWgPr6p
mgHKZ9wMI0zQmVhSRxXakk436cBVnnL3+cV+dFuJQIUahdOL23t0W4OeHCRhR4TKkp+wrKVZjRtT
q0EmkIMUpl/c2o9Gm5PkjNmHZWne0cIyiKDJTSJsJR0X/Z4omzxahr1L6HMv27K7+Pzajr4HL/fV
dZmWnm6zLZ59wq+nDPAJ0RdstysnzoA2TMqymRO0ktjaBUR4+y517gvwssYX4x4t2PO4mEeBE1pY
SGlCHH0XOpuab+IWy87WQsgIpU8QA81x23gOSAaDJ0/n/I+vFH+sqs/GZkuHsvf2SvXcrSu3ypb0
tcgXjjTH21IvlKeJM9XLFMrtQUMrBUe8b78A+uEk4+9+vXrjLOMUh6CVgw47duhib+4yW5LCHBJ9
3TVKTSD2AAx3weOn/dOynPwAvBicioJm5BY4sVWutUbYOxG06o0ykD3r9wR8wuEhT+JqVGZAAxmn
xk+NYt6tFRuA7GVE2K3fjIlKXl7eFgdomCGWGA18dk/fzyNOWzcvFM+uhs2g11p2a6YJZE0372vs
bvUQFivLBQLq20MAgnJsc8SEfdxdiaYABoo4MidyObbURVulVrCiRCb3CkxPPMdxGmjQLR0DlrEJ
Rnw1VDUpn1PitLqvRAUqta7UiuLEDaNkitdDNTYZyB3LEtHSIWWJQCOyOWOYH5LoAkw81J2ADMGG
X4A4tbsFmOTsR5PSZY0rJbI3EZj8K2wStX3ZedJa92ZV0gdAHw0gFZuBn5Y5zEvDKKEOtoFDl0MA
La22Uk8b3mTSdO9md228VlJn+tYR+yB8dnGaQRSFNB4BA5HjRgpXaoHQLJJvoW2z0GBaBw/klbl2
C4fURPBS1xTgyeiiMRe7NE5Xtd5ZzGgKuWcWYBiTw61r7tTJbn6KumvGVeN68Q+j0MZyUQZ1PK3Y
ett0ROKOxgTYNfPOECFJcu0QJvkuY68qFtBz6/GRZu6IxmnsLO2BZGISU7BM1E52BrkX8VvVKxrO
SAitubhLsrpQwwXfiyBg0y5DeUlMtaqckNGdElknWnJVAthn4PwfFNgqzppOiBBnHXX4AJEomLqk
R2sA7uycjbkgIs8szHjNqSuylmnE8dnXisHuWQsxaMIpVxs3uVKtKBJ7gotH81SIrpgWNRacgkq7
lSiOCTkXYutBy9iZPcCMaWhxYAhtShqzme0W0dIdNWt81BE1jAfXqfT00JfGTHaNu678QYZgiVoJ
XhltXiS/TWfkPCCey5lG1En4rLZKoV2D8gyMtZtGESdvidaJFF1cGf3DpCIBW0hPrci1tSozeOT9
wueZtCpMsBHuerLImsL51dJfLQl3Tch2GbWJZBhkzS3Er8ZJkCJC/r/JnLJBWxkaqCCMKGwIFbHN
8UF0Xn8zIotAPYOvqJ81n/QdoiBXrkO37x+kEZVXrcmX2ucUT1278jq4Mm6aBKepU9mPeFGDTTaR
A+urbUHsL2mbJuGEmWeeqbJu1UVaDAhCgMEpdCJt5LoHuHfIZFKiwa4FQcC3YOzGZwUy9XePPJRH
g1XkudS9AX0qv6lZFbGaXoS5UJ+q2vV+JGMgv/d6YHW+SjO6WQ9u2dF8a8dAXVAbVC7tUgA0KHCs
PYcUF/UFnCPzmhhPWaJZ9bifUxz3dyDJWHdcnayARVAjMjZ0YUk/xRj+nar5FNJzUygsU9Mas29l
ZFij4TtWYKv5Dtlf/Ki1/cTfSDnxxzgA8l2UdjwJoluCaOkhWAHhkGfW4+SViAjKlkSzRWbFgeJP
gyrvJJbE0bcb/rEQtQDF1Ecyu0vCAtgbBxyFtC5CyNFS5Sjw4DJMdD4VMyCXQjEIDSYCLuHBeZmu
1asxMIp9780tWMr00Y1i5ZNLdrjgDF6BIniQboIQ1SMuyV4SDQTcrS4956qJwiH3BZH0zHfTzL7V
XVx7KySWUbYmHzJswSoLZZarTIi9sjrPihOouSSQkC3NYaxXBOWUSgvH06DO6NNRBwqvwHkl6LK4
rP/H3pnt1o1kXfpVGnXPBGcybnl4ZkmWbFmSfUNIss15Cg5B8un7o51dvyW7rM6+a6BQQAKFTJuH
U3DH3mt96+h7TZO8S8kyJ3SvE+SBhvw5uEIwI+f5upGDTI8WZmt5msrBBLtmTx7k6bo03H1nKuHu
Jt62KKzJsAb9p61jJbMt0ksLOl10KxCcLzsM00XJ6l5Z44cytQtmm61LuAL4ZVSipeqsOLQzRTSX
1roTU7/EsfutQnDfIe5hWB9/Fc0Yi49x48XxBbrnXO1IhRDF3vNqZziDF1+AD2N+SL4YNu6hC9n6
c7lqaOz5aLRtI8LJmlV7nZNdY59Zc8mDS0TdgKpEqoiKIde65lnMTX6hsa5p24h6ED48mW7wC2aM
ffYl57UsD92wkiHJpyXEIKAuSfv3eQaL7t3oOWTg+GB+SVNyPTkS74z194QwNCtIPxQpGjPGku06
DTVB1bEQ2F0TdMPsqOOoRqsOh7EjCbxJVfqhJtPcOjQsfaQ4j+ZHIte6b0mTJO+VStNz78k1kKnW
tC80r7qDAc5hREpBsM4+mxLb2xizu755xPaCWAKzCEYMzNuaf+EwnKMNJM+176AtMYySAWK35PDB
x6iduj32hlqGRmp7z6PfNqhVIEXujbTXnO1UOv0n+HL2XYomgxGrkv5zN1fkQMm0axFA8Snf5qJr
AdjFRlweYt3vieCequjOLZihIc2JURjsFMi0B8u1mBIb2CrOVjYwEOx0tRTHRk+a7h3xusuJr3/a
rI7KiPxNF1jChRjqbrlUWWUYH6wp8e+6eIJW6jcknG27xPO7TUVGhrmFme32oXIYx3/AVWD7x8XG
9BbGwErRaOeGBwDds0cC0iqjc4KhdfoSKQk5Og8s3gQr5FqNQt9o1mg2RX7LF6S2zgNgL/Ho9C6a
mlUTuE1617iCfVw8RG3uzgcgnA14cnDI7jZx3Nra9WR0EjHkTn2LLJ3ghpCZK/2Emg8T2m/GKd/V
ZQ6GClZ5VNO8PgrFPoAbXhNUeZvOXXEXcT3Gn4Emzai+tIUbO1L8BJaTaJ9NiH2XHSFmPQVeQtQZ
HDLia6yI3EEb/OZFnSeledlWQ6o2xMZ62s7FpVButDL25b3Shl7bdWlnuU8EG4tq72lzVByilpuz
74cFMaTmdm1/glA65adJ81k4KTCYlRNv1BG42NskTaLObJ1zKzu3vk2dxB8uZD6NyVlPJ5aZwHaB
N20B+FeUZAmlxCaGbdrBoiCyHWaCynKevDa1HwBNx1FQEismNhbj7YLKwKu6reqKKKFQ6+LTOoKw
Nr1Imicwh7O3iT1zpiAV8+Uyj77cyohPEZVOmYudoeY5Ccs+ZxnOMDYYEj6cNWth0xPn8WVFGBKD
nNe2xF7hWXH0jXQJgidNJOppCHM9ze5LYTU5oY5cPv+Z+HhUywWP2B29q/pJEw4ZWbGJSYNoD6+G
zsBO/rGO9Xk5VV3vpWGWJBBNpyK96pGSfwKWUr5fEkdY6n1aprIO4aqXwKuqlP1Tr3pseRXJKAzW
XMI2IP1dAZ/MPrsIse/pSRJ9mtoWcNkhHflq+2Ocfp7HycQ9Yxfg9tDWNVe4J/1vpC4XN0Jbkaai
lvJTa86ZvSF9V9cC1+5JNIT9N79L5EgByPqL4XSec3RkeTPxunc2Ka2mMbbzNh3mvN8D2qhA2CHl
1igiOvNxSbPlvqD/i5Bo9uC1t9lobw10QdxD3VGXoFg7VLd56z8OSMA/CLvVCJcbOv1ALG5Wb/si
Wq7TsiJoJSKk97DoNc0AQo4UQXSRoT0lymmPY1OtydtKd1cmowc7ld9ZPA7dIK5tZTqavbHKeWy1
Pd/y5Gh1ud+FRAJaNSVXm1lkNMjy41Klqt0KKkYSYdlcoKt3244MZXCD14iMBekLUWc91BAa7pu5
re7tIspJmOZ131GIxpeRzOQnxAyCLmtq5BcOyPpbF6cMomtbOfMmm+jm8U2iSxykSos/s1xZqDat
MXlQkVH2gQm9DMcnMUZBZ0bMhRF33XRo9297+MZpAGi6J8M7Jn4wmIfZPDtl5SS7Rhp9HiRZYt2S
ppHkQQNfvDpnyWR7odtGub/pUjGAFjWZxOCzmueboonIeLNtvoylaWPKGSxyJtCcFKiIbEqn214N
bAMEBfWVLuayIsXTZRNXWUV/Afqhqnmxs2n+0fz8R03B/zsi+f9vxDWwGz+1FX5h852/VvPjz8i1
7//9j96gbfwldFoaTBdg6NA/+HdvEC4fDTkwXS77/7/Ban/3Bp2/YJUzieCWClpbSKz/3RvU7L+Y
/dLP9mgPwvaCXfVPmoOvhxAWvRa8nz5MF0HXDj7kyyYEgO2UB8R4IlGVXLiHycgmVm4LQayCLF1g
oEWvQ0y8BsgUY9aMz69CKq9dRHQmVDjY/qKJPZ3+AWluHiE4/fTTpfxNU/F152v9gT5Qd8iYHjb2
11oBM/bqJsqHLxM7mHpraRG5o05ZVEiIJpC2+z8f7eWgloLdc1fiFYwohmqgol51FIn5YdtIRwNf
nEEd2y3FXTPlzc0/P4ql+9DZ6JOCVXp10ZME53Zisp2P55arVmbdsai88Q24wssu3o9zsRhKmgxZ
4KN5r3pbvl7j0TBRXDdGme3GRulXYkqGQ+U68Rl7DZuPpPnKp3d+4/Re3rK/D4x2gLkLzW1UES+f
KVJhx07ZNQGPCs0TAjp1lGRU7wyk3G9Mkl62nP8+lI0Xmzal4fAhfnmopZoap10kqnIjqzZDj3gr
WdpHpUHttkrjjW7hLycGbYt3e83h8AXomldPhyhTKjKd5G8AbPf0QPQtRf/Xma31G6e1/uz/aQ1y
WswDOQScD6ZWqzzn5Wllep5LhO0pOT+GFpo4wreVrext65Kg4iCwPGNDmt/9w6fSBwSK7dw3UH2w
Hrzq+kb2uEY0AWXPaQ6W+PKa4ZsxEGT7xlX85R1bj4Myx1nDPzwQLy9PDm0mxjlSBNl/JvUDWXg1
LN0me/rz2Ri/PBocZiXHrP9jRv4djPHT3MPJstns8VRC3kZim9DjCzIx2vs0zm+xc1wWcR0Wmb3v
ZEQUoTzwuBxy9E6UKpezGPj0y5rYpOWNHvfvzn5V7jgm41Yf5Oars0+dqia8HhX04lRHw8GNl4/R
Ww/Qb55UwaAAdg5nbv1CWWKXWvqjzTUulVSrc7SeCDfpEAluCmvGLfLni/27aw1ZllLVWz8nr6Fg
tiAP28+iJNBAkFPO+5+N0T8T4XZCCBu/sUb//mBkdbAfMH3O8OUVdADMezbu+kAh8TqUi97fMIvB
t5ZrlrmNzLZ961H69XU0eQtp1fOhXOGkr45ICngmobWnATVje5Ul/kNn+CdRK/ZeKDcxF2r9Qyrm
YMKFDj1gCa0cvvXIBKOguc/WmV87V9ldotVv4eN+fZ5MJgjr7ILbvUKbXl4Nd/1u8ptx8sbA0PlJ
+sakaD7++Qb/+jxxFJurwFAG+dLriZARpYnPkZIAyIk7n6cmwRwy0uJX+zhKM/HG8/RKe7YugByP
IRC3l9WAC//yrCwV6W3lxNi2dBJKT+Po4h+qlyT/hlLcVgEI0/ghw6GdbTQJpG/bWr52r6O692m6
qfqNYc3vLjJa+rXgQiOBB/Llz+nXIJVScvrsPenPYIUcpgMmLZyaf77Obx3o1feszobEUQkHqujI
H4hgT7aGId9aHdbn9eXnxaTEQdrnkwxDF+/VM2P2ijkc+8ugqsbECGVlEaXQR5Z7p6ZsSA9kVKr5
aPeZJL+Blupby8XvnqYVNGzqBhNU4/XdrY3Cm+k/8R31tCWcWQ93ZeytFqJRO/z5glq6+fpk168A
9ww5MMfk/7y8dzoIswp/T8YGSXXtocBviVlOkljK4ljFOvttX9ya9lSyV2VyMm5MzLWwp4ETii9G
ZPgf05I+PQp9VY1IgZKmxp8Q1Nro10/U9231LEl+IYtbNkOUBgxMcJ5TbwEFg8vQRp/6Zh6Mk4bb
DUOEnquVPWqSTY3tpig3jM5m/X0ypXx4KtV2En9Tj6MMwW+DZhGztso1cBQOWvyo1perpJliezNk
/CZyJUfZ74Q5tASETow+QiUn/Amks2qbZsjSL7EW484CXxC7Z6sWhKv5bFjJ5FPMMfadaKwem27F
BMS0ZotWf1pHMuz1qS/3UviyPfGeO58piKzyIpeFNPclwT7DKomidxXYFrZjF2KFR85dMpZsKeik
Y19R0aXsaPIWN8CDgIOc9Tq2ZfYpayojJnujSPIReyADH2EfZmFMGqIBKdewyTUek2TFOuof7dbq
r5uySG88eoJ0D7qyHsNM6rrY0Flq5jAvjOUD3rM23utZo3u4tav889iX5RcpNdJSrDw3mrCbmWZv
MIWL6xy//Ke0zAy+/sTyYqfkbUtPZoJx5mgU0s+3/iRTN0wnAu1CW4kxObmRlX4aNVeXZ7wQvpFs
CKG0UMdSB8oHXdnYFLO40D51VuEvXuhz2ciWG4XDPAZXbXuKVEzUGG4Gzb6ORQpGpi1l3DObpcwK
h2bKXJJKomKPlQbjc1b1jHmQT8WPLZM7zKw27XxsgBrBISIu0uaMTXC+s8mOHYCe2OUYDlNkHyCC
EtcTE6cKt86oVcsrnhOuEjRWY8De8N0aS3EyTO8TdAT0DI3Zf5f5rcDZ7xEtt6yRB+Sh2DFRMlIR
pEQ0tWrS6TLzas0RwbJoEi5eRt+548BFVayOGCUJvDdECXK6b260uhi1zby6kug4iTSkHjK828pi
JPNewcntyKCiebRvbGNhSCH6eKzupqkbEDnEPXkj/uTKLT0ojRjOqQA8erJxPlb+uRpdYBzHjE9V
SgYEs+ADSR/kF6hkKMo9tnH9GupJ9oSlrU8u6ykVtGjHAks0Id7+VWJ0BUZQNgl4lmtC6Dcs/W2x
6eKlasjUU5EWpHOXfHXmgsELwaOT2BbIyfzV2AxcIzMzA6e9Y9NGxQxrRQHrgxthQ8EzthFmrw+7
pF3I+3GrakoDaDfrX4mYUgVZnXHphtYgu9e0JnsKG0Vu/cH1eyKF8KYvF5k2dXXQCuEk+BOFIwnu
FN079nK12DYe+Yhkc8mVh+IZPBCdHkOERO0eBUBGiA6LmqLJw66y1MTmEjXHJkqqGff5lPrkJqb9
8ghe1bkHsWir7YRf55jGqIjCsWqyPDR0rfmUKKXEp3xpl+7ejuAThERD5c9tQWLNJ6wQrrl3Y7sS
ZyLbHOvkS6/xthgMSgmArGMDLcnj+DxGfWHs2mbhW2OJqdVCZnrZc+KLYtwDr9EPJruOattkElVw
6+WuQ8fNxDXcyaxtd1QBHvnFNFbcwOOFnvEMAzYP/KwrLayFaXvVGaTXAwHIvtU9U4XVmMgkLm5b
UBZJaZQPudDp46nSbBJU8hWrhJVYXbId1DiSWQU8Md9ofY0pGdaO8z4mcsTdFK6VO+TNkAwMYSKD
rDTOJB2dqwLX1wcmBJjoNn7Zt/beNJOqwXLfJ9LYdbnUJZanAjiUUlP6Tls8tCwx79mS3ylXEM5y
oOiniAUfM8gVVSM9a+j7r14WOfJTmTT48YECSCMhC2eWvGEDtfxwPY2xedS6pcaImhlrxDpZPCGq
xjw/JbVjV6w4xTRvqxS4X7ORiIa1CfJeqVwnZCOiYnsvTDz+7Y/a8L99v3+Bf/6p2vil7/c5LZ8e
n9TXn1t/3//I33ELKPxc36JHB7SVTs9aNP+QBZrOX6ZFGw9BM8NDm0bQv2WBZJL9xdYGfLi5qq9Q
IlO8/a0L1MjrWD0Kuu/oQAYRzFn/pPeHTvRFaQTVfe0vwOCFzYZEhZ7Dy9Ko9Ql8EaNiakh/eDjM
9YDM7EPcVGMXXU7Lkmn7RAI8u6R/juvdsOqzKwx5C9aCNxTMVmBh2oYalBFhEDGYOxJgJs9pMzhh
BTJn2ECcej97/j2q67PXmdO+Yx66b/F8Cy9ij02WGDHVxPOe8ceNB9WQ+DkI59mu7DoEZHXrQTze
DQM4M115GxnpiXbjZ3GNS8NrGZLiKK+gMQ3FcUZsdZAuum1m8dUx4+cfGv6TDw1hZMNWWbV/xgTo
7s3INoIqQla92jRZnOEDFXR1wtpuHgitfhqc5Gy55Q23VA/GgaDnws+j1XJXknITjWcOej1kxg4v
7g3+hqsW18PGShPc16Ca0UlhjG33S2JG6Tdr0pGzlHGCtbKrCTG3YRkcKeO6/iT13L1IB8N5BN2y
DrKAykw6Agoo0kfFYHzfA4NhzuyLbVWiJkqIpCV2jbTmwRm8nTTmaifRgYXKGkmFM9N0Ny3jc+n3
6qYx5+ZdSzRVoJeZuHJt5QK4WRCX+xWVdxd9JKQTWUTTZHBaascNtDqJ4Ml314vom2OvWdPR0Amt
YILXsbWFFaJpcKOGKW83htXHx0zrh7CtYuN2RPhZw4ur+mepjGWnmJw/LOVon2c3sT4X6C/3fPMx
cXP9jn4/gMMc0l7fEi/L3hWWCYmXduTCWLDJCPOci6FXBCqSDsf6G8ldzva7DXSl5gNCHdRPfYbk
csPijvOuGZdbRRzTCpvqTjNAu5vSTxiyNTJFKzBgAE+a/IzbVg/03rH3cTFwDYFFdBuSl7znGqHM
g5+BZ82RGmyWZjIJQLMybI/g2MulJhCSHOogLvP6lMSmPIvINY6WAFvTctZXfuqj5kGQA5Wi6UW5
nUiI3Q2JYV+oGoGVmwmjCwFVgSovZsfYI2isH2eFbX4me3zfDousAxNJ0cFqfXRuVtZTIguJVExE
8YUl++VoJq3iufbzc93NlGFJulATjgkJV6P1nIzakzGLvVeRGxdkpFDdicKowroX0z4aavHIlK/9
qNmJ/YEHZ+FJgaTVOfl0Yxs1w0m0YUT+9d1zvNjaSc/i8b3Mca4C1bmvSgCjTkUMV60zkdeTqQjU
MibosAwCkiOgeQ15ZFs2CXLnxLq2hdxm9IGud+sw3Eq8b61q270QlX3GWHYTlzA6zKpKbypnwvKu
vZNrMSjL+tBpTnkFkffU9KW8QCF96FVbffAWs9nzGFxhYvyQieqxNqkhsZETWNdnbGKb9YKNn2dT
aOCW4veo5p4WAuyCIbPlPmkpqjfCyj8YGjR9xFnGlS8NkGy2e0ezl9FfpQ8HU9qH0Ssf8wj6iokQ
4moqCgs25vKMW2N8AmP7Lo/EbV3X+2Y2ypBtduhH8btkQV+FsAJ9E9ToGd1U/DCPHpY5SSmmlTu/
r5zAq+W2czvmlPreceU33FXxudadB6MYnxF8xmz8VbSdiviJRtY7ZCPJ55T05KDGXxws5pR8jdzm
Peqiq64uW2x4GKhTY7d0OgwPqrSOwPdySo9uoj1oo/KuTVtjzpu292Psb9zUZhPQEVkCUjTx2pOF
NWJXVfpJG6pmRwPowvXJsezQdfRWs4PqA+aO2Ka887xNi8r5g9ub3R5JGUsjY/r0dmod5xtTy2Kn
efEHy44ofOgQ+URh7hIVVYB3xFXcM1qeKwRQ3uKQdukpZ2sbUKsrqsLtMvhbv/xiEye3s9i7bFgz
Lv15qAPSMovT7NbmqbTNKxEnHtQEP2JzLZYDitMLSpyFPMDiORPTV2zWe0czZ4bgyaXI2lOaZVUw
2VqD+SN5JlXhtLQxVCt08LqkPLSnbepHl1bdSgSifFN66X2NInfdkrk3lMC3yKfO7EnY/4ym+TBo
vE9DmuGu87rDlBiICxLzRpnWVhfqumCm9C2PEe+tumVEkaioaqldZSlfz8xFpebxF+wWcgxgh9V7
j4A7WBIQK3obyRPyI3QsY0XS2uKds2kciRFZPuIdbKA5sJcPQLTw0eq7D0mLEX+2ls9DZ8AzQmT6
1S+64r1Ar7azJH92Y9akmXdZ3+8Ns4Q8JwX8aUkXOCpy+WXpxiWsOVNKQq3dg1fyUdKMKsnOCgWj
uBk8st+bZUFGnNi9UDvTE9FVPS9TAn4idYxNW6jiaejH9EPT8s9Q6lUx4JCGu3YY5jrbUbrfDElU
b7VBkHaEknQzQNtiQKNXJ7Mg9A9d0biF4oXwwcwvyp4seXuJtDAXdrpxHczv3Gzniq3p3tR44eCg
wLQx23znzpLtRj9Nj61ORHmY9ZYOa438xiDuWhRG7tyY06nrKYLDMe0gK4DoysQprQFCbM3SBdMR
AArUmuspS00oRcu2bNpmoxSOfdRtwzaNSMFDbJwO9aMzwLySsMNEHfJlQb6Zf9JbCAYJaCE4GPY9
jbP+yIW51kkD99ohFAD7YbW0WwVTKRriq8jOQ1FAqUlSvgDQfUcdwKBxBlPx1IzzBUNQGjyTftNk
c72hF3GNvlBtyNyBzxQh+F7GlnNsgYKSmvrN1xFIE0CUB65RTSG3EIgbdACYOTPgnLYoHjN3tqEh
uf7GrgskrxM6YAn4uzJvZbW+mxDsWVXqYuco7Wmup+ydW3dyjzLmoa6JNR06EW9Mp4ohigHGmGv3
Y9rOl0kR9QcBECqo0fBtCg27YwS7ZhsVPKXIMUWg8nkJI2cej7mfkuWV6mSW6k5Eu8aO1WWukdZp
0NiC3ybz/UiO/Ubvqk/IgpmFeAq+F824NN02qo8uatuPrmxZFOCZtOxOteVyHkfRfxg957OHGGXX
Evx7MY/9t7bMd23LT9F5JLVSMc9JTPdz1oGwEpmNXAiSXcdWDw2RhJzrLTxGfmi70z1y13ZXqDze
yriFoDT3Z6G5D45drgiOObstS154WesRj0ANv9YlNh4ZS/o0tFF6msuWtALX65pNm8vxsc3oouE5
pLjp8y0ftqaaty5j38KH8YOWJHA8bqrWo5vaw6UcSG6MuR84c6Ahbk015cQhVwBO2xujpZrGj1eU
fG1sVGXI/frJAlQ3G5Mc6VZAV9jkPfSohXZXPflI9BKyShFEPsSwFoetlmiWDIk80xCUahWSuRHd
QXz04DPd6MRy6BvycqGRlPqSFtdaPFvG547G8LFF0oRgSyIUqO+SrMt0wCNlnlwZja6ndP7s2fsK
v0hNGGzJ82hOgrDjft/mnfpS97E3aiEBkpkgPRnpwL0u3fjbZMQW7ZeJJGRaGAnIrKCITZpw1kDI
QigHs2tOHTpBylJ0AedK15P2qen9QYWTRqDOYUkX4LdkgC/px4bi9tS4A/0OjfUsmCyGp4coszpE
9519khEsuKGYpuHcyTFyttXcqeizywHOqe5PfgwDdhzlFSOlvDvLPEluOwJRQrvq021nq2o4z/OY
TqeBETCkY4g8BzPRnPoYk2vOGQ92yme/rmhqLxzi0ffmvB03IO1gNLqtm6sLg24C3CY6pOYVpg0y
sBtTk+PR0qPyVqDkfCKZNdb5+hl+Q8vHzYatNbdI1Ipl7sBbDPYCWnVNjTavCZuNkyMdDJ4yNTU+
3y6AWp+rWWO3X7t+qiFawo1wmAf8ug8q7jTvVEnXZT2qsJiGFqOkHPlzl8nmEE9y0t7npOGpTTm1
fve+St1W3Btex4Jt0a3Xd3qBi3HPO4aQKXAHNWDfTGuYJ1AT6RY2qPM1umwStVaFla6iBOhj95IW
VWqdJsNMim2M6rRAFpe7VMGsHPKLNfaKr0+iAXWKism5yC2gKOzzRHxn95Xx2Pssv0FdRfKjj/q/
DPk0lOoQyei93hu6G6IUpDGpnKU7EN28GF98a/S7vT7N+hhvoBOxZQEcPMxnwiTrK63nI7jnFXPV
qe4jD6OBr2UAaKU/3mldr2OnziDpX+utavjYljPbYytLKQn6Bs2brQEdmkk9ockTPdSl775P9bw8
pkXpbPr1myO7tGQ3CwhJjlMekkAvtsyipwNSM7Z3pjkc/cWiQ9nq+bWpy3FTKJqfgWyi0gt63Ww/
CTRl1+S625+iJPnIvonn0xhIpQeahkrX5OXDNCzKBzW62TsjJToCQZxWUGJJJgAYxhGtJ/OkPwqo
QzOsYN0KaMX34tBSi9+z4wO4JtvJ605N4Xt6mCzzcG6nyg1is2t3ZGn39AtbIyKWPpK9OI0Cdwze
0jG/daf4sc9N9zKthdy1kSE2g29fLeY4bAtuQBUPl2YGPzNLspuOSQWk3oa0dW+AURoz8iBNOfuG
5aQLvbhGzDkzTdwoDODbFrIeMliT7hndjOFRs+3hh7Tiv92qfxkuSor/7GG9fETf36NL/7ld9f3P
/GhXudZfWLJ91LA8Dcgy1knyj3aV4/7F4HvVK1i0d1CfMWL7W6mmGfpfmB8J6SHAjX8iuP6pXaX/
5ZgOZBScr7ZDzKzzT9pVr2fCpiloexGwwRyaA2FnfdmtWjIGDXnuTaBAPKZprTd9BGOGP78aED4v
iB53UPcZobR9jwa0XrJH0M9sPNvkrXH4y8aZv/4UXK7rWRlMFhFzvPwplZg7CuYUFX4ddweG80tI
5shAw4Flje9o0t/khAY8t5P9Vo7hK/UDQ0xEFoi51hvhMZB+pdJxW2hcnbXUeMqTO783aAFU01da
Rzuqlrcc5q/G0evBVh4C0bC0Iy1M9C/Ps5ml62g5XyPCJudwToZHq9HyN/Qcvz8IluE1uhhNzKuD
JGMlY1waTUg6uHHU6mwkIduyPvz0sP9GR7g+HT/NvAkb4O/nTiGYpHWK0vHVqWCzwxcw9Axp6huH
oiGY4vZWeMvX2FgYdDQg6MtrGlXbPx/XfjV/Xg8MJ8VCqUIDEpf++u9/0iHVriCSrncH7KS1xlIJ
zH7e5cpv7yM/t/tdZDIR26S1/sinb7kEdCxu6ZLlFnvBOiohYJYZlTSweSauAFTmWRPMPkox3afW
SMPUNjUd5U1paBiBWnO0oZkTVu53E0pgfFy3iUS6ooYRzKfM3Tw6ttW8XM2T45lHc1gKbFtmtwLz
sPx4NDxjXxzhGTG+shBDMtAqU/jhmXUnuWTxwZLDSuHoB8/YMsmgirOarhLBvDoQgjeu3i93Dd0N
4lii4hDQGt/XhJ8vntPUWg4+PSyrLr/U9Aj0diq8N47yyzu14j9IvUNoh1gK3efLW9SnU1caPehL
haw8FL0ko16PJoBOQJbApFabP5/VKz0Rj8R3msmq/GTBdV6DelwNp+OQyD6kM8+dGyAGElRvh3GT
6ThZaodpP0TAPx/0NycJkNxi9QaKASzilexO0DPCCh31oZcP1x2Tp0OfYMlSlriu5rR44xR/eanX
z4ijo0hiFM6n45XqYuHhYIRFRoGXZMOmpCkcDmJ6S/z0Sr7s8yYzLOHesQaDwkDo8erOGQ1SFRau
UDl59RmJksnkwYdES2Rt6tPqaS60gf1GuIB7LUkz88pdldpyCEzP9G6pwp13uGR8/8fp/7fK+Ncq
Vv7PRcbmsfn6v+6+yi8vhmLrn/lRZKwjLJd1npkY4JdV4sqn80eVoTEVQ6lJpDEBui6PDH/o/7Ay
vL+QhMKcMleVr46I599FhmH/RbmyasRAsJkeFs5/UmN8V5P/z1eC15HEpbVeYfJGziIJUy+fp7h0
TeUgiYYlrznHnK0/rP5OuJ9YiOwTTSLrczPPzGQKidawSdp+k4rcsnarQOyxNrITBn32WJpGqMSU
FR2UxEIv3rlNbz/afm2eB59GSeCnygflvZjs13Fn+g+RMDQSH3KVhvlcl/ciUsMFkRLk7tD4bUek
eQdpCO1+aIkTYv4/70lLcZ4y3dYebdDuETJvtSWeZ9k47mIFRUHmGcuPCnPXTD/+dFN/8zH9/tF6
cZ3wCqAe481awUyUBi+vE778os0r6xuYH/OjBVR50xXtpPbOgJrWjknYDCqjTA6xU9GvStzh2ZkF
iUIFkuc6IKJ1+qAxWNSDzDPHO6hOJVb1EbxlpiHYQP1S0AbRAcH3ZD1EbH6GdFvl9nLx/3AeHj4L
VKvkmgn31TJljV3sOar+1q5ezDKKviYoN/dFkw1B4Wp8+uL6i2wme+NVsbWPx8R9L0ricXoKQNrY
DfHYfWw8RUU0niKntwNR6uCklXkkqEGe82q0ry04/ccY8NsbzKqXC/r66UAdSUKjudLeqERfTW8l
iDWL/ty3qozKiwoZ/oUfxz2qpNG8WD1S4Z+v1XfB9Mt7zrSaspt7uoKbvhPJfvoWL6pIZ2F6Xwer
AA7gfEzY7G2dJusPVFbFOVLslIc6hQ0NqGTKpnL35x+wul5+KuHWE2ZUzaCaOs5zAY+9ulnYJCYg
LzV9fsa1SI2dEtMssSpfakKavhFA0uokTY1HV+uddNuO+vzE2CBpNrByGcgYhPKBki79i2Iy3zmV
h12O6qdFpTIW2yWfPbDHOnv4YCHO4DxSsFZbonC0uzrVtqNLGPMutvqkD2JpvV8Q2A2HspDxfVVV
8Xst8pnwDiTanP982t/VxS+u+2rQIWMe3BuVuPP6U2pbqo6TpH+2Rjm2QW2682nWPPUgp1bRbUKv
t6utVP+W6JM5BnY02etaEEG/9gsX438CcnvCmmcg7K/nq6GvMvDQczPc02Xtr5K1obSbHP/G9Tvn
boKIwLAYLFmSkO3CMlQfqyaRl0TpMO3x/Rtc+N4PCcl/jNX75VFG5ssT7PESwtJDqvlyOeHlqONR
Ok9NCw3CiYplW+R00ozYYH6U4Zj/8yW1fnc8DmmwgFGDOa/JYG1GtUlrjfGFmHAgxM52hvAfou4p
s+NQCvPRyoV3GLXlnPSkwdEE6d6byKNkYI6sR7hZx4u6oXcZegL5WWdUeRxK29b2BRq6o6b7LWFs
HoPuzZCLFDi22d2k4BNuqTtMLYDbpW6NiaG35/ZnI9I91JGeJQmnpPEiNWu0AkfIk7DS4dvqinrn
uCMmyUyKt6JeX+5leatQ0AMxYVsPwRQu8Fqs/vRal3YK7rhcnhUZBGEeS3JHuGKEr8jkDGUi6Pi6
vHH9+ca/fJHXQ7qIf1nCAFW+tgskaer15Cw8Q5Xwj4JYo9Bk3xw6DFbfWrR+WTN4Z1gkuc30Jnh5
/jd757YctZJu63dZ95ohpaSUFLH3ulCdXAUGG9tgc6PANuh8SKXOT78/Qe/VuGDh4L6jI2ZETyaW
S6VD5j/G+MbZp+NVXRroxE/4XO5lWzOMbTpdPFg0EGRLQKxXxuNC7sP1xzD1veJz2mb55QzheXrl
V4Hadf6pv19wWHcIpwNsO/tV8qBktS+Cx9qZzAfkEVKjfeC0VyJDjAmnoYEhQq+Pd5dFI/M6w4mh
oVCScC8YsCLujuo9XgaacC2zX7hKp+qrizzmhwXCYYdCGfUXg2oQxb22rd5gPrGbkAbajCQ2oiaH
LL3XFuDrcu3sq2R/traSo+yD8z3f3Zop0P3CkPT+MQoJJR1oz6bGsN5yq78f5q6rQ7g6rHKIE1u7
hrvn69T6uIdS3OnM/4jBq9Zivd6kkGWWeupoxkhSf+tWVvVlTGNoXqAP1p7IBSdlsogb0uP6XR7P
zv0y2cNHVUeUbxn9QGsSCZ5Ipdd50tVQw2d29GFa+5wAWng9nHZRXV0IZsEPRWMIZ9cYxk2BGfhk
LMJ9A1+rf4s1vST6Q7MQllQ3oxYvtpzsmp1HB8avHNzXWMji1ysUCy/ZRjJlINO4Nl7ef0zA9ahj
8aUVifngsFmpNlbiYAcyk5K9ta6QOrcWpYdvYLpMRy+ZDNpHs+KUYR4GVolLSWGmxrlTFp880bkf
kNA1YBCozpsGtR9UQSz7N8EU93FodLq+/v40/c9e57/Ybvz0YvnF//fuS5k+pl9+nqd+/xs/tjqr
yQ9QM+FeBj8sXNbJ6I+djmX9wwCArxojn+UATGHX+j/zVPlPwLPYwtuHc2SFS/3PVscQPn+2plKZ
qbJJWsm7//1/Xrxj9dn//5nW9/LOJeRnr/9jC0bIBnuidz4QE/zSJOS4admoX+up+4yqUe9k7otX
Fm6kPl88JTgWVkPmiAxYeMGQLTm7xuGUkf2k8gHgf+sz8BjVnlELJS1FydXcVdHkhm4BC1g5vXxn
DvQ4NHIabzyCF1+azq7e1eYYrz0M5dEv3fxicDyQE4I3U5GIr8i0zkXTMBCrA/uke21cpb3oUHUD
cZUXkfNgg7K+YeOE99tAeJ3cYKfd4evc0n1ECMR+Sg0LQ28UsxGjtJH+NroxJWJgHHYpEIzQMfxU
bqJBDu912V0NQnVfIzvK25AFxqPvJvqQBg5+JL3mvabsxPbL3kQ1M7zN4oGBgL7jUJPZV8+zT9KE
ULi9KYe2oWsP1famVd6cbRsC4TiT58jToSy7+OsS58u0tac43SdC19vcdlGIwrQEDN92N6URGLm1
80ow8eZNkEg7sfyLmsqwCG24d51CnczAEEu3H6Ya283JQ+4a72dRkJlNRjxeYTAyHXvf8ni/GkDD
PRVT7PV8RywMNoVZ2V/0hMdrF5s9xDLfyRLMBN2MI0l3xkMQzRKGWFQ/97JOP1j9HPgb+AQMIQeL
kesmG2f3c7coGRwLagx4qCaCc26NhJNPbmJ793NdBUYIGWQZwmo0kVgNBjao83SyLABm7nQ9gsUd
W5nKk7NohUMdYBjBE+RKFihB5yN8WWZKHxB+l5Oh8xlbTTFwucWq9IJT3fDwDTHB5lCNih47ID4+
SlkCDlxvq9ZVigQMOL59o+Lk5PVY2QBf8BoOaZ6tPgJ9gePMZ+huM+gXQegw/zdpeuvlN7Tjeqb8
cCg4WjdSz2P5CfgxYuo8wq2FiRsMTC2ckJofZK469+xPmjYFvGgWVs6wLyvj6wAkowS5U4hnhlfG
cqC2K/jU2R5RmlwECeSXjNDoBhXOoAgqaYPTMqaECkvPIc1k4zvR2DDWK7e2Rf2Ulahsjhnha8q0
P6m9N3qlAgZXW+t/3annJZfkmAcvyvHnVB6yyZgXfbsV5I6H/dAGcxdf626ceS7wUJob/TVvqXHe
ml0yPjiFQWtWVRrTiVwt1hkKTwMV+loyK02MwlK7irFmclI42OsLD0Hmi8zs/H5ukxZAqG1NgLGt
gZOD18RUOz/XmEb8KMeLa8iUuUcbefG17Wb+E9dE6hybtS9wg00u5yni0c/KA2OaH9vESJxdJ3IB
a8+p2nSXw3QiRdDKkqm+adwgReb+lkyq836xnDnlFiWgs3GyaRGHoOaagSkTj9d0SUkvTFNJ6y5Q
QZP4umN3Hykh6+90VQnvCIOnW8shfVeHGqDOEFJtkZKnH2t4u5Opv1bSatJwTkE4V1XQzxddOUhk
25qqxp1tImxemfRhPHu2pkorqQeE8wRxGwQIpo+rGKftvTlhFrq3s8B+niy3f6LitPhAwRmlx/UI
BAkT2YDxk6BTxI5uKGNnr1w7ITMSemzJRbk69qS+ippxkai+faJ2llumy0Xdx+0H2KL+igRgIBLm
QRN/y+0yTndZaTjNaWlVg38ogrG4azvWjjuznOr+venMCCZMPjClDlXE+N9nY5LsERZaSs1GlWAT
gxApCMXSAHhUtsVFMSQpPo2gc2u1tbIM/1zBSGkzimA4xLhGTBBh1XojCceM385qTq3QC8ZZ7pbK
REpYWNkYt8Ju46eVoCRC6ftA8+QUDG/ytKQ2tY7t8d5PqQS8sPDckM/xlyjfpIIJE5GPUvufdO7i
6MWoL9+6/ZoSTvhlKbYyi+HjKjxhrzZppb0sAreMP9dUY3Zf8YVW5TeseMv0yOoyg3dGqtiFomlZ
Y/shyCbHv9Y1KpK7uqOoD8DBQiE5zdiNOd5QIhOn7+YqZRkZjl7EKq4qtcg6trZJNTQb8PVEXcjS
1oZ96DGtje85z3i+S9+oKeU15YCZ1ebnRxdJauT9G1o/HT7S5DDWwykh4sj+lhk5hvTOlpI8t+4G
GE74sdzZ29fKNkbyWTP+Wtz1vbWoLTUf0bqo9JS+GwNz1mxK6RvzP3rzvPInmjhTHxrljDa0RSGW
C/pAa4gz2l6702w18CjpIvg3DmG09BSnViMvXLovvCsDZBs2kVHUvEN50fb3pZXk9cGkAtzGepzl
dIpEqcMdpdiObiQx14poOmFH50OuuTsuaMzo2TazeWY8WM65BQ2TgU3wadYSl3jVBkwFtk3dquxp
GTrR3TY9aN9LtjRTeem6jUVDeenMUBunET8JZVt8oYdoALZ4Z+ZiGbaBiVX6IIjelPz27FF2Of6w
9zjKbcBeYCGTS56/4/i1WzDMb4c8Lt3rMTfttySkUvfNuCj6yXSe2IIzJKfqQx7giDklSSSfcNrE
8xbpDs8OjLbK23ZQHPurfrbFo2uNcf+tncmsf3Ecq+wvnb5Q8dtaMv085rR+IvvUZkAoc+QxalKl
Xs1KHrhUoJ3ugBW0s4sNE1/2yVzm58ktHZJoFGMFkCHeScNgucAqpRRbxjoBJVmkuy76gqqOTVbq
wtnWc0rIDRcXVbgZK47IjS9cZ7rNGHE9jLliWxyVbrNjspbuCKsX71gzTN9cKrR26zwxC7k69d6p
zIU72Z8pgp2q94QKk73oQSdumgFymWXQFT0Mozo6xLUPk2nP5CwULWoEGfEq1cvHirInK+wtZBq/
w2QnNPij2e3SKowdSqsqa/IPrSAhJ9Ng3Aa++w5QcYi327uwGxsTlaVpbtfeczPnw0XSwQf2TJ4k
eRw1e4XZap910/PSY1XCcyZwP+YQ2Ma6/6TI3WGqycdN5lGu10onu6/GBNhnXgL45LNS4UWvO12e
ugDntE7necmJmUUmxFda3zxP7WXmXjg41XaMKLt5qwEpckE3pg0BkdolQJBBsTe9xXgiIfDIZaKv
JscycMx5kEORUy9bux+xARmCTIVftLvE7pcrqgTpJJ5lc1JSuQfL7Yyn2GGim0zdVhl5uS0X23gf
ScDajVL5KfPm9maQfR1vUq/HvBdTj3zwdfKtrxzMp3ZAZsGsnGxL0pRCu6k1NsIpPhLgJaIA7w3n
12h+aCJj2HoOAz3crWsotCpvmmgCMWn56rIjAX6sKPTeLyVWK/pg8HTjdOZxyvKpq7H6zZorxjYd
7NSyMNO3Vidupi6Id8ALm60dY/qNjKbaKd2SoZiq+J6bt2Xj33cPpqgQvo1JXE6t23yr6jm6jmaN
x9sm9oxUe5UE1R0lleQScGxdFF30zZnd8mIMcEqzMqZrtErblcXbY6Y2549FNFHOmwTOZ5clLlI2
G2b62GLW72bRjVt/4aamUdyXX3pqa6/side6F2j3UvLiPKCgfPSmtnxAFuT9kff2qaBunEeVqp9V
IIhl6K4+iaUojlVS3ASKbGVCRSN9EREw3IVAOY2fTAChdjnGuIE7fRekCsOc0yT1V6uuZLazM4z/
CO7psXZEtBW9W1PrHY/ULOk8WB/yNlTTZs3WsLfPc267rPu6EPJd68oNBtssT7Hc3Ge567HHKdyt
QdXj0WWYSeeiPZo70c39t4x5d/wfXTPt5uPz//0vYbMB/t+Fzdsv1fKlOtvsr3/lx2bfMf9hO24z
nGdPidPEZeL8r6xf8A/eDzw0VFBZVAGs6Pb/v9k3/1mtUfy7gAoHpHIEjn/v9tcpgWQsjrgtBKYf
dIGz3f2fdvsvh4/+D7AVUweMFOhcuLHYof805R3SXLACYH/Qx6DfdllUkiRT1fQanOV8qkDE9zvM
jFwh2vwvk/U5kDMsYVzgKZ4/tuj22D+hL9SfhCfH7U/fwG9UyF8/E3AkTraHXOsAnjkT/3PR8pCr
xwwPZ1Jse/qLga/0xSsa4UutYD1z8GRMeD0IwgQ5z7WJRJPyMgNegSmU9WsXzGMfBiJN3uf+kqDk
arN85XP9cg5XAhIXzHqxMLj+TrT46bvKhaNpP+T1njkatQkk0wT9POORm2bxdPHnk/jawc5OooJn
yQpI56Gy/Hk6FKK27/Chm+lW4fZ5ZRL0yzeG/WnVWRnE8+rG1/PyKkw6ALy9S6bCbpRxnTVeRYuB
275ylN98JOgxSAyoCzAA/PXPfzp/VjnLTiQAX/1mztgp2N2hBei/0YRqfzwPXwzVfh6i/e4DwTGB
1uUhIhPXPTtUWtj9PI3s37rGOrp8mA039Hj483f0u6NQFEStFV05XOpnN29R9lQSESrFI+xYBza4
xYaK5uwVPfm77PJvoZErnW8HkRF9FTeFxAHx8sMIwyuhDuZrOysl8ttWT5Ksgg9VujuU7tCjMVA6
pS9Z7KkvcWtk89u15c46TMjnrDqXsm1vBblhomgaLMo+mvqIWORQFZcz5QQDprGot8KhRqjedFMn
3QObF2LCcLtZHkSeydgeq1D8bdSpHW07fI4FxYpZ8EUWnprDpbLTZVO5pWYTZip1TNMF+jbdBt4D
60eGG38+8esnPj8jXKgmXzBGz+BcsuFpEOuEDntad3MCnu4sIXt70Fdrmpg/oEsATO16Yv+TSTTS
NdLgb5lsULxADuH1hNS4XmAvv5JOD6gGeJtWP4ofCtguoWmPxitX8W9umNXxC4ZyxRGiUr08SgzP
Y/BMJqq96vG0DoghdmcOW2q+5NOfz+gvT1MeafjCmIuvYu8v9tUMj2BKw0NBSqitnr1pnYBUIM+b
ULZ2elO5VF28wkH8zd3jMJiESsbmCovf2Tk0minFC8YhLYs3Uo+pb5+m/vzKa+L8KPiVHAdnMval
1UJ4LjSmNrMn22KS0zaGlW97N9UTaIdx8Ld/PoO/HghDHW+F9YUk1svi5ZeFg1PXiQFNN7NkcrIW
oPaeo6ebvz+KFOuCAd4Zl976Pf70DK1pXksSg9IzP5jssO+bbGv7ZBr++ijfzbFofUDMuAJfHqUc
LUIeAg7APMryTV1LsEt0Zl39+SjrF/zzXSwsLGO8bvBs46Ow3LMzlgFrV3FKfW2gl+Y6tcpya/Ri
frbKZ9GzC6sSsfvzERFjzo/Jms1HxsGVxhHlOTKummTsjhC2mUK1htxos6oI/jHr7Xd+Y6XV0e8D
+ckZBpo4RKTIdfKk6ShacQXkgLLpndAyC+ZazNC6fjeYlva3CpCMwS5S9eUuxRfi7/SYdcRl+nJ+
1IEFIcEqRVtucvAw35hXsPUfJHbWrQ8JO9tLe8mmMEDKbLd0K8TFyQV+zTatycASW/bi02ueCeM9
HHPqvavFc/AT2fZ445JG+RxrvqA9/BWxhrUiJtZTYI8XragkJRBdW9LSabRRu0OqBotpMYCEKI9f
ZYM3CPDd3FAJzth7oDRl4qVpwjCxFN3SUZHcF76SZPGCBpSC4yssRIWy2n6n/aSc2Jha9RzOYowB
drdMF09LH4/Bhpyu9D4Xk4VCXg9+Y+4p0XYV5JYk2fdp1JqX/uJ4j3CiDHUXmL3v0d8B2cgmXlh5
NY5oq8qcYhtXkoppaMmgkZSLF+OTSLDO8BsSjeK9V4FUSWkhaQ4JCW1U4WIabxdeROXGKSXtI3KA
GwSMZ6RSiD2d78O6aZgibwEETd5FrO2k2gRNZT/ZXATF1vAH+QgpPhk/GnUZffHqYYETRUyPnK/r
zx+I7hjPU255EJvKUt0C4HWMx0aay63DkiTddFr55UUtrZEKEXeIj0020qmCQlMuu9YIlHEH4YNZ
uG+k1n0ndfLZmBty4mCsmwcVV2k0MDf0dLzNxtFjnylyGDmqIsIIS6IcnQ3CT+wz80gKtGTBeMU+
5cM8ZHunN4bPXTWYzWcvLztnZwwOIHeIV0zd+qWx570hC2rolB6odzcQuIFg6CVilpKNmSBwhacx
DEzD+0w3i6ZTlkYPBupJzHW+Oio/FGaC4lZlUnXPTkqs+40uI9s4+ljhyUmbBV43IzC7gt7vfLni
vFPJjOZqmU/MOIruDuVB6wtISxTxicaoqDuPZu+eGg7EsXhoMuSzObWPFf1CxmMVFGo4lnOUO2FW
Dkw64Kzm9oZQZwmskzSg902WZplzzmwne9Ie2XuKcczMo7IRA9bJD1SXvVV9H1sgSBjhPqIFlhnD
X9rLFaQzmSwXLnd886zMhokXy8VWUqq0TEyIpZU213MwJhUqIf6zNUUv3HBwE7ff5taKEqt6pwU/
p3pHbxVx0ztLxI6irrIpAcJOMDhCcvFeTIVI6mDxwjdPAN1p0vKSgbPQlxhv8rLawZ1dYUD6BxpI
/wAF1SQQuMaD7wyh9AdP6DtbiEAF49CYrR6NFx34oXkFEZWZN/VXPHISvRcIyMCKqh/oIjigcIz0
D6hR+y/GkfiBPJp+AJBW7Bg4pMzPYSNNKyZp+E5MssAtLVAoPMrR42C3LLkax3AQ9LzTEinLeAIz
txRf6D/BwubRaDLtmkYEt0FMcTcU2X6CATF36uPkD8w0AWuBf1hqu6j29VgMVjg6ss03bekYNCiz
TWCcbdiYzBy3ZaUaJC2hB00WdqQrnu3ChdGt+K2+KGT/PC7tXGzsQfX6TZevpPeKVap5mCEzRZdO
zDp11+RkuzeNwruxTZdSgaoasOheTFjt0p1JgdQ7Y6p5Zbv26I67rItRS1JfexVJVr8pN2L14xeM
eput6ix++4xVyxQ2OitvOkx64wdTxmxjcL2o6SDdCOpcL5yO5zSt83AFmsa8RgxeolNDxJumHLOJ
rzJZlO/ZkRsVq+koveFnSLgq/cQ8N6fpA6JI4fNstmYQNWg7cgSklfmJdQQsMcGPb2r/hjMlyCAb
Y3lfz7EX0fQki6+dUh4gSWj97FSXCK8bD52KHG/tR4+EpGZ4buwkbBRMT4IkHIzm0RA9ymcHWvjW
BtHW76d0UOaRsCalDZFrDJcG6XRx6HSKQJ1DT1tvlpLJqsdT5WPnrTFNM2vFLUlN9pCNNSRD2KqY
rQTVOI61W+ZFfml4dTYUFogUdYpWss9lTTtBuNiWOgZkV1UoNDuh0DN6ntaeZS0fDYw69l5gnRk3
qexGeEeey+DWrJpLJ/MA6ra92Zu7RUTE/BNTxQjhjW/nG8aGmg8JsOeuz7TrbpA3wF2bU+0kX9Oa
e+SOX5PAcAs8ouACwr96vySMfN90pen1b1LdlWuvvKeKXd/2FTjrSiTRZ4e/1m8trbzmaGmkhA2M
xIXZuMT/vRmSlauQKZqqbvrJcZMdcp4PZ6MVY71BNMnNS50jEGzTQdr+pkZA1lyg2LVOflHVxO4b
CpN2tVBGfwiYqJi08aTRcpyzIBjeVnltZ298HjzpbhLOnO3qKEDSd0WaOyb6o5uPx7Llnbz3AhS8
j70Jm3enOsE/Ceq70bsG2RCDuJ1Xrfk20GCbeIdXk/av3Ri72mOU1AxEKZDpu0MFdo2SGd4OADZ5
MKcXi4ZOyCy2ESJcGcMIioFK7loG/opvlaqxzaJ9KBMFJSqreTQwig22sZRH6pjMXbjMHb4n5Uhy
5kbauvqUFQ1vI68TTLKTPsXP6VL8xAuVtZN9m5p2b8MArQhVATYU1kWFK4NxtzEsWDaE24tjNpqY
8InGoQgpOCEHv7aBraWK3eCukjnvMDbJNWsYeBPDyQ2wRYfpxKJsJjS+bJIqGN0QQIb1rk3dKNsN
LFuQrhbeW4c+r7OU9LZXf5t5zPobP03iO88yWq5JnhTRG9/2Wrnn3oezZ5gN42PedMFlPEjaQhSD
IrWBYhE5xIhkdpeYFqLeYmtk665AvNuBI13Pb6GMj2W5cI/4RYEbIHOxEGAViDH/FqnhHpy2U29x
mlD7HiTzYO/qcbL7zeDa88deD8Z7rZQvgWK0GCH40swQGHtB+4eUkbkb6GtJQSMyNJi+rbXoD5GB
snmLw3gyDmbE+nNjJD7i6RC7bbsbWfp9svPIfUpds6ne5iBPfPzNlb/iUuxpPgFgpTvQqYgg1oju
PSVfaaU3OI/8fOMWiTtu+kYHd1lbYJkoArTTUMNVvc96j+idx6uU9efUinJPlZ3HxCGq7RunLO32
GJMvQkalNNzbFq3Hpt4rC0xAgFKQtjpNigDka8+d7taJe1vIrH50vGjMDiqOFiZMPFFN7B0LIQAo
FdLbkTOZcEtXzHX2Mkazegewz1vJUNRi2X1KiLsqhDotKQxLfBu1dSu7eq0hW/Lqy9B5Feeno75k
y5IH+QYNuhV8HodhXdtSxBOyJ0BHZRpjP/eq9URYpYVThRbcQ/Lefd3ctzhSoFAWC6aGtMqDeZP6
LW09llxcqpDMhFcR2//c21U0LV33kKQw4w49ihqUMCvbFtrC2DFwTaLISO18bHozDjas1oo31C+2
/t7VjVmEnTNA98EDNP9wF/6vE7Yzr/YaHmMkQQrQlJIIkOuf7RFNl8WptZDopRBwLk/0CtDKaHZR
NL+t4zaS+zTpqKCYm8ghhUsVDICTfJmvFvAwrOVzihr3c8rDZJtUxeIefHTiOHRI5NRXBXmiClCU
HvxNwo5t2fuxkYljPGTiAQ9pNewA3qQR/k+IttAcKkAAdi3lA8j5xLvF32Oju1QS3GvfgCwQ2fQx
W+woeD8XqWUeKECK5cGIABlh8XAwThCF64eHP283z4cqjO1IQ7gA0YlVMV2xX26jcTQ0UVxhTfVp
0bozJLaBKMio23VRlu8KZ+5v/3zA84HR9wP6NqNx3wQgvaodP08HBhBrZj5L4EqEm56gwZZbNh2s
k2toRq/MCH5zLIeZ0VpyzSD+l0hWLvErUXxWh25rOjsF6WVPdVt8XGRevbJt/3XTTs8I6W5XEjX1
TXE2KQqqKNW4QJow8pv7IM3ny9lP21fO3a8HIcKCBZKVw6r6eOuf/zRZyVRQKjlMLEwSoKVlJpKr
tmzG45+/od8dhQQjghT3jPTO5zeUkrG1YZMTJqBWLyhGTTcWRoPDn4/yvTz6xWhFrD+fkQruOSKl
3tmF4BKKCVzdginmS6p3mgHyxBLRkvUGloxrbPze1OoqSq1F3OWTYQw3GVs58h2ThTVczLMjqKV1
lTyCyJ69Y2LFubeJvHJ6LQrwuzPiW2SHLBtJzTqPrNkoqg6bac67132wG9w2OE+8V9SU3x6EbBRR
eXQ9ZoIvv1xrCAbRNWCbpWYbwrq2af3t3DRYJv585n+5K1YWA1cpIhuCG56tlwfKqYtRbRfjLZNd
tzfGBB9FqnwaL51R1X97CzI5RW73mNWR1xDnghTVlgyu3KXFtbq0u6UwMBv2/sdW1Ob2zx/rl1Ed
zy9M8K5lOjQgMfB++bGE03opklQfcvFCaZ/r8cjbLHufJjU1XXhCwq4PzL+97deHpjDJMZqrhOOe
nUsK86AN+YgHadlEW/gy9R6rRP3jKP+xySOdcxv8QTrHzKXPlXP+xg/lHJmbFxd+FEp1CEI4HpfE
D+Xcgx6y5nq56HwTvYC32r+Ec5s/IiRmISNwiZiuw9/5FyPXNv9ZFUbSPlZALNJ2xd+o5i/1H49Q
LY9o2zTp4CJcjE3+5eWIzw82A/1YIRds+bnIxuS0OGmwJeQ73IwGQLK5XaYrrzLHN6zP9eGn8/Qb
gfvlTb4enjz0yjwRlkQyPb8wndnuwD44DboMO4W6WvrHVEfTTeclf6eZciju8FXzc7FCBzahhZef
tKRXa9IjM3K7yopb3NhyUxd9tGV6FrzyqX45qWt7kgmii1fsCglYP/VPL0C7rSjZmoIiNF0Aep1l
sErPgwHcXLLgwV445K0c/NLag9wOvpKOme1X3o7Wy+f0+nElJSY8pCng4cIjNf7id9Ap02MT/1qI
wzyrMRQxx9rg5ARc7C+pE4QWO9M9brrlpL25eHBjR8AChlD50S4oxtiDn1meJXNusWOf35SvPN5/
/f14JK3aH2qxBwx0PYc/naN09ik1kFgAKoroLxsjG05GqcpXFN/vnJp/v77X00CUjzWu6ZCqRZU/
e/KpPmvwMNHwlBtMg/HXTjO4L0AhnIxWmA8ewYP3ZY+lnl1XOS4HE/ImczWvdJ7HMmqT65TY0jWL
siHfKLIOxs6PUxzePQvPm0zXHjsyfnS6GYmx71m26Xe4ozo7BBBntMjys7D3c2JjlFUAfZ/+fP+8
XBd7K3YC161LaBldE3GOJ8jPZ5EkSjlzk5Wh6LFRyZyNmOJ2Y0RYjjuNkf0Vocn6zQED93sHEgek
3uTsgDH2z9Gvwc1biXlw3CIPcfZsCeah8eSf/aglg+IeMmZ2Qe08jKY8mX4EsILBh6zYv3MStTG8
crHzMPxJ/vp+FgLOAYlpSrBWV8TLs+DBF2akRoNy0rrAOnmS7cpo/rrQpvlmcgZYBkr/Hf6DY2LK
wd/BTcEdzt1+dn8tQ4K1yMGKGuR+fUywse2rQg9/Vcvz4yikwjkQiite4rOj9Knr60wA8lRFU23s
sSNxI7V85fyd34vrZ+EtgIDMgp2149lLYAYQHGF65yhDEdPY1Uk0Ha/4K5X6+2fhHefzXmMljXx8
dumoYE1TsFcN81R9KRH3PluqdZ7/fEPwlZ9fDMASOQxBftbtiCHrh/3pwYJQRgnN4D61Qc/D3qSG
leqJdAmar9IqGCc2ZvyJBmY449hPDbFd45HkZawhNrYQ8YqR/Lhdi3duuvq5ezP3KEkr3U5faIk/
dDMtXa2OndNBGwY2SucpkO0UEwh6CVTuYVLFG4GtxH4br9WO75xezQ3QDBdmKwkZmvRgz2c9sLys
IpDd4qsh1lCR3VDxgDqMwb7cRn2SXcR5GwQHVa18wIEvRIUzJpV8SyhyeuxcK4cJ3Y1VhSuzzRiL
aQp53jdDbFPc1E7FJyCSQEc7uKn6bZGU/fKht9Vi3kU1gO/D0EPc3o3Q7p8Cti3xvm3LxWfuILPy
wsP2Q5tu2ibDtpqpfmGUB2R329XoTNu1drfcq8b148NMkP6T2RgDHCczirt9GTXu+0q1ubmbW9/v
T9ECvXybV+Cytx1Q3PnSabRKtqMgsLV1U4fRrRNZya0vlx4ehpsE1t7AZ+eHpFmikXmfWPm4dFR5
1APhMA5NWyE5o6q51g7cXh9v9AA+BAnZbPcxAzr7SBSV84PEsRz9nPl3aOrY/FxD+Mx3TepQNN/k
rqH25HRQMuJmPYMuAdNuN0s3vu5wnxOt5Z39bhYAFSmyhA0VZvA5NV/GbOThgpz3MCFKfG1HMBs7
L87yYAd31bprh5aLoHCcD1Y3gz3hh7XJWh4qy11LomU6iGZqoFbn0fIpFwBKL6c6S0gGM5QNoO6j
SMx0v0VHoXkIn4Q/dxQmt3YOt3QgbLi3cpGnWxeBgWSX1Rv3FoPteWc0ihRUU+Dw9e2hfKTVbICq
5TDXv5yxu4F5zuSUvbPqRT2Y01D425IO+PSiTf1MbHH6qefBZly+GgCHC6qCi3kbK/qYNxRZ6yMF
ZVXGiXeracO1NFu7yKGsZzP4OKs2A0heRml2Cfhpbl3b3lT0Cz0yJvYNWse7wAyn0kiojvEmq3jT
WDmivIdaehqNPn9UM28tOtBisOqNdDTDF0jNdFTXBvUkUaV5SafweL/MnqJQSarCaXclnsVHf8oB
3UMIr3GklJMBaMosu3clvEfvSNCxak9ZpObhyiUzwZ1iQgjdkKiKMCWolumrmRWWvfUGOhv2w0y1
9y6uGkETpZuvDvkFr/I7l7LD6VChZnpX/aDFgzRU01xFeo6jO6vTbnpCfY7gpVLgzJiWeN6m1ENF
EVU+CblJx0RCidbG9JCNCKebfJiGGh6yZw17Hejq8xyk47WNFC0gx0ewFXb+qFCdNCNjFGnN1HnX
DI0lEcfmfDkkeUNDQMpEtjgIql3qLaWuODJac/DsC7/q0duD2Ud/i3VevV1cb2IJxDMz2JAz0g6F
DzHtftMSeIBYq9Z/oxqNaC1IqVSbpQf7D3M7qeE+1LiLprF0livh94B9fKGcZzOz17qHaU4TJPQp
+WQVdW2SjsybZ5Qp7xKrZUqlbWPyHu6nIKNhO9AGkjcMEWkpib/Aiy4jEnyE6OuK8u02L7S9nQql
LtKiHbhtYQfgc0e/uEmBtR0NvyU2Ic3CucxxV46hYpQyhrJq4FOkRTYsG1TegKqrom4vsSuzGqJ8
urWPwmyiG8db+MQD6dLngC6nd4azeIpUUj2PmDIKqo/wK/fLIS8CBErbbUZ1RcfPIo+ubJx4U7lj
IDdS0psUlrhfvrQ4Gd6Y1PDQTE308f+xdybLcSPZtv2VspqjDH0zBaJhG+wlUhM3USLR9w44gK9/
C0zdV2IkS7S64ztJK8tSKhABwP34OXuvbUTjmBRfjKkM6m3DarVf0sqwwa0nVrtLA78fIocYhigm
6T6U3mJc4fpPY5z6Ts+wZmFfg1Dq0G4cbOOMd7O0LlxILOeIMsyFHyJobgogePmuAXaLJbNUqsCA
axL4ZGZGDCncz6QbdhgwXnkX+sfZNtzvNZi5Dnh2a4HoL1fdxzhJSS4KWW8xzlHRjqGaYvjOCaYh
mCRuHOiRHpSrfKgBQh3YOWzoBBdYv6u9URJI+ybn0eJSu55HDdCErjRsGgufSbqJ6sWutSH3h9qS
+EwtSa/QtyprlLmVlkW2IZtTdWbHZmIwZ6qxV3W1q13FogyCDfkC9R3dEEbQGbQEHpxiSO9zOfkP
wdSI15Ik8x5zXWvqF5ymJqLr8jmtSCTB79f7Y2KfOtj+vsxUcEFoxj0Sg2SqgKe7qbDATWkxakch
uu5yAMcMQo3HIExzr7l2G1dRMYrRfChEIn18J6X/tMi2AapYVA913tsGo4rExBqnm03LuKRCSugI
d563qxeekUiTFdOJwbgy389q7rT9+oMcLPQ46izpiQ/eJPRkmLQ4rfpBiAgGEECmYN9LvCQl96Ad
AEaAHrQwkY0hGHta0SUzNJ/PDFhGTGi52olF1c82NfD4IvfR4N5FjCV5rQKmcqE3Vm15sBejSjdu
gDUFs1Da2RMGz1kzdhMGy/jaIuNqutNAQBRdRJaP9M5q/t2AydOImUtmlTfzlpmFG8/FZkIT4Z9i
63PoDNSmJVhl5956HRJcX5upZTBbbvs8dd1fkvH/ay79E/DbbzXu3xgM+yGtXr4Tntb334ffSQxv
/90v6Jxh/estBhhTAn0+FnBaDr+gc4b7L6YKdLFptazjhd+6TAaoOh96IZiGAPLkasD4ny4T1Fu0
0pDigIlyovqvOAzvj2cOEksmDavIkvYqaLw3bMzvFXkr5tEQ2VWsayjl3F5aaKBxRu0F/9G2mbTu
AWqCoX3SYfgbzmv9XPTxq9yb/gcwnvcnAV4c4ARNepXEW/JfLkemw0kpK/TXF25avtiFue0F0FEi
Ux5/u0MftLU++mjUkeaqL9VX6NrRR4M3IDyi7a5G9qzzMmtIgSDQZdlhZzRkZLdeEiPbg2u1xLzH
2GFdknb5s2a8++RK1lPVvxsgbz8+TV/sNyb1lsX1vP8RlNHHALKTq7SKE3Z2ptQF7j+b0b+i0Bpw
dyxGtyncynhGwdizWZYtugMjKPKGTcpPzk1CkGToun3TfnKHPngwOL/ZPK/0MNYO6ftrq4Jccyk+
DgA0DRXahV91G3vsygc8+eS8GYxM63PGDUQn/flXWf/i4x+FXQ8EFtNXhOFHDQNn9u2Sfjuu78J8
rnFNP091gLXRnNKzwiiNr9T9uH4R7UPu42Dw509fb/7fPt1bXVH05zwOqe+/dqnbvev0wSGLu+RL
6k7yGbNHsoul+ZlX6f3B/q+bbwMyhCvprgij9Qb89uZZSTK1iyYOIrH0B5/S8ARvrrH/778OMW+B
A7SOfudKlPn9Q8baiWvc2odYkMyIsGt6mGJd30og1Q9//qSPvo7Pe8wsGF/g3walBbJ9mVr51WC4
w33bu+2VRwjOJ82Qj+4O1E6WK4O5IliX919nyCn5sXxeVUYAFaV1ALIg+LFvM5ggn4DvPvo+yKeh
j7BMYEk5ejdrBQVfpPmV3RFaNsok7qIyJgruk+ftw4+hx8oyzvAB/8v7b0S2zewh5+PHypf7rGzi
iz6la/Dne3MEL3971gCGo2PgbWY4eMwuBIkYN7OfXNWpbtJJ8YAL7CrIohEt2u6xskp5RwHr6JsK
8j4rb+aXftQ1puHtXWEgn/vz9XzwpR1Uwp63tkjXlv/7L70Ubu2URKH2supO83jRYd3l0/bPH/K+
G/rXd6bFvo7UVwvxG2z1t/eL0F6rE61xME3m0NkAqISAjK9JkT9PoO3+/FkffCFE9jgV4MrBbdWP
1ix4chTGznRQIifTZCBnRrdi57PtYv1bjtYmzkQ8JrZNODnAwvc/W1bhfkaVfwjm0Twr+7Xq7Jpk
w8NVgy7S4RcJsGJmPWOHoi/pPIJi1badnVkXWNLpV6SFuG+RCUMlASbKURQMiKVl2a0zBNUnK896
MccXyygVBwejVIbRR91Re6D6xo53cM1Ou1pq9MgoXIiSmqn5S6zcJ7rSnds/34YPtg72jX9/pvn+
B5IwKIdM2ofM5Jo402dQTqALnjf+uISJ1QB8AbJIxraBo+2CXq128+cL+Og58CyTqQZ0RQtj6PsL
WOVfKYvKwRNy2o6M5C6nJPmMvHqEnX57stfqidMm43DPfXN//PZk00JtjUrqB+oKy9oOU23S4Sfs
b43wAzSILSB50pq+vxuCmYpmsSrMb53rV1s707V4QzCzC3xUK2mU/fn7H022/ro0Xjr4YMilKFyP
XoTFMNeZjn3gOfY3oqsTmmxp8VwnmQnjtEu/tKjokJP2pDexj0+PU0WbMEnHlP8VBNepmIzXopTq
k2X2SCry68IoZLBiraoX/+jRQEYXqD7QD+SnGWdeUkP+K/JxPOvH3j6pnSm9G7q+fnKrqT7vOpV+
xWvvxYga+tkAvOKZWzfuzNOJcO8zeuXN/Z9/uI8eHLxOVsAz49tscO8fHLcZemZk+kHrnGoPzr4L
s9wfPhlYfLAirvMYKoF12I365/2HxBwa0zweDyWa3hyBt508lHrmhukipL2rYOZ+sl1/tO8A6zX5
RjyqPkb095/YLCMeK6M/TPoAZ5TYFtptmf2t4xR/rZjEBpA9Elg0dLGNS9LIphO84+OdQCT9v9hz
eCUR4jP3xcjqHRV2qFpri3P9oYg1CD9wTXVzKj6pGT78vj6V4zp/czgDHn1f3GRA2RKmjB0NCOUT
Cp50JJoNdWLdpnOn2HrpMFBIkC4WQiuTKGZmmUCY6fRPfvsPNgtUUZzvVts4Rr2j9beTndelGplS
NCLRDRtPzTK8KF9/FjXIkGXZ95712Qb1wVO8gtAtNkB4Ngz83t/uvPHd3qmbg6WYzmjNaqrNUInb
RiBxghindtXATJ7NC3wUTEBYJ63hxpnlFmH8NxDmvzj4/1G9+eH1rAsRjzw5B8cypcXyW3LaqkOw
xN0pj3e1QTzuffKt//4hAfIF9p23CoCR9vsvrVVxp0C7HsrJTB5SPe3vDSTln6xfH3wIkgVUJawO
sM+d42rUmOkrOupQYsL5YSkXB5pDXuWfF6H1St9v2YyPfRvVCkBVJoFH60OlBTVxVeogdWXeNXKR
p0SCkL6XjQ5U0j9/1tGwel2QOZRYXkB/wwZ7fwxBxsucKRh6B68gkSSEjxbfJJOTfrH6aWL0NdH4
N5vMeiCebDidOLl8n0nxAklsXsZ94TQbjYkA2FE5rTZHOef5treYsm0+uc51Xfj9R+HnRpal43aF
iMAFH68bDqmBFplpdTYJK5QKnNVGD8b0nMk/tHGg1WkZ4cktQdAwOeCfcp4x3NGF+y+fgfVKOCfw
hiFKWlVG7x+03JoKnxzZg7vSBChD8w30bf2T+3L8DKwnUgb1kEFZw+hYHZXms48EWcbDQVWrU0ll
6tJFU0nMdfbJxPnN1n30w/p4/sH2rrUCopz3X2foSkbmPAD4M7qbRQNtFPlMps9SFVg7xl6ANWbX
23cquemqMbmmu6+9yKANzhqvXe4/uc3rC/SHqznWWqXkwblmLQ+p3feXbCLVdWuq4VrX1WWLcnrb
xnPyULhAKYd5OWvietzN/mScePihiqgmVW7+5Hav3/9PV3S0mE4w7zLsrIdFaSB2WWx/CgY+N0q5
fSjy1cFEQNQ2zxO8s5DLP1kLjhec9TlACEnipYkjnx7F0d2pUh+BQ3/wSgM3GoYazB/OZ0z94zPC
24ew1CAgJeMJ/vf7DxGj1nbkwVKQSPO2lq7YqXa+NInI4/HuNrOqpk988n/bodePRBzLcu2tTYRj
PX+hVYC3ZXvoe18HTaxM86Ls5+XOh8XIYM9gkE0Xv44pD/z0Fg1Bamw4NNsIk4zaCD552z58CRAw
80pzFPYoS97/AsgM0AoAlM7MODhfxpJmHvRSt4lEpj2yvhmMBA3vlNxq7MoBjfsh9fUdB4PquiYw
9vsnb8H6gx8/c9QtyEyokmD+Hy0xcmTYBmv6IMdZ0zZmnfRPBtoJnxxL28uwhAXqsm7nvt1OtIJS
3DWN+9LEiI3PtCYNgM3a/uiEmhiGfZbO1gS7TDfGM7ts85dPrnV9/o+vlYWZJZHFkDLnaP1g19Dr
qS4PI+EYIEBzm7kZidU+90uBQw6LHNJW1GFsb4n61eX14MTei7UoTr7cydL9ZKf46I1Zj2U+dxOg
8fHuCdoV0PXYHAytXdIIo4raI2oZxv/NI7PqUlesMWXHcWgI4pUqMwHvMUYmmtdkNc+iPLAKiqq8
8iPCeYlMaGuLeSSm8jZakpzxT9NaxSEVcVsyrFeIMv58Nz7YNqBOcPJDPASG4viifNnF5uIHl70/
BxdxZRc3o5EQHr406u7Pn/TBz4zaCrAOTVNOS8cLtZcQZCwK7bKevekU85S7nfJW+2SZ+OA9oMu4
8qJZ/WiZrbvFbydsj6JcDKZ/icfXPhGAZDZEhVs3DPQ63IMQZU7+/KX+NpMgSAUONoMeCjCTYvXo
AyuEoFhzxss+NftHvSOvJ1oqVTWh8gc8VX2CEnjXLwTFQ10cC2Qjhpp/Vky/P4NisO4cv1jUZMyb
IEBxTg6Ykbz/8pyekgnkxqWV2AvCGIWXGWqcJh+nbgkeHUuqB2o7phFJTvX1w7ZHtbJUW9lfT7Su
rDDGjOdcZgTa9MAgvapF55oEw2kZxEu+N9G3aF91jfDjM4KD1/B3izibYJD8tkPnDND6lzImQ9yV
08FYmvyuzZz2B/MAeBDAXfCp9osPaxMugl1u7EkjWcUpPe15qIb8Zkw7dDcJe+IP2evxAdfg/APz
WGxv6xZDWajSwkOF5cwWchC0KZcSQ4zatYNT/pilVYAEpxkKOsEqh1vmyWQKBSQHoXgaTDHsGMyC
qVlMM//pVebq8x4N7bZdxrqKRrNnIqxTvJzmWa2eAC7M+QYgLBqdOs+LFhmLZX0zrNhswlFzGHDh
f/Ov0pQU+IgPNwFJrJSqsykLBkhfGB5PJKTS1XmfJbiFIXOWNHomgyVtHzSB0WyVDzYi3UhkQimo
Wh35Tx+vDOykw5kdmmqeq52V+9ocEZnql/tyJPc0zBBD5Az219wJKAGcmgkW16zBP+ls7JKXwocY
AOB6SqedGLRgug6q0d9bouePkxwhV5mcMF6rLNUVsCQUCuGId3B5iwtvQ31dnuE3qRK8p98th9Ii
tCkypdvm0BsN0990JDZwA/OidkKBy7t4kJkqhk1m2/m9OTodKMmxTzE5g8soNkJx8AzbxV1xxpJM
7HDsuTubJYi7G6202DYR95k3ripM4wCVBjs96TpuGZVObxCy0w9Dd2Jwc5/yrEciCKcL/rIGGIU8
DlMyftSKIYFkHKTGS6/RyxWLNn2rB4gkZ5WOsmwf26L7UeOxXQ5tOldlhAlPFgBAZX0ni7juN7Pt
ZzYgRKzzkZsazvUMH/o2XlqeIH1G7YqevvFhdAeTF0Q10rB4wyiUpzoQTU+6de9D+FCOlU27eq6M
mC6vhfCHSHazQxmCtS8clDEH2zgQJQRP2MnWhUn2OV73Oou/24QE6WQFVd5d7c7TvYXQotzZaZaM
OwZe+J+JR8rvdTzQ7I96vhoayahHSqPGG6NmMBcObP1AXqbA/AkhqzF23RiY23JJx3Mwdc3eKmre
UjX2JzCQE+tUOPw1UQt0NFQYaR9cbzbKUAxdcg/mz7hA36qdw4/BF+v1xgI53G8G9xSLo7zHUpNe
TVIgKSN6o0U0RLPoi9T9avVBYyDbDouyWUPiFlZIg9PzF2fr/+QL/1wPVf/ZGrNPvldUiC+kiP9F
oVz/+C9fDJF3gcvav/YLfQoa6v9fmgXrX0Q4cnKjkbbav/S1s/TLGYObBk/MGqqjs0u82V/+R7Ng
/4uln8EgQEP+NpsK879xxthH3gHmLKsl1+Jv46iK8/TYO0Dzg5iG4DsKKXjiCYj9OXRr14wyw0q1
h641Ner6AJgxfu9GQITTGQHMQQtZdZ7r5rRMLIdVq/WymUGXbj2ZIBGyky4p7RasVZeRYJ64FFgD
GegSwCqQlWtBD4aWsYZgGSprNkxGaMk0q877bJryizmesf9WbZ6P50iUinTTuES+4h6j5TZA36lX
f0umnxbQ78YzJkR9NPFv5D3gB+MG4o8lN73UX0w4GvGFBjrAiABtJNk+mGT7Nc8sNLg2aR/y3Exq
MjSXrOmd78W8zPphaRezOfGDkQgIN2Y92UwGgT0sbMb46ne6125ROIz6KRbm3joZBD/Mxqtp0WBk
L9z8lFon2ddBUsDkDTp733gjmdo+6xtG5qLq+pOsTyr4LgUEg7AxBiIOTFz/FxMhmH0I2sN5ITZH
ozNSueASCmt26YxkvNKevjgPfk8eGvn0RnNWE50McL8Zg/rEydsJuz6g+G8L0o/vemaOBRpIENQx
xmXAdvFc3gYLAJQwxVVP8l1i5w+sr9mLHZdxDfi6SS8b3S9vPK8ZmlDntFLAWHeS7gK4DULiuJrF
y4B2QosKpj4PmmCgy9/mMzQLlN7x3JAB5eyTuk0dlHWi22uukRsMSQPRbl0U5c92Zgv0k3Xm3elA
UeJQT00BZgmijxsFIDbKLVEbnjgZZ5pJoVX6ckOYY2WHdmx3z0Q8mOAguC8yMsnNeJqXuvzWeBQv
YWtJhCbsJ1Y0arCpQugPoDdLNAhoL2FC7yrNUKfQs9W8sSoHxHKaV4CynG7RIiSKsA8ASWXnKo9T
yMOwi5JT9Kcp3aiRY0mYaT2/npFomhm2Q43s2JVwOWCwV2gjYaYn18sSZM9EOaQ9MALDexmZwy/R
7Jjy2RVz9dhZ7tBvSfxAka30ROTbKWnVedMv9XPp1Zm1lVVa3+holT3iK5z0ZUCtx4wKyv2WE8jE
5lza07KZR78bN3YXlz81rGRzNM7QgbgZ5QSmw1Leg0eJjxCuGPuE44wv63MHdMrXwsH2UNtQGdfW
B37/LqbeozYY8rumI1CF/cOt2ZwGce4iKHomug7KQZzb4lHPYuUC/Xbnhd2vSUl8l531qut9hm9d
T7yBsA2yyMKJ/nYW5m42JHulp93PNBhzri4gHzLsUZayBedSoqcWfdwgDBziV/ZQqB8xoHIytfCh
cyF6314I4Sz6PraCJTlVqMlJqYSbwy2Jg3GGMkVi2L5GjX631PUgQ0S/pr8To62nYStdmW/tfCVW
EeD2s8gqCEydTYTerpMNBM68s9W2a2tyF9QotDPDVtWriIFqRVpemT+FZ2X5XZp46tUDS/CatPpb
xa7VauMEtkg5zPvGIxnQ3qMzKHJiutzAVJt2o7NVOlFktpPV127dUS8sysheUXqa6U4sZvAddFGV
IFWtIEcEmMgu3VjEL1ZvN9OtaEx+F5dHEn6E5ZRnZasvy3aIJw0VJLfl1MwHFhtG1+BRlBNo3xbN
0W4a3wzmL3Fp+4+AjtBsLmPngrGxk4xyXwBaj71YWRFK9STdFwFz3ZOqbNzulqrZJVNrFHl75lu6
d8qqIVKQ6t7oov+sLdAZC0g1T5h+cbC8Qfd2WiH817yXfLlqkM4c0u62Lo081ca9n6fBs2Eqv9rF
bjKvyDfVXRlYz+DvBBlg0aRZvXsj1HEeR5RbC/4JwjsWYDvsLpq8JgcitiLPweUUxo6cZZQP01xt
dCf3p5O+G+lTU5669049iToiEiW+Sqm//MiaRHdbacXshUvXOss2awG0RTC/7ZsmWydmpAGYiH1J
tUEA6vT4LmgJeQ0wugI8O0EVCJizqiMtxvdyxORun9vh3BvxoXAEqDjue30xuH6f8ihhKWAzAGJE
oRqX/FpZPrPgdnkPsL+CSEGjeB6IQ2JRC2XjxQxySFFxyX+Hv86fSY2e8WifeY+mr7Wskp6tSYIR
cpWcxjyf6rRvcA3gwCszK8qBziBxq1r7Sys0s9kOhJXm58qex6+eyWEnSka98He5YaBpL/Qm+wHd
Lq4NQid43S5GMfXGF5D5mRlNZZ2CRikSa7lpOpHpYGjYvIHejPLrksHF3aPzXhQknsDRoOhBdYIU
oJOdGOctyzJC5+RbBgeh5hs05k0s1fw6+fD4AahBSRAcZ9ryW5wV5olhwBI7VAZwzceJy7LuCwLP
c54KrKabypmGmTgQ33ppG5B3nnLcPeKx7MZdvAUii3KGfsO7dlF+raSFpdYjDP4ebyeLCiezKb3o
WHObTVC0lMhC+iKgR0UGgigg+wDVU5zEmS1ORThQZgWnOM8EwKxKJF9rPS6eeyQfepFo3zx/rq7X
4V9z0qIavhNJ22gXGtBH7oHwq8c2VhOnUTBq4Dw2BHUO6jUzl/kpsFrnZxmXdbVXre1exAgXdRTO
AfAgpk7iF1nj/6ruf9r0rP5z1b15Kesf3XeZ/vjH7UszPBf8j/r1HzJ5+UdUV3H9e0G+/k1/FeSW
8a+158U9oR3PdNX9/wU5QuG1AkZfZOF6ZEj173qcSGtmwDirIWS4BlJKhsS/nOoaquQ1dxjFwdvA
57+0qgN9eD+vQKuJ2xUpF1plwwDGceztI7ti1LQpSMKUV09sAvwKZdgP6dzUr7XeDwnbZ1NUoIZK
jEiwBg2xofIynxoXhy87qSJipiwCNlEYM7lAPuImp6MMqrWLRNTtRpTLku7XqO5rmzi37y6wwzss
EZpO+zfVvK2iU7dAKC0SVmpBkwu/U6OfYhSiJkl9l7N39jacBfPnW5uYteXCjjOJLyoY8PcB0za/
anbFwt7VRfHQe6gnt7WlN3bkCqq4yBqnRdvN2tIlp+yatFcIhTOXKHYX9wdZLNMTP7r0z+vczYkV
q+rip+i8nAC0uk4uBz0DDCZzt2BTWbwONX8Ge7ib3aWIOo7987Yi2wu3R9eKh9RKqx+O7SwEazo+
8zA4QoFBd0kW96SSCY2QznQAlddr1bfBXmYyv3vD3OvSlFQ5c1PtOiKTOpIkpbpDYNfMIbsnXorK
U+3X1gq6ZltJ6G0h3jyHfxJ1F2+loLUIE9uZ531dLmzjppyaIWyxqT/izQLUjHtvGkM00sU3365L
YzOaqA1Crxjt15kM8KvSnHN8Krkd305QvewTmQbNq6f5GitKno7TadssWnWiCSI8sdSBA2XEMPgy
hHKMTyyTnWMyBGQf3FZmNtyBAdQp7OEY3gP2d76l3lig6sul/8UZk37cm1SgX2rR9z9yDqgy1L1J
P1+6InshwGn8MgLwYrvsxNKHCKvMm6S27Z/eMLYGoVuxPlD4gS4NO2c05GZoLFBzdPQ6hHTD4Luh
MRKvcEMab9t3oV3ZqOlK5TtNHuWpSuVl3q+h0HbJorop61b34Y+tg5pSb6w9QiftW4tq+oDaxlvE
3miqpDpxOyYnYSFkdtZZcYAOZ9RnXV4ygYU31A9LDBkSCgKyb45ZhPN6CnN7KN7gdeIvkp39hrVr
/2LcTW/Au+4NfjeiixVboKBA8cgvApBXvMHySGNfyXnNG0ZvNlekHr088Hr1G2pvecPucX4AwSfe
cHzNG5qPbiqYvuAN2UcADPi+5g3ll40r1g+cID5R9w33p5HcZD5aUOviO5RnHKfEGyqwf8MGcuos
9Aca2C5W2zfAIGE3afkFxISpDvobkHB4gxNWdRoU55Wa8oXDJi2z4HmJSXW4LTymwbsJ17d9q5fm
BIdPNaLd6xyc1KFpBm88byiBiWTKBw/QA0w+xvLj4Ctrq/pZ6Xd2a3HENLMsW8IqE91Vxk3kYwxv
IK1VSMt5KjQk+NuhbI1+A2jTfS7tEq2lbi2V+xQT10TeK73KL0ozXQUJtiMeNtacLlq6cvYviEBT
pMtLR49KVRjy1Kh6+WKPeelfArudCRwqYQZQxteTdhVoTJxDwTIjd2StWcN3jrjLnchSj8OiS4Qs
rjt6DpdGW9pi644tCHod0p+Kitq3bzxV+znBM2K8cSfTLLjvCYsSSh2V8XUcdZEKTAyvzGjkziSW
CtgMRwoF54ZbGgZypdkJRzPv2J9AfTpZmt6meWdOEf3c+ETNdOO6qBtjpjqYgBexA1rv3OT93P9Y
mBQ/2nnS/CBQUB92ypnUM9RMnQw7qYBLgdpMk+mpNZHUhfEEPfXEyl2TQNvA6tADIaMg3kgWHlpV
evP9TUCsDtSRasr1sBgqKSI5p/xYGjM1zvLCAMdmV+18xTPQ2/t0sOEy561dXhJwPKcbjca1F1Wx
SV0bDEV9JZnZ5bkVNm0wv5pNUub7DEYyyMRYTD4GWbzFux5Me7MfqT/P8iZrK9hVwhaHvJL5A8aM
qttOLgf+MBC6e13krsfRvJiste2poTaNwds+yna0ngpvNvn/XKN5st3M5Tg1V3D1wJX27S1s1ubC
WVx6xoZRuhM30KwY9sxLEiDQz6svRkt03xamaIdG00zVUxXTctCk2/VrDocxXxpNnB9SssVe6z7F
Qln58XJfx7JX+9bgwTsBWlaSIOUnMUxEYyjvRexV9AzweXZhx57DHMEzJg9lFieRsLLGeo+xGJWW
l62Xis+zSKMkk+m8s5ma8nAw+cVVyMmDhEXRFOM2F1ZRQI7055ukLOantmeh3iY5GMdNIGuLh8vW
9JgTmUhwPJY4VLCsTLS8kmTwHiYrGTg/zN6YQuwi1z7iybVOaq3HwrlMMDtDYQ2q3CbZLPmnVusX
ZaNLj2KY5MyoMtPepYG/dO5Jrqam3aSNPlYEVSkNAPLYu/S/usLbT+uwdiOzxr8365z7N6g5uMVk
I0VYZGn2jC0WNrZaMsikpVjq6940hIhmOokPY4OGjOD6or/imdC/Za3TU8g3KW2Enl/jmYrG0XbK
k9NTUanyGVGVR45abyp+YqsN1sfY0u7x8yaP8ISDn4WZq2otAXIOt1bMRTjtXMvII+aFbTPxT8ln
4nrywm6dCx2qrB4OxpCP9NBcEHeBrxae+wkqeY+rpNqWqaE5yBeqVG30ymBko8VMKTletn154RUV
x7quNLSXPO5dMkalymzsLFpzusS+MlddXuxGvjIC9AZZfTVMMFBX/nDaR1lQd1dmXOTQFNiu0605
ZcO18EQr91Nj1Wk0SYqrMIP/F2xNWjhrFBprU0c6FzOapB4s4C4GcAL8yiCI7cbij4t08ceoqonm
Q2DbUKfk05SIXUxY2oVC0N+c9PlAgaZcfuj9Ei+iOiypNj9x5C7HvTOOy6vVAbQIbegO0xajpigv
+sl3p/XZWy7czmp+IurVvuakFd7Hc9y4oS9V8EwTluMwa+T8AvcWNMrCg/kkJi0od2rRrItODP0Y
ytnu7JB/mZ6MU798t7rBdzBaaowgOzjgPKO+Tuuon/Xmy2B43J/ZhLFZjEMzROnEYhKpgmMf2JMu
O7cmFDTbNm3Fme6MrbVtu1HeVJSzP1WMHDdc8BLf9V3RfgvGKfsZyynINzjFS6Dko5V+a1WsirBM
u+phSKr5pYbydp0Rwiojf9GD+w7/yBm46uE75avg/hmq+8Gu3N3URBnTs6oNb6T+abIvqZMar2aH
5oX8ouVEaWXNFbea+W3UtfJ20AyyAowabiONVg4vNqFj1GUkpD63xRh/nUFpfPcGgt2iaeir52bp
uiIacgb/0nKpr0QiEjp5jBqfSp6Uy8kbDDtCAk7+E4lMsowqWdCOnHSGVtTBjX+hvLmkPQ87o90g
QlREZpYejoG2VV004yVHedcNzX2sTeqkRNMPmiie/OsO7M5A9GM3kLFGB/NuJi8ujbx+mU8Nlnw6
n36uvrKm0V+FK9LBCWfhjiNtIQOT5ns/1lsA/E6H1ZGnxcxHH2q8mxY5scadm4a93zlqRTHJl8bs
u2+2lvWQRlUNNlclbZ2Ftim1r2Iq1Q8GEPo9/E2/oT0jgainFPkPMxROMAFLNtS7QLrLybIIi2Kh
IIM4suJeExFuAXfeOo4cvRAIfgoCUugk1zbOsjqkCYiNo9ToIE4Cn5XBCcF4FgVzm1n05kiII4Mh
y13WenDrWSSYQJYh9bF2L3qBlN5Yw1X5T8SXFkpxEZrUWdoGTvZMFHLux9Y2Bm5qX04F7PeTLmDA
igm7UElou6P71TVspuaWg10TnjgVO/2qkglAjp+YKXaZ1S/TNLrBVijq3Y3pdzYl6xyws2iulX2X
PCUlqXoTm08jR/3bpKkVRZE0vcvqUPZkBAgPM3ej86HbFMrvI/e5uaYd5zx1vmbFEYNbddC0oHgU
0hxMRv+B9LfS9pMvSRm3/o7Mw2Q552xZl/Q3Ja3ritDWl0XPABEjktGzqOlbGe94XYYTNNDkMAt8
+Wuqj9Ogo4l1mtAdR7164082B8hGOHMVlYXBrLZoCzfZ2UAWZnhKLQfL3ix7HiNZrDMXvYQgUjsS
RRlYUGJ57IG1Ztc7RcaIJI0nbk0Sa8mmcFAv7Pt5Yp5vGNLfZZk9T6GD0oFTRzwHwBtsrSXq1VyG
7qBBtmnpdfblpUcWp7nLYt/A6zNpgpxSh6VsIwd0MGExTka6I3uRetMbEZRtcxfCMbARYqvvCosW
1sbSYo6knlrS+ATcL9vUhHUdhUntjtm+XHJ6plNdG80GSIhbnRJs7VdRXOUcETLixBVzFRJXwwbM
+rChF19ZoWNNVbWnmOnvNTev8zOBGBtxStEQrAOUoHE3RdOwysJYdpBhlxZxSbHSbqeS0nbfd0NW
h7M75MHl/2PvPHYkR7Y0/S6zZ4GaRqAxQDvpMpSHjswNESqphVEZaU8/n2e1qKoBLtD73lygcCsr
I9xJs3N+SajASsMyaestF24YfhW90c2RDC77MIX1XbKjJ8RHUY+WYz2R1yLzA4qQ+VlW5WTsO78L
KacOB9smX8IM02eTRgSTPJlSyQ2ZEFjo+8wrKAKp0LTFvC9ZCBu1CkQZC9B6FKZcQ5tBomPbE18i
KBj255yOpVkUjJ1OxfML3JtZeHStyohZCWUSz14COtBP80y8REYw5b62hio5Zc5ANPpQY9U9VNCM
2dHGWHyp4lhke5soKtAPWsDT3dh1kucH7n+SJhrmvGxLM9s6Hgk2RlJCJk9AGIW8/L8E3zTZTlg5
X7PtGcN4ZsxWBA74oQTyd4Ku23VUq9S3SHB0E2H2qeTtkmHF21hVrYt94ak6O3SUQVhbfsCy3RER
3DtbukRY9MfJG/ttOQxJR3Hn6v0qTKWtfXC53okXMqi3z/jRUHjo1hN3QJEtXa1BPup40ZKwA6TP
fX4MvRWGKpXrkm8NvcIauGomUX62efrvh9mm3q2syE3ZdZBFVkyPRtLuKQxPAgQfDcMgpcyScOfZ
mQZ1VAtBbndrt5rzbTW2U31lcUZU92Hb9fnTxc3dRSPEh/pBbybP44a4Vx08zJpl8xphnAf8rcph
2c0rR/zazT2ZNjzVVaTszvN2TpgnydMlE8YSzNJTwXU8yWbdEWg696zpICdbHihKNBZ60G2CmMkk
vS5HibmqlvBR5Mm6yEnY4SkqkrU/Zge7IDl/a1djh2Kr0pmMhwysfOv7DTxbSeLHG7E8tTx1LWKm
GMyvXeKVj7jeibwZx+veIcOVG5Xev/24ps661XJS3d4n76pHKa0L0KhubqzIhnKHzHRzjL1KOXwZ
traLjIi5oaMZRi4+ITMlYSFHLviJJ83re/9BOjArD8RwWZKzHV5yH5SOtHaeoscimikJsmNLzyk3
N5F8095Bi3RtCIDuGDkBCbukkOSEp9tO/0DBQ/GumtQzNt3QVVO0Tj2jbz9oo960E5hD7HeoXIXf
BGdzSWsql+Zq+ilGiwyWZUBWZPNGIeXrdd9iQvW7dtvSxrVLs5ZnXTXu+kigNSUZCR1Cbky9quSb
0aJ78s02xOanrNHcAD8267YAEMyJciL7nEgiS7Rbl2bhM/DA+Lu23T8CvbUqWtvCT6OVbosfYllo
njBUiAAcWpb6GBbdt7wX4Qtqv7XbaOqezSih6e2nlbvlx2qtGsa2EBQLJbCdXBFzPsPCWTTCljaf
M6clGCLXOUQXIoQJ0ZTbV2sX21hFf1bGaJFSRfAmycgMW1wlBYk1mz5ohy9efqOPw6CX62lG4rS+
9jn7wXEN0+VlmqiK58Pve7bGVCyMoiQ1TS1oWFpOxQ0vU9M3fL7LqG6rbsqnap8THsAg1Zpszg4E
UEZVsG/UeYU+t/PZ26jJtpb+MPKUqFvQrSJ9qimzDcpzT5iyczsYFrqClGBFF9dJGUJi70x/8sBq
DS8dukeCmHW18QCU/C2NAqX6nIRGTc115pGTjhTNhFnzEvQ9BYzbYjZPVluj4xLO4k+x9Es3j+FP
KDpC9NSb8J7DJZyNSqPM7lxjRwoeUGdG00a+mzE2TdwAdBQdqsChmnuWLeXF7IKzhjVlgcs2zgQq
TrSL5Yl+X1zCfN7nag3nh+qSGXNwCX1z+bL9NHhoSnNdvgc6hJhQ0fGyVV6pPPDaPcCAyQpTy9Tj
5mFBzjguyg5R5mcWZrO6ManHzuDGA3OmCK0l6jIDp6tTNFQKbTkNCZOsV/mRFP2a/Bxtv5yeSoJZ
AC9zM2FLwJTs06dBwtIwFiu8UOi5bwzU2fDkpVoUF6GhyL7snJBlSs6Zff3HoAsZvkP4r44muzHM
bTBMdybEg0ejfeBCSmgNIXeu62KuyXHr6kqeCiddn+myWYr9LJyWkCAxBbdmfwF4i8AGvSRv6cDq
L/0Y+czkRXxx9TFptS9PkzGNWTxmCyoaRd/pt7km8rsjQuhltAqQHpLvzWbrYEPOWSb8rONwhWjf
pyOd23FoNdo4uiXW9riH9b8OurG3TlUXIhFUnUgGKiNc6DzkMGLZC2hFFxlpx5xsXRQ9kW906+Ng
iLymOVqq8eToqaJ7mc+bGVYS80gAaIPOGZVtSU3Bag02TVOgScBDpnxDJ5l9GUXlhWBJpfFIH3JI
4bTV1fZ2BWHSUVjyYh+xf2bn2ea/BJMKkQlMlKqNksrgf9sx3wJoLt65sVtiwID/RbrpSYtaNtgw
qq+WwqsXVLrKIO1KdGIzG0hpOVeGTvNqJ/kvCxSUXyHIsN7WvbcAApBQaMewFyn9GK2YPxGD0BAA
Wkb+qkhGy9oWq+rf2sbp+IXJWXgo1LjM8SW97pM1Ld3lQVU+lM2SKTyH6GM0Estn0RZFHU2EeM3x
OKJLBUi/cCvWTLVObHYi3amB3ugNTzPb+OJY9PfoTgc/20Vh1A5Su/+eg8mnAdycy/s1MMf0ogbi
MZtN3R1Knv+H5FLcQJZgOj8glC3bmCUvo8M+CR+AQ/h05rFXj2O40snLoUZBIfIk72zkKZGZVE8l
nLoFb3LE9FDku64XE0KuJicUtkKq8FoTMc+O0bn6JiSbGw3EohkwDUrboN3ngq0Rg6N045rrrySz
rwLuKItevNOGqRaOvK7+1abV+D07xG8lgETxKjkoro3E4/rOe+qCNxlNN1xl6DmNTV2L8ofLNLzG
sk1B+5WxqifkX2F2DCsjVdBQ+SJi25IFsWRGoG6W0PDRpBRu8c0elXt8uq24rstCGdsmMb24mAXS
tL7pjAUTPv1yURVW+S+vMTEUFWMDXeN1HviK6xTMyYWyaEYqiIDiTKlKWtRz15e0nIGSWNue0y87
UffeMiKPAEiIeSsWTJPYK0JCeyxhWhrWU5pWs7lB7GWOu7AWQ7Khp8pxN52RMunDhTXlBaGBDvJF
z8rZ9QbAB0uv/5gox3wRYxLqHcXv2b3Tm5KnqNBFQa9Jk39RPmwDhygx0tPXzqzjwBiueeo7VNfh
IpdnizfJRX2L+bebaltGgd8a95VOKTEqgpaM9XQYYb2myk6eIL+TCcDWodDc6Q2WeRlCgtwyEor7
bmknN15aiojBsgf6QEg/s4IDjVy+STmWzN5C0hONqJ4d/6ATV3U7QVLJEJk2ocCb0UeNEI1zMdVH
dj/7kc0tOCUpI/J2cAtvic2kqwOeLHi5jT0XpIAWfqPRrkmnL34gcBppM5/rcmPW1fwVuLouH9BP
jWFsmxcAGBgGIkiIdnoYOx0aV37QOLd0d9EHJolrfqP8x7xX7F/j3u3cPr/GfGRdS1FgU1FTol9c
aCdU7Rm+B/CepvvlIpqYCG2zmTIGg5yGDUk52cNcD+2779CMFq+mHF4k4mE6Wbuq/fxNSf8vOf9/
/qUi9t/hN6q/SWL/SxFru38AFMNmXaxq/xFa8qciFtXrxU6GioQo74vzhz/znx3r7h8k98LN46LD
UIK9A9r+vxh48cclnxizBe7Hy//l/E8ksb+95f/thxIQ1vw1JolJyHbJeflnnlCbmShL3GAXoGQ3
932l4cw39Z8DIO1q5rlOZu9xxZvAgURQ7hHM0zMiG07kC098wAuYifpdrpdtcSIW863XGXuXNxs/
x9y129hWmXrti0C6EcOKunXZVcUV8xKdn244+5SGUjf6ObtGBulsFOGlO7Ihk1QagRdu+mJlU2NZ
Dx956yb4YhofFlaZdp23yA09Z48CKg1fzdxokD9Zk/vUeiWpsbBLya+0NNM6Bl6+pE9VE/WbJizF
y7oWst3mRs7fEORd8RR4DU2koeERuQmJX/FGYUcr4rk3lyJeUGC5kefY+C1Ex80W5Y01vriojJZT
p9BDbochyCkkT1twpE0AqZjeGGVf7QOT0LIlVqvoLne4YRf5tu6w8P36ixzk/OdX9i9avS+J0h5e
chNfJOZ9xHh/99+ortP26vvH3GyCu9IM1CsOpLCL/vXf8nfHFv91wgEEShILvze93r/lHH+xOMH7
jRML+Z2aS8dBQutKoL92GrLDnOo8P//rv813/+6jBmBDQ04aT8BfeLE7/jMtu7kATEk+fZAMQkK7
JC33rQmD+j0Pw6E9gO63mLuJGZXbYPBhmWw/46jHBdurbUaTyRUnnUOcMrnpP7jf3SzO+NJoeqX0
DFDsLQU9a/ZdZaVneF/4zDEdhbkX45qIK4ccFHJIB5A3wBJ8CYDBcOIbTvhq3RAhvJycfmngYOsK
JVVDC89NiFx2PDtEE7wKlzobsM/RUbHGCUQ3JBrZqDIkPTG4E7x6kyrQgycuzg7nYe86FzGwdvqd
KTpy06Z8QJHBzAsW1DtqPQU5VsGYOEmHjbtopy+zzoI34igvVWK9uPDSqztnhyE3/cOkwZ8PKJMN
sfe8yvseReadGNIUQc2IKZG8lEZO0sFWDote1tiWJBjPE7bktWjQsVveXR+sANK9ZtpEl6Hrj1Jq
lGmpHBmpqVo3kOQ63RLsQ7P2zqAoQ3jK/RzUz9F8BMS0luXHSAh2swMTznGEIgQxY9p5CKTzEIGQ
9WA69ruVpaS1TmW94n4xehS1Q0aD265CEGI/aE2lTCQqZKl8HO10OzjAv9f+WEO+mbNKToOXpJRV
VUCCV71dCTvSoTu9Zk7I/bsia2soEeTnPEEl6SLyePuvtcqq+gheOD31wP8pDBgWwp2uSudVY8kC
Negn3E92gTIEv8wQtFF5CZnjtxIlRMTvjQK3KB+FT9fwY5cmNNxmv/cPzCgmANLvvWT5vaOouWBf
kUIqQqh7uihPTlMG1+1YETAB1rYYR/pw2Hqo0cw78vYv21BAeBOz3u8tafq9McnL8kQci/xWSKW+
M1egXZp/71nG752ru6xf/e9NrBQDUCpHnz6MphdcizCfFQJRdrdBe7d2YTfNqcv7wtoJdL8nLRcM
w/iavVdH6OVZGaI71aYaoTlG9b0E9vSa8ynacUAzcxfRMJ23MfJadifMd1MddZ7rDtvKnvuzL8oV
lRGlzM1WEdOKTmIixTUe8YncjZZ2PyHzxWtFTrl3JX7vpnYPrxCt6zob0Hc9O4knkdlGCWHHAnAb
z1lsgkqAEdmNelzNoZ52nSMgOF2yYuGjUjbFxJxALSqx5uVuVIE4wp7IXxUHTLMp2kZZZNh4/bMW
xmJtG8fuSd4ol2/kzI69UY4/HL3FMtI9McO9F63ch99slyVB5WuqKEEojazbinVu3ViufnLfoiUt
DiiycAiHtSYFul0rCuxSPx97NE6t+BD2VN0Y67pYVxPE1a+FdrI7Zabdd6aBI7cGGb7IfPuqgm+S
fZ7hkqoaHdEgWD6DGvY3QYesc6o59DaLUSdvXT3Lgr0/y0WcWtCzXHzKfgzdoXsA8+Rf4yWiCdDG
JrXGa94FZHWWdhpXqeqDHXFWRrMTa5d+NqnbvTpZiWIZuINs7t6wqzDWAsdmhDuD508LCM3B0bO1
a8HNHhCEmjT7BjjckZEvaPSq1TVlzNYinxOux3JjIJ//9rXnE89LFCJevLAy18gFFb8ebXpWp89m
aUrakKUs8HwBHPDvqKEW15ntYwgYFnijTC4AduGfcEqaahfBQduUAC0JmhSAnWmk+lqbnjGf5GR5
SHINhEcx1RqeveF4COB68ZJekXnOSKzdvru3107Ru8AxMENm2fkdXQGqowXQSG8WhHbBtgs9/2f5
G+8x1qr5zv3U8WhDzABCpIFZzRIGYePEAuW4LAccaI5fFk3cpqTa9/tmcLpL2NoUxP7Q5PQM9utq
7asS1D6i5wrIKXOYBWL4Tkx8Cl4bDWEmzBc2a+ub9Dnx5dUenyoAbnaHBNN4W+j24yFPjPxXka6Y
tBO/khN4dB168JYS1lVilKG4QEzeFNVtNv1qMCmTmm7QNbATrFnQECurINIx1E9bhAIUWIscox2C
5YvATbGAFQD+uJvZwHBvIG8ML3TkqpsnQpiNz74I3R+hHsc77WfBa0v80GeTJImkhHjomHocTWdY
ZVPweOlgVGNkkVvuxfCocr14Oum9DNBcvxaBYaCNDFMvj915pvTVgXEzN/ZvcA/RjvOR+bVNe6O9
oj+icIXdzjDHu4TjF3apGpmxAKJd88qrW+8lNcf8ceR576ExvfK+L23O/a4yEyyCYUXv7DhhHzTy
xbBi/MdYbNOZpJWJIOuWwIhEZzFCrfrk0fJZb9BBuWnMJVieVYHSmXkibD1S2bPxbGlmSXpsreqz
dhqwFYsx6Zecp+atpFL5S5RmhZMKyu1NzBNfPtYm06d8qUYEbwet/0XlJ2FOAl0lYnJyhuxtVS4E
PPeV/06GSvqjHnnp6GkeIaLNEvqRVu+CdFc71RniI3BqZ5Pjs8nieW7mN2yo/tsIM+/twqwMAwOP
Jeao6qrEVIknFKEiSd7ebLa/agsBD5fYYN8uvGU/WyjyT49aG3LuuG9Ri9BBT7P6xXMbw0EF83WH
z7fnTldZfx5EWLwhZUVlAz9WHGpLEyDtKjnJY0B7CtQ4dSPDDoFEWW1pUSG5fSB0pNlmiSBPCnwR
6t7ucm1dwwHqYI8J1hivQtQU3StsReJGC81K88NC2ewcpUo1j55xydFRBgTYoTf0hSBvXHvp2TZa
1nZIB88drfmCbXvWR5NQuYGo3U5B1yPScEwGM1+ujTftS1onyP+cyC1BS2/TGkJTA+Gj1Ul6HSXq
3OgCMQkaAQV5PzVwDQrdaa/zj9zLMvewppUDONRi0bmuyOy3AWBrO6AtnREnqc9kIatuRdbnYrWA
QfJQ5VdVCaKDI4Uvxon8Clf3edWTLq/FFBoJ5SPmoEFqe3psd/hWiuBcQjj6Xw1iVuuDFmlA2m21
cjIeTTGb4aUqFYnbFGnVwCphyG9BwBK77+JWLvwWXi5WVhn4/TUgrmuS+fOAmQiBVQF2ML1okKz2
Ob8okHfVUJqQWEVNjNSmdHTu7xhF7P6QhkMhMdFRlmrf5xmhhXCBgQcDlGuWD4QF2cLsvVFUqltb
o+GnRTip0fMR4+G3w/OK0zuUgBMQixvqeHWwtczUHW6MDOHUNW0i4OCoUS82wc6gzwM/5sLie0zc
Xpp3k3S9kmJpz1H3XUcr76M9kBN2U+MLs6PVWeeX0NCcaVaZuOgB1prxBpETzmrCw5xXlS3rL2ze
A5qQsp8pXs+lXR0Ai9QbVsIp2XpLOGMuXnNxKWNA0mQh+f1sGjEYTwaz9YLG09T+Nk9qqD3fI8r3
uvDhlTkoV01rblhiFbHIUow6oey3DB+ljPuBjP+DzNxKbylVoig9pPzEPllKZmYks7xvt4HDh8/z
ldCs2o0BBivtEttD5wuY1Z0cKydDTl3MJQgpI3mcY9VGieHUaU7kNGn45JBw82YCTpDC6aF/ML06
14d18MClsRsy2q9WNZ4X4fCTtVfFXKcuV3dwCYYx5pw1QcEEEvyZ1U5MCHD1oCxv+rSL0PkCXZ3S
N8KD8req69P7tG3AX0kugpv3nYHsT03uwZdtYlw7J60LG+PZGXggj/i08qu307ZGxchryqP93fNI
ZBvLWPIDbn5NM3ovSO3u8LSzeQuvX44zPrrnxXXGF49bEMG6piDnwoz5wabNB3Uv2hbDvbv4pr3P
BqcSkcG2m2+U2Xh3VhGUINNhmj6ZvV//0IxLPuJUUvJiqASn2snMyHiFslR/gEODLndQEXLTDgk4
wmwuAPi2V4hPaifSexoKlgQUVeNogsMF4aswtMhtXmDS5BWhXGb3e8n9X9CMGPy/rPv/Xwr+pkVa
+g8r+eVP/OlcsUNcKMBmYGDADESjkm3yH8BZ+McFssKfgr2Z4JhLQ9p/AmdW8EcAPuFiHzR908TX
8t/Ame3/gXPbNEP+0KUwk+if//tvfwsFHP7xz3+FWyznUtj41yghegcx0JB45jnE6vJj/hNxEWNq
9miaNvhpYVZ6px/KDyMrL1aHyiLdhOrkdIiDhPSWO4PcIT/EVDGI6UzYQU7VjzRWK24trGJxyodg
3vCmX3p6UpXSWQMs4rF2ona7Zioow5M5DpXYiGUexueAWCfzSLNp+ppDwg6w2oTP3IQqrd5RX5DX
g9yd4KnamMW749Q1x2uICHMR7nuAAAwh7lC+5UHLYKt8GIAyg7+Y6WOm9aL+CEMsf7SYiJjrv7hl
M87fkoXjI4Awj6nccV6Nxqt+5kNFPKycqnNPIF8UWBa0ITJTPoEV0wFAeHZmVcI3uvKV5oh2DCPi
WytxZQAtbKbJcJ9sdLh3PW2OdVxBntxjPRZXdZh7e+3r5TaAKmBfLcaKPOaBaySbnVuGy2EmYWzx
v0C0f4R2akUgbeMmUb11HlKFzjpQSbtrUbRs16RgT4AZXvZsOPUcjTKx0FRO40wtSivuBli2D6vB
jJEE1RO9XtmxyZb0KUw7yFJDivTg+EpsV66L53w2+XNok4utJ5Jfveh+1H1ZIl+AkeWrnU6D5buR
WnG7OFnoHTGFV3vAIRThjqL3to3xkbBKOsT171oDURCZAd4OS7K8Gru83vOFGbF2huH5Ihe5yxLr
Jm9LrD3IYMdV9FAIS55yk/fJFXMlA3tLEtBXP2fI2MFwD5ZT4ywwaPq58ZUBmWj7fRsFRVARceO7
XIqW390Nw7ychoBvi2RNYJ22g62aEhTkTDDGY+jPGRlYLBFUiVCx1fjtPswyzYE6yWhaTe8EnzYi
lpxX+G3m2DnH1Esrip+y/04OcrilLPZp0FnHgW6YWMzOTYP5PPZpdb8OpX/ryca5wheOyrRajSgb
enuPOo7eXFt1T1TP17cJpPOXdhG/40eFjanGfN4vzppTVJXJF7+pzAfdyC6Socg+hwHZ8KCdYt80
rRePjVncSt/iATRsoKElP+eOGI4Dc1uUGVqemrXMd31dX+uy7hgQELaAqRQm2BwXF4XklEuVdseX
UHPJCZscvcLD3Or32DGg84cngiqtB2koe18UKa1m+fps52hrXA4ONoE2W2M0caep9qwr9IZd3NjW
T+W4xRFdRfqQFKS5b1LkpBGq2zJWVbfcQQln8GxOEaOA8CD+zL3WZn03Gl6zY/V3bhLLCO+GtNG3
jSFTRPLecKVzkzWnq0P3q01dJwIhwUkrl/xK4uneWcHwZvUW3jSob7T8a3NTWCkqcsd/SQmyXK7S
NERUomB8xW7hqz+hgIVNxw/UHdfUfWK87jmgMiAEpoTlDUVXggp5pbNL8pVjAMLbtRBtmBT8sbGn
/QHP/XhpAOPdWqwSdMa7E9kCBgb3HTe9nUboxIB3DBTPmId8iSMorV6VPzlIky33igbuMrKG0jm1
VrI1g/7LnsuP3OqCs1wZpGoCkaKhW8noGNBDvCx1odd9gHUdIZCLwhlms6wPBkojrFGYjtT0MVjw
0HsC8VKkw326XAWqSSzUa81tOCmAXqQb1mGcl/a9dNeUvFAASFm4/k0yz5UJX20ioiV3xnoIhjCA
BuUz7MttOQcWpVyUBG7wrbgDfh2+yPuFdkKCoFLUPI6ykCrN1c5pp5vlgtVCNh+Y3o9sCncG+gQc
GFNxYIGx9hbjWZmvL2yrJ0lXk8/fcW3m8zZMgg/3MhS62a4L3F0xmnYECnDAzXubIg1Eul09js64
QGNoWnFlbEoSHqpsP1jmrsZpacr2UPnLRgTrp5s/mgnnnPB+SG1FlD3srH7et7N9I+yejGcN+lpv
nTqHGRZXXYG30q2u6Ny6SpYWvx8/tEaTlcnjinojG5pb0SO37ZHPzuG2Th0iMfQdYzvFs1MUhhnH
x2xHBoEb1ghYBfDcQcwMJ/gXySTO9FgayQNhRhwO9qHkImJevlYVsR3uekYTsFkAWJ844PA2Gtac
bLjF3E2hbHKJgqZcgEUmf713akWNEs68rV1n95JqRTij5k46zjVwzWNZl7u+otPVKHokeKZ98Kgh
u60qD92HjTb8hA7Uurd6LlvEF5i6ROI/SzvtQ9IpyucA3wbYvOIQDBwLnsHHtD9zmO7wJNU7D+p/
O5bQvH1KI6U3hr9sCpyw9oW0apFw1LjpZ0cPCyk0ChiXlLpoZjs8hpihyO0Yb5KMrBFYL+dYyiy5
85e2iWXg9FHjtKcF/0a0ZOO0hRpi+y/cE8ditvEVWuC8G7B2sBVabXZIu/CuDfo1msYpi0tDtHAp
abdt0UGSBHZ5k8f5CxvLjZUvx0CU04dunLhvw7va0fYhUSEtjG776JkJG3lN1a403ilcvsRMzXJz
SYKJSAaKOEN3DNc7VRi31mLqmyoI1qio1D1M+in0SGeis4uHfUlfiRJL42UOTtM6nNJkuDdT55pK
NA7JuTqIyUnoRzTrV4VkKWaKUIeRKLAbNJbBu6KD+FSFstknZEDBGxI4tnMu8IIi/uZHRpJ053OI
D06eTojyQ0ahGeSV3c++9uu63noyL9+yyTR+qEDfcJNcArJYqTaovN3vnB/Jb0z7OMqp2XIGKnri
CNUKfPcnIT1ii/nT2nrKpKNtQtS8V5n4YS2pFxlB8qiq8GL04/SDdXVhIGZoG9R06UbBeZx9m/AA
GIJd4XAx5Z1+TUJqEmG47kqtN92M8XPUA2eg05Nt51zP+IxO1dAfZ2UQrZnvhCkJPaC3jTaYKioG
597TtX1LWMJ1PcGe1LZl7A3aLLchnXHkG7s3qVYP2iwfJurmmFIsnt/uaqz8nTG18ZKFJbJdrgyD
TN04cUZWvlzvi0vUTjnPQZwxppJhuPoMdSOhDhTePw+5RHVNRW7UrSidRsv5Iaz6F0o+eyfrQhzW
jlJAdGeRquWrX+DqTGckh5DB82YihWxHW7STx4SXSH6nrO9uOsIKTrparDjQ6sm2GaFIrntPhLVc
UvX1sWRhIw5PRmgtH7JB3BWF57DJSmu97rNgOA9B0O/KEckLEzGUYWL4+1KU7Rc2RhwnFi6GZ8uk
QSXy+yR9JwoDj6yowFRzPEjOpjHW6xYn2X3LJ7YJc1cSU7iYLzZs6sYTyokLbevjasz886SkNg4W
0sYW+sgtD8ngGajr26Db5nynOBHlvJqnCggqknWdkSOVSWQ/RdM69yDFBKYYKX8hMZh3CCD7m9ED
m5JqSW5TipTOY1dp51A3UqsIWX5zM4CF/jQXlV3wQOtYBibBd9UyH8EXeNDs5JKJZ4hrA/IcmgQ6
8SYwSmdPdJrcMXgHpyUo3op6xEFnW8i0h9m1rsj5cN+GVTLwYLLd5KMnd0teD1uR5WedweSBjH4s
arIOmLiX5pyOo9nFRCWJmWZEYRT7bsRyjKveVygq+4EwXkrKb/t1Wq8mC7MZsPmCFpte17YJhn2x
tNr6Wjw9HIwQMOnGGi1w0roVD4mb1+qACm8l5Q/v4TOoAC+MNzaIMUOZvVROogmsqRbvukMTpwD5
5xEwhjTm/ssxSp88uRKTRXzJ/q4wx7uFczKnOvdv2rZtmivOagr8OMZzIzZyaAjYEoi4DSVSOCz1
jCUjJ3XPTMZ979N+sbPB2D3ACF+Gr80C1P5QZT1fSbb0C7aEoYCidS0KFalWhFOYeNl9n7hbfDrB
SU95Z78hB7fcQ+eL3Ih6Lwm8GEvW8HNZOkF0YI1JKy7nIs2OKIW0fZ5dje641uvQTCxT7GeXCMNi
2mrfEpgUsxQ8KSk97wO5U/2E9LKfj77PSfOI6AjElEWTazpAI6uuaTglcTIM1lLOXLP9/N7QamNk
3IxujhETZe7JyQyvPeqe6KXDnFeo2dc5X07lXHbTlUoYt52+5veinh4KcUVUhw8xjfuG4DCnaPPv
tZnTo4NA+aMCvY3Bw+b7xBi9I9ki/jmrBZjZpPMd3w8pacFA6CyGArTELe2QgjjO80KE11OeirjC
ZsJjeRSeQc1wpv1LFJUZl4Hx3FTGHW6+nV1a/jFxhuAgoeYcatvvuDa6TdiwzdZZ/1Ygpdz6k5Tb
tubpKcNpR4igfJjyfGwp9gxvSzXXbxTZvuP/FwdMSy/N4lCzgP8tntzWOtuJzB7x7T5WCGg3fVc/
6ylrKSInmCeRp7BOw6iY1BmdS4z+wtqRAnpllX3Cj+s8oSeOChd7A8aOF+VjsljzpdzqUFqR2br3
a+v86OvwxJaQRIKkZ/SJ7d4ux++xRdPeri9KhbdqLV6TaXWpa54Wul+94oWv+scoszMid9Y9Q75X
7bkdy6PXjJ+F2R5qf73WuvYOczH8ICD9KJYwqhH4uxkBVL6ijbSTx0LiXyoy44Xavgc5mLtstu6m
EIvRWDenJFTfZoj9sUvD9tY2hkcQTdBssz6nrnootcRVjtF7oK4G/ed8syTDVRLY53ExMC2b46/Q
BhiRJYLrZb12nIwpdGaYbxdUN3imUjnf67Z6+3/sncly3Ui2Zf8l55ABDgccMKt6g9vyXnZiJzYT
GEVR6Psef1TfUT9WC4yIZ+Qli3zKcZrlICMUFIjOcfycvdceXeeB3XmPudvb2aU5LhUeXKx+S1sv
tvNHMAuP0vJ35DFlt73vicOnjPwa9Btgv1kGet1+SJrpGK38gACwWzHLkhvNi7YT2w0/cX5iL6Em
H3eOMO9HSCNZ14f3Y1APiHXD3Th594kTPUlUJMeGnj3Q/9jReF34LJIrMocmspHSH4Mv9HUruy0c
qEcNHsGK9jPkBzvsN53ez7P+nPlEzwVrztTMm8S4Mj02kscxzCJ+747pX9bKXUviw6LU7WVrTyb0
IX5lrHULtLb3wBExNrFxXThO8gvF5iYnnWhhsqAvhREdE3F+4iiN9iREX41JMllOpJwTnn3Zq+gm
i62LOuq2pWVVFyGT56VyuMqOvQNNSliuOHKQB078eyhvCpFLclVoNZQN+rEq2zK+vNIp3bFanEXx
8GPAH3uTtOk6Cb2VEtOZ6QLQg7FFYvY+6EACFto2nKojNdlHVVUmc/d7MahkzZw82+qiP+4a76jy
xr3TNuzt45sEO4TtJGtD+rvMza6EU+D87JM9oKSV0cnwBJHmvimMrU5XFsAvyeag1ZGjPQ+ylmvk
J+ZWl80ettzaF+6lOXr1UTDygvOdL0ldl+vSgE/Li79Mxgqkluacd8TK0UeBHlbfRXX4C+rTArRX
Adkt9s5CU7Yneo8Sn6/4fRWM5rFbiOxIF2qF8L28jLDLrKJg7FeIRdzvDKXQFkezT06v7TX7qB8D
zMSlJH8OQfsQr0yvSS/oNwvaBcUxYGFzWzUohhgNnjPLvsKysXYibYF349QJvWsrtjYT5rXL1gfa
iFkTW3ABud0o6XO4WxSqYMwauZ8KuTcUoeaMBiSc8iMaPGh1Cb2ENH/VTDy3sljybQMNq5XHoL7k
Bl1EuqXtcYEvfk9zi104HcqjiTHa4Gm0tbsjK0uzbQneTPSph5rc+jnhTqg1d6/iYk2/iRclZG4I
ZuDMBMdV6e5uNpizH4LMYKu9mocdKWzgrNhFDoRZJzmSg66dEiRT5eVJ2sPu7Uf2dPNIkwiRVezi
xZferwwYJKLyBRoih2qiWUUEi/6ofJhWpX9b50ReTzXJRtkxQmrIaPI76zWszGrVW9FKNdTxqTK1
U2HFl57nbpLMXo/NZVKoXVU6N7qYVt2UXgouuHSrXSvYrWXU6MRl9+QtI1+cHTc6vcLchJGGuYO9
+dRv2ILjMIjLRyeY1v7oX1c9W3HoF/bG8HHpWBrjzFovj7pcPBPsdDQZE7TMOechRqkMoZh32psP
MEvKhu46VN2pPxvF8ElgdLQvg2JElx856zpj2Mhsm6xiRVJ7mTHV7x8QAp0mvbdpjGFlE3tTFck9
1uQlLg2KlcKmMZPlzK/777MRN7Oa4zErT3tqDtXims3lj4F4pgXuhNsojc87AzpZW5M4jXsl0tSp
lbJ2WB5NjComEQ6v3toerfuxkuexVZ1loxgW0JyYfugJ3vXG2FFI/ECgvtFzSvE2v6efthvsFA8Q
OOoYcN3O8/oT3YVFXNq0egXWTnau4obUolUDIYzNXMP8KR5Oo6lVC0QCV46OiSqW7iqcOeVQVhZG
qKPEN619Y2XGxhC+iRIqfSTBExNWBwQZxrizM4KI1qoh7+VAQVkWfr9JJC3uLGQrOHZFtS9SyWUJ
SGqnvfez5RasUParLTEYR9SD9zHy6KURVGt0FN6KkrRYdrV7kUbJTea1bn/nso2ilA3liOABURiC
HFx3aZh7My9JldzMIyf1CSq4IjgNv+8asdQwttCww4qZYDvPwzcoZwTerYIh8gbChHdZB85ITgkz
2/xYRsxLtwnzypspReDI/bAttZa9bVynRRKky1AmWsAE0lK/J5z4fDpZYWu2XL33K1eAlzdx3Fi/
cf6py5zUrMtSd+KYriTSpsVA9aQWtYMMAtu4bOlwFtqEl9Cvivve9Em0L0iNztlJORlfurQHD2IX
zBbcTtxQObtyieQKmqYYg/FuUMADEOx7WrJRaQuBMwpYJ/gdnfBGYAqOF7WH9GWB3FHZSyyVk3cU
z/aajTtEYBwWhbSqcpsFk6p3MCJsGEpMfId1G9ctDf3M0bbDCN0UE2Rz0TMtPDeG2A+WmUHN+5eO
9T9DN4Zu4Nr+/xy5y//7f1qIqtlrXtzLj/w1drOsb7SwwY2gtZ3TnCRYuL/GbvyJAAbHcwilmWHY
HNbwz9hN6N8cRSwK6B0hLFKPGJX9o1cXIOgcJMk6MnIHiJb5R3r1l2iTV3p1wa9kk/1J2giTP0IT
D4ZuwsGmFNVetcpUHGhnisUyR0yT1TirB91WG5MgdD4yTLw8gC5ux0hI0J04NqA++OzOEAOuTc+N
pq2GLhtmwpS59c4YhNYvu7KJkr0yNCAEhRWg4HRoQdP/dp1ErWpzdhVZVSC+ZxX6OTZwboaVzqCW
RMNOY9qHMmNi7m3NS6Scs4S3KpAZ1XjxbfJF2vpIopZsl51Z3NWtnT+hzqKRm1X5rz+fKZ8Xz9lV
Uz0/N6ePxf+a34wn+B5V6AfNf739R+aef78485D2zT9AcoPyfdE+V+Plc90m/OhfI9P5v/yf/uHf
rPDrsXj+3/96omBDjXT57B88hYxyP3twb/zH7Ncbk8XLD/zNObS+6VDHlT7nkDH2nWNd/npsmSNb
ypSmY8OAY/bLy/H3Uyu/MbLViUQhUZbho5rnyP88tMY3qOMMWF0LBbqSJq/BPyf+txT/s1kxSUFv
RsXI2Hk1pG5Y/B6kCZLIdiDOT8aoFrZ7WZakT+yqsHFICGd40S8CCLeno19dlTZ15VLLYQUvisIS
pxYlCdTqJA/uaXHg5UntHnUE1tow3IKzYF4UjHM5qCl37KESGUBL69Rnt8xOvmbIGE39HTQAtj6E
Co58ctnDOAucn941JkQ+JwJBEHMJPUgfRzvFEzQDAMoT7Jg0m7cm3pC+p4aYOu/CnSZbGclSIeJj
oyuCjI59bAuI35CdCva6eYKN7apHs5gcwyinKUeGggRT0Y/8qj1zTWi8kNKuKunb1RaI4xgvu75D
rgX5KA/W6IcGf+uH7G2XepciMQ1TI73rWw2Qi99laJ58+prIPoUX/caTJe9grpRn8ZDSVvaFh4S1
QwI8Lpu6RXIqpsSx2WrnVbnRpaBdN9KVsRYIC+hlCr2P4CDVhX7kjgTLbz07ip+QM1XaqipwnC16
r0mMDTEl5oMZifKGtE2fpqufV+BAvFKBbkViSUu3iLaJLrkeNIYK95hAeCWw0kBcuCf7I36iIZpA
8QC1Xt+GPbv6e6zexX1E9E68inzW1NUYdMkO9Tt45qFJrdsMOsKjYgAPrjGgGlsmEJvGpS77YUD9
AinjpQJGt9RQB6d8axdxasYnlTIYxsR5FRuLUpUgdB1R5u66nNz6fG6aV6uKp36eAUAbYoozTifK
aQRa5h6S9hE6dDms4BviEMxw/Waz/QE5v4KwoS1sZTJWxpbrMOuLsNpsGKCgjNQyzfZWhdvRsrct
CSjMLEe0j+Ng0bZJMyLyFvGQ9+7ayEw28tFYB89GmmkaPtiJ7RQeKPrYPQ2hCKiUhiAWbWjcL+q+
d86gfVJi9i64vNVgRE1wmqFW/wkO0fg+W+TTbYJq8JdTE8CCZhVN9LqrbWruVInLvqFOMlcmfF7A
wXHIG1AvndYz57QXdJLe/Rgz9PztpyVMLsyJNuMXH7YjjvMA2TfhVEiTHewDWIRPNaBWT77T0nJs
dXak24DHDZiS0Y3ntJBNe+0zlLdOtYblYIkUqrurHNM+dcFdFlv8r72/AXYfWowktK5ZZgjp9U0f
juFepM7wa7QjhYsX0bv44StCZ7cMFwN0a3yorR3NwHFrFlHz02sCdR1MIRLbCVjIBZl8KPs1G2Hs
OncAox43CmjDmnp0OBIFmJpFhRI8WkzWcAY42I43KWiyI0mOGo3TmQTX9zUAnrEQ7m99JsVBsJ9G
esdOWSNtEfZVM1Pl9BfAnP4Cm6tEEPzo9Vh5q0CoVC6VLNcttPKKyhq5BmQeqHV5FpXlZd6bBKWZ
L2C7yMmKe8vywd3VZWfeB5kd3ZYp/jS4ObMzMn7B5Dl03r73L/A8q6zUKhkKy1/VrhXfEGECYw+s
I+JlKJXJvnqh8E2Y0IZN4iggB4kWkq2Hfxtqn9E04+8iN0Fgnlitajt7o8wY6hGAuj69hOPONrQt
4v7Rm7l/kKrsbOUrCtVlMwWgAZ2mTTF1z8DAAYmC3JozRxCTOkhBr9XBC1oASDCIeVUNl8lyaDAg
3MSoMIPI6wupBzaYQjYT7WLCtj7iIXdARGLxBmuI/Z+/J23QKT4M6ECLBWiLgaUe3nr/03UohzfA
QYYnPHf9HepL9RNYi3Fp47zbmLQA0NoO1VR/z62CWmJZmxWsHkjbEKeS0H2y9D6zVrma4n7vvEAb
R7IwES+8wBzNF7BjUlqoRtzOcwExFFyOYYgqkH5VZ9vrKG6nh0alvBLKnRGRLRiqbCXAdjEhcYVq
18MIKGgjANb5Ky+h6zoz2pk8w75ujqc2JtWGQXf/o3AbJuE6zem9OV8C4IAVoTAAgmvjr8iz/5T4
/8Lt9FmldPr469F/rJ8eqzdF/vxDfxf5+jeJdA79HC5SDJJzvuBf1ZI0v8EapLqX1CgEs82xtP8U
+RhW+W8JXEQe/bIFeIWFFtY3IuwNk42DYzv2H5pS5xr+VY1vEB7CQ8OvYDuC+Op5Q/M6R80B/eSQ
A0d1ECTDbkL+SRhGk61eXZQPDJNv5XsOKyY6QbY4lIY0Mjjng6OwzzCY3AAYssrjAOdK13a3rTWs
saowo5T1V9Gch6fFoWyUixh6oZxahpqLxFfeycFEYx4hOFk2aPfOg7HwWN177a/H/o1Q8bUw8d1R
KC8V56SzEdMpPA9KzQh7AjODsVrCDCVWSq/FVtam/MKZOd+C17dIshdE92pabO2UBRP77blEWuwk
RoWfI04HiDJVxdTA34BjOaFjcD1E0VM7QNr4/I4dVtFytkMLnlyF6JKifD71VxdwnHxg+zUGK7gG
/soAMrGhKaGtQdAyQtVp6H5+vAOzK9JO03QlRzJ1ygIxvwyvj6dGJoDgvzEpmepOeblacThmRzjy
vzjS+5vGVsRCB0rz07R1dXBm3lgRLR8hlMqsYNiPE1wxUbTJv3EUYSFJB7jO7mbeC70+ny7uIzyY
cyu+DJjMRCPDcR7Gsh6+ONC7V0vgSuIdZr8N1F0cPukRtm68Km6zTBIyI9s+jrduR53oeKG5KbRc
/K6bJj3647tFxLGg1QDdQ8cC/fbsULfbU96CkaKazda2zIYNW35tgzTwqwDWw9vlktcJks7BfW/M
6PyDpx+9ss3kny5f1PvRlpY0zU9Yol887gdXkYePFYpnHcmyo0PtOHiTKysOILtMwMJH79KyGrn1
fAw5fbgGa75zY9f/4rYdvF/zASWvtaK5Y9qAAQ5WRHJnsoJ5dLLUGdrPylXumqvg7Yh8xwA6+eKG
fXQ4YWMSpfznGTl8ncu6h2nSsqcU7MrqtQ5aMkQDVSIsSzpwvK0E2v3FNT24c5yisNER6JDRhDRJ
Qn37kJiUmjVJLTH7WFvbFdK9ikur/uMTE1xApOFcRKqxwxuHVKasrRrTFRgAcpH0lKFf0oA5RqWy
Hnqz+uK+fXRS8/LE9ovsNT7Qb0+K5EAW/VSLlrz08BxVkawTSCj/xlk580F0hFw8+pQTr1ePzEwI
ZTBgS7EpmnnyWoIaQJAO2SAH05vYWH/+Pn9wVnzHeBS5X8AzDs+KRJiWAB8e/wkHzpKlM14TuDL8
1Qj+n34ueSC4RRQZ/G+uBpyDa+eOOYT7kVFFWYT2qulqZBhtnW8+P5eDL8l8FILsGJhQJEEzmPuj
r69dY7sQhzHLLZ0KCRBNzHFd+xNwI9P0vjihjw5lKZZfSjWDZ/3wUMLwkU6pZDlMiY1DVg5XteFS
p+Pqp732353jDyqojw7FlVOkeNAt0w9f4Hbq2gRyDWpf27/GUzUcdyFg3WLs2z9+FkxlGyZtNIEH
zDis1QjlaEKGo7ga0NZCg7KZswxhrv6NE2Jtt/iKWOZ8Wm9vUwDfFF9Bki5t9Cank6ZPxpkgAM4/
0zO32H9+9d4/39S588eezz2EFetgKaL7VDqEfKDFTzCV8XZ1pySIO7s/PoqDjpmcYRZag2L67Sml
mt5bkMLRHlQYzaN6updj8mex79x7k4KTF2lutJqgaw6+VGFnRHgUOIjWZsk6zJgi+k3Zn35+Kh88
bm+OcnB3BF2JMEuhxoReHxwx1zLhepQtuIFeXf3poWDe2gKcCn1gJhczluRVpWnhmRhpTTBvhaU0
D9SseBVjErtNnFb74g69Py3GGSxwAs8Fmy7z4A7Bm45FL3VQUFaEQEap7KTp/fCRvYT8Ym14/8hJ
3Nt8mwQlCsc6uIK9J7R8zDlUzrq6tpj+QZ006i+O8v67DtHIZN02xQwxesdsiVSP3wFQNigMvztF
7JrfJT6JfMcdw2q6xkIjrOvzG/b+mGxCbHaMCJ2xW5gHN6xncyV6iG3LwjARfIP/WWmI47Cho3aR
Jqqmz483G9Neb4B45JlowV+y50x19iMHB8TLBemFZOil37pwPZRZuP7Wdgs0vnDrnB9ab7vx1mY9
nCfSTT2uUcbr96Iu6rvGcMiY86LWhzaYCfKubTdoz2XrphqJRvGQAPwixmbTSs0+nvC1P3z+279/
5BiSUCzPW19mIvrBL18RY+wbJp8jDLMFqq6pq4GPl5P3k4Q7mvV/fjSbPTYDQpY7Ltnblwk+fTFU
BXUeZuFmpPFoiZtKlg1kZfBNwRdH++BJoGEGUItmtsN45+D7J7wwCtuU7580ZzWmDOxojd8CGw+6
1bFbdEVeXXx+gvNf+WozPD8LjIkc3WKxUDzz5tsT1IlxwhwA6pPo2E3Y2s/4g1Ex6MEqLMExStlf
fX7Aj86Rt1cJQcGis5d7e8BWl3WtlbNAoB8w0fnmLfL3UxTsHgkQVvjFs/7B08LFnNlgRPdixJxX
lVeLoZl0ptIqTGM+exVcZU1dXGsoUncRUaHnn5/ZR8eaP4dYK+mWsMd/eyynsKp+hH2CSbAe1gRz
asdp5yN+T+tp/fmhPrhrWEXnnbBwLIr1g3UXcYhv04uFiO9CPCWeSN0Ip9bXuXRAMMsswnU/+l98
w97fOYeumk3jhBdwfvfenl8OCQZMFgAehCj1aT2lGNH13tjRm0d/Zki5+dOTBAQxF+3zxliSY/n2
eJrQ/DJwKNHafui3TpczA2jDqj1Jgl7fR148fIeYYq0+P+r7uwgmTEd0hu+E/2MdvIO1HGWuWo5a
9VOynUo+ZGWMJzVpMFl8fiiHE3j77rF+mS6SABNannF4QU1giAnoQ8IrRdZ2iJZl+r10qxk6kE3Z
j2SKkysYGtjiwrEl1/jzo79/hmg38Lwye37pEh2caBJSDYXERoE1qZrTPEktXFh0Lsmn6LHNQvK/
9mC5fFXjv/uOo33QbYhvjMDZYjoHdzXuynHMclDkhZu6u8HxE4jlgfPFpf3oKKyh0mS/J3R1uKxN
HUA5jBnsz1OLzOe4qoDdO+0XT+i7Z4XGFy/CfAWZtvMtffuENs1QdYZF7WhUY7CeC7KFMc4s96Cf
/p1D0VNhr4iKRRx+iBLIAMxWwVSJtLePBPEJK6mP6VqPtGH7+YPxwbWjwLL4CknJ8mLNf/5qzUwN
WFWhGNLlUCDCSnVWG5IJk/wPe8qzgoGngCYRjz89r8MypBc18I4M7EVW90Qw6QiTH2xHA7f++fm8
e9BfjoO1QMyrMlXW2/PxtaGqLZ+IHyIDoL7WjtdpkBDdahkDy9oNOZruTQNb6YsX7MPryLo3R1Qq
+kAHi3QM2Raq6kgYkeWW+8rTokcrNsGsfX56Hx/GYZfO5hKC4vyQvrpdfgUXX9k9CTi22Vq0eUOi
jTXaYV88Fi+tnzfLFdfRhDNLypDDsOTd+ag4xwTB/ZLABJ1xbQf+NVaSOZcj2eW6eVSENG8yBtlO
6bRb5Wbii5fgo1N99Ruog7XDTVAvtjakanQVNhb61s5uWzlZl39+RV8f5uBDZ9fhMNa8XGidhuE0
dZ0bQla6L1pSH5/LvHwom76eOHgqRddNxPPOtdbox6gyIKottRSW/Re37aOnn+aDDZSVx5++ytvH
I6vCLm5LQdIxWD4EH4NxWUvR05Wi4sM3r0rvxAgAQf4b19Bg9IDuTsd/fXCrxtbKXT3nsHIKM/x+
UzTdJn5rflG+frQCmzAsKGMZriBTf3t2djcr5sjBW+LNdtEOj3IzqmamWPQmFLA/PSde5llFOHfQ
Wb0OSle8UbLrLc4JjR3B9nlA2IQJFefP32iOQxHJJh6R4ItU7PUbbZkFINicBQsmGTx9XG7+1hqq
8It67v21Y+eOGlFnTRQ6E7e3107lgyyE9DueBGb70VST9BMol7RQ4rc/v3Lzw/x26aCkEjx9TBDp
IsqDK5eAkwAwhWgkQKa/iXKt3BbVmJ4HtoFHM0vrL/pTxvy7vzngrIuTtm1Qwc0tvoO1NwIuPsKR
HJYRFITovMAVnT8m7IbQkpPT1VwEVqHfZqpx83VcqET8UNHYqh01g1ZcfX7y766zcuCAwreeRXQM
Qw6uc0XaRFCADF/GqtRA1+sp/hItvwhM9VVFyWNycOJoWXXAAKzRsJlpaR0czCuzDFdxqEhZzIih
WwJ479xzhQmrvoOnr8NriR2oZzbgJk16RGUpZ5rOwW84oLr5dETLhDbsdRkPcfiI2KkiKT3185o8
r9w6S9hpXVpMFq19POiQVauiNwZgT8q8A7TR2MdEspIzUFamPSxFNZT+Df509TIdQfJD/3Oi3MPS
3sgOk6AccmE6yAMznVvjDoI0jpmSWV167gBInIAeiPk/iOpxj+o0kHDX/SgOvZ/STVo7XfOVcogD
0icVEmMm8tEE2I6GrTB/Ip1N8W8jS0qzi5HQZFWS76ARFQUEsUrpwLmVqlOCi7GJrdvGsElK6hMM
WqcQoz0NOKNdB+26RJWrTtIOnwBiFbea6SQw60kJXUKtbSOMoJo37JXlJB4x9OY4PJmOn4LPhSnQ
WzhLBnJ2gL/3Q7jK9CmNbk2yICU6lXD07EvVYSLcVV6VWd/ztnfVphxts9413GBBdkPuGmu7kKQM
A9rITAC4uRuVW/Q4Nj7AiYSPZQ8MpTjxUKyP5z1OYe1G81OBqY0sgu7awa1nrQzSZPadH2QWoTHT
lD2XiA6fgYVp4sQkdjJb4pfFEINDP5lObUmkwE5UIA92vp97FW4bGsF3KKtiC21yj6xM+Z7/S1JU
OfC//DljNypl5h+b/YAIbUUzMAjJlg48sfBZlPNFJ2U1PmWjyUwf2ZwXRA+8bXPudWll3pXnoXnc
GxbYvk0di0Hcp2R8RWszyyr7cagCHeFPhxYTLN5I5K+/joFvpARRVIN+iXS49RZSq2r7HMxm2a/T
CWMQHI7M/V0RHPlMOA2aH12hFj0yWz1IKAjx4K57VGAEROa6dl6zIQVsVvfhcG22cwJ8UksrXYmx
s6rnMvT0e+yAUM8Sm99tATaNPOypDLNyQ1YdFhKkqMRciF7H9qJ1JVzJKiQIQvd6cm2NlOJlQWhE
eCcg/c7uytwCF2wBz1m1NBlbiAhz/nYigZSuET0pcxUA3H8yujTF8+ISSQmBgly1RYYxgXhnK4/O
IZMbT2S5xeEqh8BgbjEQD9eulznVzgIoW68D1MckBsk6J38X0w5e5aQorU1W6OLZj0x0mOhrVbed
2Ihbi9qYBnxEfdzcK3iKmBZHqKHLcbLtgCgoz8YL5Gtjvib+wrguehl0qxxXar9XhcWeqwrARuwd
b9QJUwVd8tTnbFOgWAgy/DLDbh7UFFkNTCA+qeAlwJssyMelCqIBXF5BQtFR78W+aJYlMLyA3uvU
uFjCu1LFZ0VOjMwmw3gGrzN1An3VabiGT4PCc5DSeo1T7+H/EePkh5F5PcWAMm+hAwJYUuQfj2RK
ZszXo8aQNyz8wS2RLN4la7eI11lt29GNlhUZy41T6oRFsmb+rlC53VtdWg3HNA2ie7erw/R41HuI
V15dksFJDe5pKx0K9LMuPOMm6BhUL5hgQbdFLQgUmCY6qBvM8bn90OVdqF8MCCvr25SUr0udiJhz
HO00j3oQjITxJH523k1Wm+y0tABkgDwvJt9YGeVV0XRxssxTzfndjZ6b78ZmaMutG7UiPCkCQ7/X
At3ytwWBX9oWZZD/DLnFIJjVqd1+lxJ03gIXigptEVAxOhsjLKPoxM9619jLXrdu7QB34EJrpbiL
dDbsDvV+oJW87IMT7kdfd46NkfzKkwIfeLaqrTzW1k7vmzmh8UHfLV30zPacH1ObQPg1AuTisibZ
E7yfdNap0/ftT49xfnlap7lqiC4CjLVmLYGS7amUWLwaAgThGbTUHiq91h8cyDrxDZKn2DhOas2G
aCmDObnSt8x66bZGI5aExmoxDtKM3EDiP5COLkYP/80Mkh1JpjOH1L9LMOb8LLpS3NokSXsbaWgp
YggT6tlCD/kGkHrc9h0xGpPpl5dYhur0Gq525d76cRH6W5XwupIbyFZkkeamuDTFpGM3InYxOjY8
1ywX7IrSaqnrvYfAucR1sarAknggg/IoO/ezrkhuYT+ZYkuQiYOK2Uc2dhM0BUSivij4SoL4SUD/
MyZ0eBCjqlkCLiKesukijaiDkaf8XkvawCZMpWv3gBiGficnbt7adUK9XiPLick/cfMxPsqgaOe/
K6b9I3umLn3sA6WeS5cUlKch7g0EUB1SAszNOdJrYuqxw8ZFals/WDYSE46Hl+juBatVXR/lcJ/I
DeAdNZfh2EQeTTl4NgNIh6TybkVpl+GV5rS6wcPu2OMq1AfIwvOcv7uMDVkEV2nhNXJnELzII506
rUzXTqey9NrRJ7ySC4xmLU/JFIX5aRX0fbyvi8pNjlD4YyPsJuD03iJkP1Pdkh4YwX12MZCShRhP
ptE9gE9M60er8Wv/MuyKtH4yB2fgFQq9wDorU995ljDH+NjrbmPtQ2QbAB+JmYaMYXcabK6cZRlN
fQP+dDnYDleYzJchLH9QGZU8xoWWdeposAFzX0Pv1g0QcPQSb4l1rP2rgSvdbseu7JPzCk8CXsAm
Bdk004+DpWO2MyFKyPFy7MxMw66fRuVPpq2NTyTTKNudFYpS3+kaKVnLPGtJu4R9a+6tGrLLXRFM
9ORwVJN3bTGNP4b02TtHmYpong+Gm5UwVTqDONQ40bujClaRuTIcmFPn9Vj1LEFkPvRIWmXDi7kI
9DbTHtI01vqtEZS4ETWdI5xIFNMKlj/neIoTMxsIPh5Sm7gdHUIKMhSigPFriOG7X2ux+NHZpnZW
VtBDTjrGuc1T4UK3P5P+mNNtUbE06qtAoB9ZpDXC/02jqcL4rrIocrZ6I91HrdH1+geCdwjX0i5c
kSwGMrisNZ8nOqIaXFOpwS6wgREuGpA1+mMBeF+7A7sHxd4Y0/HmpW7/jwj3X4xRX21h3tEtHx7T
n+HjawHuyw/8bVcyv2FVQmcgcQ3QiZzHHH/blcRsZJqFDjQOwJ/OPcp/BLjON/p8iC5f/gP0oxa9
8P82LJEKQw+EUR49cBplNOj+wLCEmOft5g9Hg0nTkimuEpL+OlvAtxvbBl0lbEa+zSyBRBYF1E7h
3hUENiSiDrG9GYFj4dMwKtv/XVfGcFs2HuC5BYkWRLXidlP9r8Ekhn2L3t+faRm6PhgkKoXOswUH
IZzj3f00OMPoGoPYwSqd/whdz6lZOH0X3W8U2caDcIc4+Z5aWlNtCHXDteuEo34xebHp71wtiztS
j6cgO4XlgrBKlvEEf7bt72RBUvFmohXqbGiQpyVQ3JSAiWUlIuBmi6wZTMIReMWqY+pIW64Ko68B
06X+qJUXXkrSFfmYmqbRIC5t31kzx27tIxWAF9vak27BKSv9h3wSUNGYM52GTRdcT8DIjgNLr1nC
nGbJHHe4K+uk2JMzwnrc1u0VAZfFJvTye+AgzSJts18JeV3Ux0Z/TEMXbt4oyfVlr/WodC4x+ttp
ByEqOSIHsaKLkUenut6ea6FkdiuIPgMfUywNNyDANxjkEYCL9riuY3adOsgLeIlLr6DeoEegvotU
9wiv1n9mdtKC4yvbo2wATjYGTBHV1B2z8nT7QOrZ72CwIC2UhbnFB6AzbMBIU9ZgQ3IKMeD8qrnD
R+4timZki5Z7fQl0QTaF2WH6ymVzDl4qJpQlaooSh4PmRMQZDHYBLjJWNTeKna/ONFarCeG+ZzmK
62M3ZtuSLcj/EQD9qla5+LY4+UqqpWjMLGqX2Bu686ijDU3i5DEgWNEfQeotkzOULt8zuH8kztlt
4a0z6mFIeC3Z7aTLkFIBoseaFjDYhH1DNjCfyaG5hhdUYMUnMFh3KnRFEOYC9hzTGuc8iJyqXAMj
ZxsS+ZKfkJnsKNQqoocuw1AA0LI1tz2tI7JQBqiVF5PMMrUcO6c0r4KgEs4CJH9HCL3nyCOzIHN2
P0WQHU9rnzCPPTecGBAjUT8DHcfpDtx5G+/prAS4rc3qoU54ZHL4oGrjj0PvbxPfIT3aSwnTQ2Zx
AdWKANCApPHJArYTIwP6EUt4/lExGt8zC0tWO2ZHfBsxqLlEFB6nzowT0dm4r/AYZuUqwYC0aX2N
bdtENHP9VDNIDNlOBDWdjMHbGtBFJnziasLXAVaDHDFiz9wd25NCfCeoxGloGAiClPGEnMjOp54r
zsqW4Z+MmmeTMhLQsmPSXCghx/LX5Xe1M5X5cVHHkVpphh7vycfwsp9+GRED1Say6Fd0XBLc9nGG
QD9RNtK8UCXaQJ6b1UdPzPRj0pxadablOYjIqu8sLEVtO3/8oN+WS2SFD2NkAUXNR/UU5gJ6WF2c
sEAZzGSmmnsaOKXtLgu/DPEAM7O9lUO6l5xntiEjR//ZjZlpA5XrgLHwXprDL9YCwnqqSSXAcRuC
XEBmYXveELPCJ9TvgGgQX2x29T502RPwTNTTKuizoPqJrJUMPY+CpVx3HZS0FQzzGVbC0CBf8cXw
3COt7IJoXVUaUedFS9QOA8gTyFfGBS/vsLbGND9VcCu2BTuzbeYn0/1IRwBHqN1TI3T47XSTlkKU
uMvWbNsl4RAzu7AFoABG7gZb3rmWV/UiNIsa2pAxbcaWhJNCjcfYh7WN8DR17ESNeUzBJfeSZt6T
04YWC6dP8Ght2dRVhmxHtuukuJgbVdbWRrntcwykeEX6+vhQNtltDbd0gwVv3AP1zTclmMxjA9ba
OOWcd2yhdTetX+gXwtOugWsMzr5c82jI2x6qMkFG4bS3QwgNfdoRoY1XG3qnKbv4xLbVBKUYN3WS
6c9umAeXrLfeietMWDC9AVqZTw8BdYlu/T/yzms3biZd11fEATOLh6tzt1qSFSzbOiEkB2aymIrh
6tdT6p6Z317AP1gb2MAG9okFt1pMVaz6whv2VCr8IyYR/aqX/vKa9XFNdBYsr64fpEjiR1F2zoqq
OLqenz+I1q1O2VTek8n+ogqXk++KSJwACtTnsm+W0zih21dHno0GkhggoNbjnpVW4JWs4pNQMvrs
TEWM1qMkiUEIfjxaczfep2wx7ZZC3+ysK9t7y5UXfnPmKkShLx0/IemaPcwuJSmB7REZqnOYUFQ+
5GZjnKWBqINEVGvljD4PUWt4cSWBf55Uf5OmRQAPvkOcFSnUjdOECOXQ0PklkgnYeOUeAR6pfZtF
52RWm4GCFiIv9aGW9htF8rXld58Mqiorj/2ybCrziZLVNqqyh3JqbnDXXQcBNtgL5LMbO3WWHQax
9Tpx+kPWDjDfZkqQVQF3wUw9WoDQ/AaGDez9/Ijp97Cac38D3If+hRkcXQsFCp6/+xK69HfxJJXr
eXTDfZIG+K9Ewtyx67NaJJih+1PZr2PysnfXGobTgi7a3pvhzCYqQKmysA5BTce9RKx6VXjzd3ym
xgdMACBYJ89tN7uryrDvPRkjRFiPz0OqCIhTFOrmdZwsexRxftWqfsglRMDORKjFee3adhNnyalD
pjBPMAHIEKaZKH7EzbjBz+M+xYA2wMMNg0jId3hr3GaFA9e2zR4RwT+H2XhKxJJtzTa2SMnrF3v0
DuBY1l6HUe7Ka7KTH+Q3GVy+45RLG6HOrpr3dr18zlJprUQ9oxsamJ+Qm+Zepl1YOyhuz7jrcm3f
KGpCn52Uv/F6fL/AO3gIhPhJzrrkmo8JpqjPOcUJROzS+StWY/GLQE3fWDvwmZadJRFNQgArc7sN
Rk6tswtl2ifHJVUkrOTcDpWnzi/ebGe5l5WHglpSThu0bR3Em7uWUvLCa1hlbfLdRmv82ODyZfa3
Vu4Mq2YYJARcpyjWSTnnuzS0kIoBi3eTAOH+IkYxb0ITpvLcLiVEyCZAkW/PGyR3ZB4OOnG9y5Y+
lPcdOmsdUYYcTnZYL98o/5s74IohElNpF+yokxkPRsXqQp1tXDAh7rPS3+N2OL2peRbA6EY0ywpK
ShYmohnaODEiwKmDdJitgi8qRshva1EIqLap6uJPpq1NbTrbP/QxmKah9TJdFplRkhhBOlGFkio7
jqHLx7ASauSsreVTmM3unUwaCNO5g7LblDdrFedoYA0Mul2ivx5XZO9dVLjbfkzNe8TBzFs7cR2q
bijOjq4aXmqi6Ydxzh9aaRv3+A4t2t8CkT2i/b2y5XzjUTi9nb3hMTWmb40nmBiE4GjY5feEgNPZ
HRpRrJ049zZT0Ve7QpZPcZcxoXv8Qal8vJj+1G4Q/DjbCETvAcXhV1i75gbPw/ieqAX8cVDdjZ05
3se80HicmAczdXj60fIz9o23Ah/RUxKoeAtZ9jC3xrHzs/ENpmuz8bo83FKtxRuybuZNZLNxroAb
YdY9l+pbmQzdGQX57xN5PNrVMj/UnfdFGl17RwrkHEf6nHCXqycLC8d1gC418vSya7duzepKo1Cj
hhY3Lbe8tclZeOwnkPagL6N76XxCeGx5Gr0lR8IQT8LZFreFNXt7z5/io3LYS7x0np9LPGW+WJhc
70c/oKWKi/OGQni4m7KZgo8y2FzD/sdIezVFF+RraVIgDErz1ektsfZHs3yIIkNurXKKv4eZHZ5r
sZhfvaSHBF4T+/lN/TVFpHsdV7F4XKbqyQSu/BXg+g/0Q49ozKGm3mbzN7NTuwwNugOuw+57nXf1
yTPk8IhwbbutECV9l30QvNNwGO7bxHU/h3nbgYqJAuSU48h7qkZesdiv+6fBXIobDH5BdaF1Mvzy
ZmPeoc+r9rlldns8s9nT7M7Y+3YTvM6Uiu8Livmodpk4A9VpY2wdt3ieof6g8FxPT9QbjkU62HtT
utb3AseZNdh/45tbTNVrhwbxtp6Bx+XTkN0raYbrznbLe8zWzG9piaGM6RftBgOoL7T9LdTLlCLs
RyGaapnWZpi3WeGjw+WGw1oG6ISn0RKtoSYvp8IMavT+rHTfoDuJ/OZgo1ZfhEjcYzyg9hIO9kM4
9BuB2/PaLqgOoppsLp9yv55XlHzSE9ZB+Wc0lXDnjH1c3IsAma28O83wjWG2Rw/JbKK4l/QWziCQ
Sscg8W4mAnlq/stWpUZzNIN8mw2Z/Jq2pvXQt/WzY5bNzeTEtzH6G6vcx5dLkGsenF7k97XheFvZ
wkoxnDhETDbhfRPDN+FOyafSiv0buVj2k9U5ydll68B7ybE3fhq3SC/PiNuFp3wsxgMi8c5jRoi0
iw0TITVrKjZ+BX8cEmWVrGIvTDdzFc3PqGUgcZcPFqbLA0JWO+TVKeOy0fxAUjbfEtqmn7BVTB5J
08kuoyBEjj9vviPoZ6+HzJGIl4kkvmlqIzxXkWGekNXtVqQwJaA1KPHjbEhWEHf5lKpZ3RjemJ4H
VPAUJMl1P1rkPuCAmpVRend5U8S3IoPAHZNksT9ayTpyEQWenTQ8NDOoYjGiRpfafbfLcuk9Vjr+
AbUKo9eW3+Hs8YY21ibNQ2fVQPMAu83reRxH9lRbNubOabuXbMI+DKQMeWg/SnJvWR/mwk3ZiFKk
Lb3J/dnEFWX2xP68JO2AQJw7oFsyT++Ml3cy+o9EOf3akfR/ZTpjTx+n62Apkl1Wuj5KQEpiYrb4
5RExj2JLKa9sN1k4x5TskJLcFC3uFWvHRDIDgiYtzGhyTrT3PMLoGD67T+lfCbGPvOgWrPijbWfx
OjMxo8bY7XOd4ruOcd5RhuIW6yJaVI2Y19Aitdpj+BBGGMxbg4q2tMHeqJOU7PpFv/fn3L2x0Igf
UGCnMbgczbh4VaULEb/pu+5emeGLgaXUerGS4B6vuuImCiMsqKxFIFj2PbGr+JB4/XArugDEG8WC
1wh20DrFJn0zlWggzeGNHFr5ZCDP/I5DOwKAWpKLluJThzBx4Qc0RS0j11L6yMwG+TOFo+6lQyPt
fmAf2MyDcn6QH7wJadzVVvW96pLqbZy69ox7J0wxJxvNQx1Lf426Jo1TLaNOuV/Q6JJbww+NL4nZ
pnuN1X3LLN/7OsGG2INKPRcKvzMWGVTibRoJxPZOexh7ZR1Iwl+d2hpWNIe++u70gykS8Vo49b3s
bGM/RaN5Tqv6HACe39ZOne28vnB/ufh8P/sUdVZhpsR6CBUWQ6jvrJYBFH6c5tOhN5zvqiwalPHL
LsUUFSf2it7h5wkHJNbtpP2UdbI/krL5GzZeYyMHmt5I4NDTtWKBKnmwbA2IZevQK1BuwPYBERoT
V0K38djHZqTJQ6v53ChKI7SR3RV4r+UB5EdxkrlNBmz+WqYg2QF8jXFt4n3YSPhIT3JefmQYfa0E
OsV4HZjtbWWU7JUCMV4wANW2NbxpBUmw29cmGolopk839gIcKm6WO8sX53EOvhAeEZS7JRbrtSyP
Pb6z50LQdqqrAh2hAB3nV3QZK0LD5BeKdmhYiwBPDeVDTMkmuQ2iEN9Sbg4A4Lw1E++lgNm4GjB+
Xkk6DqtwQDjQS51yT6N0eisQMbxDFqQ4eLVVIrO/fB3Qwtk5gEXO6ZKVnNp2f2Iwb6xNvK4e0I8A
dGI60QZ3ivK2TlDPwvE1OCFWZT+llVnvOttEaN/UeZ2zjNN6EOSEjTTafZMKl7yaNT4gz9gCoH9o
tOVt3Zo4EtiiPNDPao4N6jNHqw+tdZvav6hAYTDqZU+djXlWMdJRNuntoydaTQ8qb7VnaPTLVll4
U2m/eNxD+gP9A5PAnx56GbaIumeIwswInI5+6rEHduVpJH66C5HXGbEuwQG19Cl3HEcKjRuXiiZO
7T1GKtT6191UDQ8oJta7okTUP6JXQ3m06FA9EURH0RhGGMJgoaK6Sa0Dr/jMBg1E0ZiXLWAVFLAj
SQsPCAidY+OVHY9esRzNGxHE9TGmabArM+9+rsqjTAQ9tniS+xZrEqqncCUc1gdy+15km5lu81bk
Ij1kE5UlAMjW3tEUcUxQLHzJmm5bet1nfJVf5pjKIuVF+5W21XtR+/c4T7SbcvHGl74PgV8UbXe0
rXTAH9i+n3Ce3eS++xN8T77u6yTfji1KNCBkeyo+NCxbf2xOdtSn5wi8FY4zGW54RUblNVZ7PDTG
4xJP81qh6IvWQPI2qShyTuTsfXSDSCECVqrpknqfgyBQZ7v3p6cGsIa3ywckTD5FMZX4FcJwZrUJ
FNqSqw4M73yPtWl2Th2TJ+tHDjaledZ0EXWzUCUvYDky9C0jLd0eoun/depynwwaSMG0kn4pvo5L
hy24pIj7hQaofKZfRpexqaQxoTiKwwIOIxIdUJzNyQkFzWUwP53T4a4TFUZMXinGWSGqKFnyOrMg
S0HB4Ql12dj6afSU6x7Apo7GKWtr22DTwx4IX2hn6u2HXsEZZGtwhmVjhRhd3Dpja9unxmpC0saw
t5IbrFEctfXATNQbFk1rORmZb6sNBsJYO2JERPi/JIAxzqVvDkBujMi+77Ng/oX4CypOozKbCtHL
nuonBsLDJyr/4SGgk3bwq/i5BL+zwxiAMK28jYbgc2Eh/IIzR4OBY9E+VrF3alwLLFGFBG6BQ5Qq
YeaYU/BD4QP8wkQYP1O/zfa+Oc02QV0xf7G6GRmrjFIHcM5ph0G17W7tvPRWshK4bGedGePpnC6V
DstF02+MQmUvE/40/QOg6Ir50E7BISwpJK/NSFWPKQWkbIuOWFE+Ve0ob0wKQkA5KFt2bVx+yQcR
j6tylMPtKBfaEol1sA1LexjmCkDXYoAmGRH7VepLUZfPZRNEb/Sk3cchNbxHac3YjyfzGfwVFhyN
X33r3YzYoveephg535hFMmFRsst9M8jqU9kn8piHqI2vBkrmL0sXBUdHCm/XZGn71UZ56JcTVc0+
sFMQF470YcXU0dci6+dt3OPk6igcACgAeMcR18NfYavtqpFMEdgdogBn3Qp4V0jsTCNK+zZKSptl
kd78hkB4aR/KVKEcTCjeeEB5EO7ZM+nD7CVNuxDptb6eumOalFaL+JpsWudmsmmPbv0P7243bQAt
1zaNH1Jkv6aIiysnl4sAV7YNUxYE/P8UROq8DlBmrQdkAZ9zFEAnamp5yq4KIy4vB3zH+2ZeluYA
vRcoEqWZYBzPokGMSXRoKtiMza5fkP9NsandYp35ZUrqT5SmTzHgmJUNBHAVzHV7QCYUNIGZCby7
QBAlEmGxZcR9gR5F6uLWI4g6vWrc+xVuKZjF5tRV3BHNL1roQyxuQ/qyd/Q7ViPpyre4be8LEILo
2E1IKI8u+iZF5x/MejLuWw/XDElRcq0ygXo3q7vlrX1LNUfU8ASC2jhM3YBUk6+L9mjHHzQ4NxiB
b63FGV+TRiSniRIpKD94Dp89+hLnvlzqXTyECMs2U3waEgd761H2rWR8tBX8gIfNViZxbmwKpsw6
b7VjfJCYNtR/bV7mRfkjKp2vSxxZTzQGzqVlHcc5kcPOm5Lx19K2095qCcux+8nXhODY4eBsD0Kr
74J1mSI0x/4p75XHq4tUleGuJJWqXaBQdcX1Wxva25R8vizocMlVbFDGnQhvv/lN97OrqTEXbe+f
pYPlDbMp2xClxBQM7fq2n5b+XUm8v0cSrmxI+x0RenjMzGk6iTTBZw283UNSO3d+iDtD28/wldK7
Ju8OrfTDG8uP4FK6Ztbch0LFt5CMoFGBxlm3eQjBs4glIoSqo+3TozVtsEU/Y8ZyR7eDTZFk+qEJ
mJUmRcBHx81uwVjsQAed8H/Yt5bDnAfC/a0x6obic/DmSerULuwe2L9Z/IjIp3+gCpA8FEFWb0Pl
2nt/sqneJlw0GJHtbIeAYpbsiKL7WyVjvV9QoYQoizn3xCYdP5TSnL6z3pZfVBuMvI1NtPPN+d41
Og/BsV4Ai6ZCgN5aThUJeP14GGTrPaEr5FoA4MrsaI+Wc3CyadzMS24/U5X9Ofrx5xLfojuyxPjs
gfw5BPG4bGYQX2iah3c+xpafYskYrlIdKxTegJUMjgzHZqLXhGZZuymaHldpVc7YNoJCGCyUAsE7
lTeTAQwwcVmfeaGF8VSIunlSKn9EnLEhg3UVPuK40iZWbm0MiTVKXHj4sgZlfQR38aXKHHNlzgJk
/jiWt6VhkwRG7b6w3e49bnty1iG+C/RDba022JLAYXpWOoBeiOZkaXxtfds5qGggfMvqlyRHbiIX
COBn1vg2ZhbeVAaROxKKgPl8lpCbyqnK27iX/galye9V4NGkCRzzuRLsBU6ubn0vIdeyyuXo4LTI
DVKO9rOPUtldZebUjiuoGdNovAZuZawki9ZpUmAYrWEpMWDKk+RZuexieCwr1d7NHWESAtVd5N+U
VPuj17ZFTHzbF9M03DQR2u9KWS77Ljgr0BnxtDcmfO+g7GBdJIl2G1SfT35U2ulnGh9Jts5DEuFD
Po810symmTTvUWD6Ny3G3ABIBru7yhH8/4TUIPyvflb9X0EXMLP/DqXxX7/a9PtvKI2PP7jKpLn/
AAPho9IAHEPDIaCFXFAaBnpnyLmiDwuDQQsEaKWIK0zDCfiVCZkNmiiUfivgV/9EaTjuPyDtQaVD
CVmrWfzvLEh/x8TTA4Be5iApwuFcxMqEZsf8hbQUBbkzITbOOjPNAUyslJZ58562kaPDIShVfPaX
h/Ppgv3/q7bY7xQEzihChJdhz0HPhRcoNBnzL2cMcDiieS9/jmDVOXgwlXbzbiiTf8MRI449u0Zn
/Afo//84KYat0ElDkzYoJPI/T4pvjnLrYnxvW8dp3vtG9caTX6Bs+RSScqJ2Wvb+/8FJtcBZYCJn
x1kZqt/v1G/LbGjHgJPWnC7BuzXHiy128tsKS6j81sSiilP//eP9HwOKfDaMd1A+FkI+TKDfT5oj
caNN7d8GLLwZwghp1ea97kZuOyoH1srN359PH+/fBA9WPFjIwIy4ScRVGNA/JlAMYtEW7rI2RRk0
75mvwEhuLsOZ9BiKUX4d+tSMV4L/gZ7wUMb8j3Pq95vWExiVH9BOPG6uAADT7zfdGqiRT2lIfNan
iQiQrNRDS9nT5PwqKCk+/IdZ/Mdtu47pQ2oBQKWnlGX9yWUs3AwyhSC1QMWyzvODX1D9xxAOAMFc
HwN2lDwFyG9C3qBnqfwm25lZUHXpf2CV/T6x0SawA1oulF2Ea6N56P/x+JMK0Ra/erV48NQiA5xK
ydEHmDWUJICu+qspoHz+90P+xzlZsqBCQeRH7xiuNOP++9Omujy79pTRBiW3Mp4ccE8sGaIq8TqD
JcFcn1U9+ub270/7B6PGgoQFxgwZbTMI+fnnIGdZMvgRMsurxkhH4wmlgpwTmrOaGeSochnxmkGj
M32Z7mlHlQL+Dc+E7/39tfz5CAi4WHgdKJi2iVjWn+sJgrpxngnDIaNitWvXl2cwsYAZT4ZySuo5
MFeQ/fsPb5sezn+/bWiSwGG1OaWHOpOPoNsfw22nuduBF/bJmhQRLpJZWcrNhd7yn1+qwP7ziYPb
QxLY8bTWn77NPwa6nAMzDXofG0LSAx7yFIy6UgWYKPSbXeL6k/FULarns5o+d2vdWWRzzHG6YbX5
4JgVniDP6BExS+KPuZLhFdMHtMW7WL+aFKe7UZ37kEeGs2i1NMwaVBpotW4r7OP5YUrM+awTxXVI
SenKyoDNonKtwf3TrU+exN97VajP+s+TS2/iMF7qe9nwBZOMPoXbJsIFgygb1oq4Rdoym8JNkJJ3
Baga+JWeJ+kS9gFFz8gEJ07DMHSosFB7YRATG3cpIGSdJXjoIRUpTieTqM9B/BiZ2Rlk5qE+WFEI
vcZSbVyCJ0TLM+yvppK9/wc9EWvIztiJWEH6PNM2FGIXN4NKuztRmLKlp9OGNcewiz7nbBS/Imqp
OaHlTFXs8iFsHD3d24FE5SspXiG/2Ii18XWKVrx5EQfkqWUJHSF4mAipMz28jHJru66bQT/0yVQB
w3d5i653dpm/I+BrvuD0hTE2+2VkGQACdlnSrw/XTrAwHDe94YpC7otElGW/LzMjg0Wz+I6eHnYX
QLDb5R2WnOk+t5fGUSfEy+Oufbmcp+1Kp74lEfVCYxO5LpWBNToHbj7eGL5MxvxsL5BZIOpdFpWu
SWx/HwaJ3luuU+f6PLDCG7lkzx1gTaysy45KQNUYT0vdsS5VOOnyCDqvIJHYZyMSB4zS1FGQXVOM
RD//EDfSQtWBEuNIQtt4vgkXszanLJQ4oM5G9xIuoZi/XQ+FVas+xuyDOMILTdY1Nz1EZs1tBpgR
86SvQ4JekWAErytVP3ljC6lnxs/3J+askqfjQYc032l/xBpMEdX6Nbh+PaTNxjRGlKjmiymJG2er
i4VtdqdhqfzOUG0jBMXw3iCXG6Ah5rdQOjIh1k2Tlrm7c/EUwq7p+n0EzFmTdpdBKDxbP05yCj1F
gmpxs/kILY3wxOI/OkoiCHxH1sHgHvoewD3sByMDQ+Q3K7tRuZo+535cOsGXEBVxYXynIRVOy66O
vUB0W7eZ4EW+zyQhtXdSJj399qXmLJH4MUM6teKnEagqcHHWOifuTk4FPGN47HrIbT1VRtDz9lub
0EFMj5foqSBvYxSvE7kca/3FqB/0W9nVk24lAJQKm+8eKSKeZmGS4QO8nTUUDjTs5UW/THyRe2wY
199YGGfnt0ravEEgAfQjnn03ZWkBvF/w+OnbGm37gjd10mMb7HeI3j8giqI3WiO0aPLs8YjVkd2o
R/ZRN8iC4eYajqBo1OuhzABDxdtLxAsFCIXHHeaVAHiwLqPLFu9FNNIaPA6osg/LLrfbOnKoygCN
DPYB3sBM8RHkMXEW4HtGDRsG/cZ5KrC5P2Rq0qXHz6jwizsoLq5NP9Lhxbor0SfkStPG556z3u2S
Yuc5YVrJW5q7A9TS3usp94Nubr0+P5vZGPqvKGoGFAQ8eJfav820OR5mOm6GCKsb+VjmMRv42xax
R45O7Y3HV9vYzt2hprJ8YJ5F08Iz7s04mlYNWkQB86KVoHYOQ6qj5k0R5B1Ys8yUUzjvG9sreY1U
QRDSoj4IVjna4XxEl+eOULuhDODK1uFCpOtq5ymfHgJH0Qq8fGgIQsV5DypSf1PIOBmOIuxyLhKk
ycBnEcZu/isQB/11dM89fqTmnGZ4gLttrZJNPLk4QRuXQ1BaqKKEujVNOtzSZQDXKKaCXIYH0GUW
/UgaIS2HL4Xbc/jGSGjKrKAEVmO9MUMjpoeElJ2E9mK2NLPdLZ0aF7MvLEeZpIfImqmN7S/PswRo
x1+PadZS5aU4NqhPKSB4y0Qz/XLzKNUbT2kEcRTfD94N/ZSrBUjrnYqpvLbrAoFeDki3HzAX8MU2
qg5QgKf23SUNVc8U7FOBTS+kz/duED4d+8ZaWsBkSNUf0qkYgd8EQRFglIG2b0Lz8WMaTGPvsHZk
ucl8msE4cmIqd5Ueu9kfGIMFpQaeRNUMfKMrBQvvpg9bPJs3Uz0t3KzTNYH/ehkCZrbS95CXY8A4
jjgxsMul5BmTvJnpqn+sppaeFG5ZAYvbgZDRZ0u7dOQhLS5ou/zcOChcgZEUNrPu8hRzE7AnLKMK
vOy9ai0U3Q4UzgDxQhDIFv2MIPhxpVMZdRw+XDJzMA4iTDD82oYgkRlI/SLo416eMOK5erLBaZTA
iKqmFz0m20HDDoNqfUbrlSwDr1N3A3FJcsxyhMymTjkrfu4eHTNDuP7dLNImCh6sMdEHg+cgKE9G
JoXOOzBhNVdk4VErpi/dEOkbniMKC6DI40x/eB0Avyr1ndSYD3u0gOyy+3j3ZJ64CZZyYOztTeb3
AhafHJnq1zu/jJtB2MFpLr/pqDBweFYXPFhvlVEvfnoAc98KiwgaCBHFunnSb/vl6dIEAZ+6aovY
g64XKyPB7hzPI76AI5L3r+9Ftdfz1l5n7FgLi+HqZFHyYSq4p1c8VPVlsJ+wiABqhrgNABqWIw3g
vtUjD0mhYnSz2p6m5PlyP0ZURaF9FB8rGvBFxXOOYI3wV1kw6mNMSaFHRKWeHkJMWm0+RKEe2761
0cVGf8zo8/Fk0cfrrPYt7puOL+aGqVdHN3b13i3UFLmf/XJRwvre2Rq7/QlATMpVJZatT+OjqIfZ
mUWZvYtWzZwaZvvWLUHCPQFugby447VEX23FVp+zcvlZj9bZqiyiUnpr57qA1YNeUBV2ZXrkqawa
6WlMxzD5Bl43Bt4ti0j/qswoCAPGLC2bOuI8+hK3qlx0VsexlAkZ5lSWpoUaoLKw6LUPhd81bF1x
OBfsOhYoc/YIzJ5NIuaqGnM2KzawinA9jeBAhjsVMvvkwzVxgQdbVViXegLdK/ifsEyAsPIazXJX
Dyl0nCP5fc2hkamK2ZKEyABp3tYpBXCMXNNF75gpSCR2LQ+iA+GD6dh2Bde8SSwBoE51XpU8hLgW
2hOWhunMVYsamTEGwwsSpF87Q3ek97wbomr3VoF9RHbTQfrnfMni6Le4THsc6NZJlthwjJ2R1LBY
STDxbIV9YTe2c44wysBQHtNsnHlXdlQqNWwqQ7vArK+7tyIi4Zgs1/rvzAozgf31kRWJReISGWQT
5rocuaR+b/mJvp/OB9NAZC+gcs+PTs98JfoEFU10QgFGR9HeNCd8GBPnEGZdQqqmGIlLTkhToH6w
ps4c4Kl4PXVOZ9gZT4YBpjZfCTULltuBigFhn5uGHld3vdYEcmEI/waTnBooGkBPHh+kAZFlgBZi
oPi7KOedkes2QH8SK6Km0feIf18UBCilWL3VbKKsEfQyYYW00ZtJkEa3oHSj3vxB712HzNYM5zNc
2U5HbGRYuf6M5Szg9sF96fQiqeHaqzOxZs8VZPoi3xvP1VUOdblwFiW9PPVy0heQ6jgFvvHHoWTh
WXrYL/W34CMcw9pAFxQuQ8l6qkd0dAzAYkcoXENbww9GNZNU5qOgVbeZPqzsRslsZGnWBYE5Rc5q
2bWqHdqHeA5rHTB+fL2LEZUnffsoieXwLXP7bOMS7Ep4rVLfgp8h1VGsMN7WGeh4SZSuGS4hHxKg
d2YbdkR2Ba8Pf1B6S5La74tv4FrybRKznp/5RJe2J5wPdALbIOnRhs/9BN5xPGcpjlAGmS/mNhEw
HNLfig6quAT716mZzn7IAdzLc7imqepy8ChTLTdruDVaQmfDHpvBvxFtLUrtyvWRR6s4COZqt5QC
Hjdhl1eADfhhA5zijfpnVSRcTL04DAA1g31/KRaiWiD5n6SkqWdbGNFHOtYVhHa+kixmmELukUrn
2iHE0IbMXYVuhHCYMGrdGO3gdLF4pwOjCCaaiqr8qHRi/pVwDNfwYpZRCyVrW6zpC+dlsq89H2UU
lnBApepcEepy7mtp9DJu7qVk2OJFoh/rbOuCQxXEJlcnoCME0doA8Qz4cFomgxkeCfqe6tRMIf2k
o41SqevuAzfp+YOGLFyk26RmNsxbGLA6u7pOWs+pUnaHsZOwoNZhyXrvrxCN6kSyoZqjOCbIMT38
aBSzUoNE+Mj2IZsLTntdGxLC1jzZ2gN0OXzBAMaxODrF7PPjOqWuEXN+ySTBNAd1dnT9mDrh9nLP
18mvPqL963tf+riT8xqH5Cf9Jg57hasoKYvKMBw3C8V4zhXsqHjLrqxfnXlYJB5qTuy3KsYlWheB
/TnIuI+B5JuDdB/1cEBOBcMzUKyvk4fL98aPZMhG7oDjXZchE8IJf+RgB8yH0Ag6fuRepDPwa9VR
XWYSxHpdyrF1N4EMzYYnFW+B8uvHq5a2m4Y9nMcW7IRi3eF31znnu60dcQl+PkbDWUOPediuweoP
bQgb6zqsTmkwkdwiMzH6vbvpQThN8tuiJgLDPWIU+jFfrxeHMAdlYpBOwPJv6VaL5BzKOvHBFRRG
LwBTDh42pLvCqes2fsLEWBg5wijoJUTHuEOJo/0kpr6cnQd8z11efzs19Q9ftj1Xdr3N6xSWl/pK
Vxd6zTaBxBDRgtJo3R819Iml31QlHDhi3kv16/p+u5fqDH6rul54HcFwBnmKWiq5sPcQfXRH/r6C
+XvJHAk+8jDKxnQK0J4M8OT8vYhb+pin2qXL7n1Jn6NLCfG6As7EBQzq35/S+tA+/0v50uYtoFpO
AQVvj8BEA/D3kxambagx0lWTS9UBRKPHYxwvs0WHqoxhemkbTF1hy+VpuFQDoBkvcXIQHdKB2YPl
xNL5RT7t+/D2ZT4pACaShjc7rd/PHRO8i9yOGSgwUeB/hsPWzBRaIDYxBfM2Q0AIVoAHZ2dvYrom
frSRsvxhbeZz38C+uJTCQmno+ir1bouDAYrUW+GlK1aTMXE6Iyi9gGFTvvQ7QtqPloO3pLq6M2SJ
jjZjWP/8uNaGnNzUeVp/mSXXCoEZw4CSO2hzBQRAZ8r15h8B2GIQdPTI/y5lA4Afuq2TDoXl70dD
6g1t+WvQspSN3sIun+UBhQsewqDa6pebQ0p2cN8lcO8319iNmI+WGwktHhpY/vnL1G2uReXZlfpU
MVRN5nG9AN40t9drqjQz7R2NJh0GVEgIsfxdQ8spdfQ2nF52flU0FrvOtRVUO5CjCY2Ycrg0Vi5F
4Hw/R3C32nWShnpjuy7h14ihhDPAHyg3SSEqUWBAyOQUdpMEQThdro+x1wvIdUklMje5aNG4etyy
y058PeaIjSW/y9A44nLddtJfyZuhrMNNZ8UFBJtkGPS6PphmbmOtVlRZwgY64TeMHgokOX23casn
1nUHuN7tvNi6pmpfQr/a9oo8pOZIQTH7WkE8mim+EH0ar9e3/OPF+r/Qdt//rO/eyp/d796t/09a
udLa+JePxP9QRvivIv7Z/i6NwPcvLXftMUY/EClfKLOerin9q+Uu/uHTCXSxwsGuw6Obwq/+3XKn
+41sJ+oIl378v1rulvgHEixoeloCcVkaf+7/RhcBgYbfmjh07GjQhLSydJPWRcDB/n0VxFw3ass8
PdUj1DqAImbnurfKnLxcWSvQi1qfDP8yqy3JmwDvZfs4XPJpHevbNYh3w9HonTsqXea3ckbtpydy
9+XQAUjtnLj8WoPsC4Nt6KJy0KzMjM/aN9pnlvkQEDZZ/83emexIjmRX9F+0Z4HGmVs6fQ6Ped4Q
ETnQOE9GGsmv1/GsWrQESIAWWggQuoHeZHZFeThp9u6791zEh3HJtPXpzmE31R+yL0N4w7NhzXrG
xulK54Vgq6YvEVF8frJBVVWxrkaXiNKq3WkbrCE3S2az7qxoUuVJExjtd/QCrE/sdArKMkOZEhpR
oBkFxh8ratgycdwjsf1M7aDs9k1O2OKI8mG0N/TRmsyvjkWiZh1y14jFvBrZgRUrXJsuFJO6QNAz
SmPjOES58w9Hze0sER371Tv41ujlr05jdRB3ysnX4slolzkgVYt3/8Ijrp9Lrqx0JxuqCO87HnJz
K1UNqoHfukd9phq9+lAFeCyLbFLFzqpnfhZGQHeMUGBBKIAfAAU0EqlyIofmtcPchjUO/7Jaa4iX
fSf2YnGCNG59mypYxx48D28+L+9qFwSzN0471RcIFtHQjaWCMIHNI11P6NFT0ka5ah3zBHl9PgYe
om3UW6L/LgohNQMsgLwttx45kuxRyLwSGb/0MN/GrJVw451Si7j2HxGjnp+W1sStVdHNIHZJalCg
64fFXLN9XykOJYVZd9Ut13lsv4rFk95hkF3sCFQHuCGIcKNpHKpkYlHHNYCMQ2XxXo20EQTtoRI2
FG7LM7tiV3gzOYWwyadik7GYnGLqRTt9oj94uO3Arxt7c5ydgnFwquaDVp4bPIgqpLqmLEsxxZRR
wXsYpoDgg+4qUg5UzNQvnrd4DylMtY+2CBVlvZT8vYDLIH6UF357v1L+gJ6SNurGSHpyjZKra+Rn
CTbOEHI4KCS39cZ4tTxuOKIs6lcVTNI5AkRIf/vg/Ov9InxaJJG5HPMGwbgYNmU+z4i2cihx6QUL
n62ERsLZ0HjGnYenz410Dppkg7+Oe6jblvJ9zlttbVVW9eYWm14ARs1BCCEHrYdkZ1bz8KNgnBZk
aYE6XTVy414wXtR0DacA6dhOh2wBmDsJRqEnf4oQvkcEKyQ0seLrmpydYVNyHAQJKCxUNn5nfpqR
qAgqCQaugSjBzyWh66OJCu9r4J/5Ps2V8bsgge8RnRFpFmMkKCmKrrQm9aeU7qN+wPK2I/OUP9Is
O47gKLPGvmkQ3D7KvvNByXer0htzJqC8ZT4FDTQzgcVFLe1uZyATQq1Fodq7Zp00W58in1cAZD4B
tXqoM3IF5Xqu0aK+8qADShXVAlcBrYh8vqkm87E6KKTZ2pnwAx2ATsT6HQ5RD2/BuF9HaHCId60K
vmQwVeGJfEU1MZybjeB/HJ41jfcfN+3zCC3TvEtaPZQPweK6CgKVn9RVHIaTqvAEBuWYfOlJI+1d
wXQGSJrMTqX8SShsDniwiJJs5EBYOY1DUByreweEsZid2C17gMopLRvFG3b0AAiGYXVEjAs19E+z
sfQulVwgGc7+OjbFp8QWYC9RO7eqeyqwFZM2nvLy+sp1JpBXR9CRvL15X9DfFGzn0Goq1gtQ3PSp
4h9SwnBgvh7lxoeBCAKrdgz/1IZsul8Z/T1nH2DHD28zUasqnizlFguYc4C775Vmfn0IEpwoEaGU
Qo+RAS6kPc4WV7A3UOLKOlxfvfQFjIGR5Xj+Jz9If7IUXE0oXOtiAHTklgJyTlqzvUPQxNybYSny
NxTl4nW2NUpaRFlt0x5VXQdf+A+sj0lbhoGf011nXqej88B2aNT3DDDiS67UPMarbotsO07zJLZ2
ISz5LiphDruFMc/aaEuXlEEb5ihjOboaJb9FZduz0Ryd5xCJKLjmeL050o5OnzxrFM+lyYAU5cEy
BJt5RPmN+CcQbvVZivc00tgp90V6m2/KZL5G+3OjSmMHMyrHSWtpOC0k00kXyKZFIAP589A6lqz2
dr/qF3oGoQ8APu2yY8HqOoxWPfGAjQHoSSZ7yS3ZsYqJCErf+z6eTjfp6O8rG5iBG9mb7RSppBUf
4Nrr4JBPhmuQn+LpwWZQdv2eJTChiFkVydUfVSeE+j1nXYHOVUmzGxPjysapQdJFUjbloyyz3CX7
lfU704HqudclR8emq/s0PdQgTLsjUHDx7ApHOLHoDOqixeCA/hBTG9h7G5TobwBvgKcZ6MUn3+Ns
iAiAWykzaSrTu3EiAx9lfpXkp1B37UWLcnkxyrkpdiWfY3ELjAaoXYI1XCoAfVKAs5QOn7VpZmV4
Wqv+amfomnrPhNYvvAFLgqxzanNBekJqcyEh4SPp72rGdnPjVdzpI8ho01POhKN4/Tvi9xhcjQSZ
UUIJMh2Pxpt6bGcnokfYvy/zKSD3VkHh2WFun56Xakjt2Kmz+gnbmYcjXvQI8q6HdQCtB0atXK8d
Qv7cimSbsk2xrrcbj7gbd8BHJnNyBKVVVbzfgn7+Xi1YnTvLSOwHMbejfWJ4D5qt4Fbl4XEf/OHM
vWru78Jq5SCPrfVqyO3Cbs6+yrCDlrRVgUigGYGdqvQLomefk6Jukh9rY7gNdIshfVaC4f5MwVpW
36oJ0eBHg7GGWCFRvc2E06HERVIYlL2PnktC1+kUYF0uMuEmd8lZZL1y2/1w3Z6Q6bMpa5aIzOVD
4iyFcSjcLPN3lHRw81trz2vuRGpX024o9exH3gAh1VUGfdxJVlnQJ/kM0M7r+bovWTKQNk2Ji56t
3AilN/DSL1Eh9sd10ff9Ie0bwz+q0Ck+MGkv6k6Urd8+WtWi+idDksbfC7vpf4flsHZbh1oi+IB6
JD5R6CArd21lgTWSWa8pOc8aDypwOJT5KQvyJfwCboeBXtmLaO5XME8WIESjd8ElF0N5D9g5H5/c
nNtzlkW66qeC2lagnFwF5F4GfdugKnlsKGAl70KDuIPgKTRlnrlXWGFqDzdJL/PfBA6IfKS56cs9
vCwaMNapt9bI6Bp12/bmSoq4xNbHDtj3ExjF8wKYMWz4I7rkSDxJuwflF7R5Vh6YBZ0LJ6wEuDB0
JYvj1YNyClYIAgBHDWe1PYooSaGSHG2+WRivh4WKg8mznA8icgFrbrexKN0xPXp+5pDb82YY2+AL
tJStYHkoMnoibYycyxWF7xEHnL7g6uvvkLmclPCdmL64tSzzLpOS5iX6S7pPv136Z79bwaKByUwf
ipJdS9x4SU1TNq51CtnJXH/wRoRgxAIIzm3us6Gjk4GTuLL5XEGTkDrJdAnWRLNvJ5Q5aMON2KPn
v23W5O2+nSpYIk3u9K/zbBcEOeAeADMsqwI4Ydpnv2XITWE3djan0hXoHhyEi3suXn3L/EYq0mCz
xmTpIAPVy1NTsVLgZT3aP/3S8hmAUm22Gx+9LYOkjWMiMv2M8z2lB6PaSOmth5Ryn55lijOV+8I0
RMYZUvTvS2PV9ca0Go9kel/X1NfIzvlS2Wz+gthTAprK/JE6uzLnmuoY0zhGxA8nLwoZNOTf2tf/
woh+1/6qn1T/65e6fLX/B+Z0fl3/3aR++SqzfzXT//njfw/qzl8WmKVrMS3qHdO1RSXCP954Yf2F
uezKav8zpf8xbP8zqGObv9ILaQj3HNfFD8Df+scbL8y/qHVkuKcLlupgzqP/yaBOCe9/GNQhvXj8
ZNiKPXopaW1w/pNcGQhDpWMx7JxhNt0D8+pQk6U1M/Vua36ynoOqD7ggMdCwzghnIrlGwRl4DkNj
DPdQrtrp0Z5by79UufJzoveJmn7LzmqGs6+TaYuU345HlE6MhBbf+poj1KOvnDGylZFYTYn95Wpd
e/ULY+g2M0FlcejWvhFMyKMM3zs/a8hUJktW66egE27xE+KPB6sGY7/02GhW1fAzl0V2V9lD38bc
J3T2cx4soO691/ekp7hJO3e8lTOCM4WoN6OZO/5DJlce5bleSyJYrhTJs+nrsN+PzTjH2WI8Kx3+
aEJ9YQFTxXZfcAIZN72dUUdqGzgfo8B1VLCvRsWFD6uqaodL0ITBq2n2n2PYivQ4Y+IxGSZh5K2m
/+Jk8o3jjtsEOm29xci58pHma1DtR/rcl81KyFFs69TnmZZ4dJn5CR6BQzNmB+AES7yzDovu5BMG
G15ZHBgru245sJWeJ/26Fv1awpZqsDwdi7mxgW9wRRzRrYcd7OT5WLKFbphUCLUPnMQDjXa9eMah
FMLtllPNIDZywB85z8Nmk3BnebQrUEK4B+eGXlvRyPk7D+ZsBvCVzOZ+XlAgGFgx023KNBy+rUEk
t3aSr/4DzVYc3RveZexPisX6sLpx+SqGoH/QuKPwRMiLTqCEI6gYQYSh33sMjellrZV1XFi3/yoH
3Hv7HHly4GY0e1Lu6tmynR/OPLrpxpFkxdnBL/N4aXP0corXwuk9w07OlWIZCNfLsi8/84xBaJ90
IkEeJSvobBelu+RRVnlwNyuBhBQLqET+rwxzj/hVrD6x6KtSro9Lz1r+FpmW3XnEQsS20o0pCoUv
1F59u7Mxk+CGtw8DS652JT6PF+XYMlZaPzyfHWm6MSB4Q7sagcW9taj//odvLmaGgAGh7ReXgOsc
i1elx2bTTw3iyhCEwIG9SHWB08RWicgzcnvzuR/3PJTXPRgR0qIZhuab1faYHt1p7vyndlZ99oLZ
cDCRqDnAO0gsGEWx0uGgG+4HRJHyVgXksDuI7yZ4MHQ4YDXkD1wbHsEowklsbD9PA4PLml351tFr
dHNm4R7sC3fq95Ye6tugCyvSi/ZFuhPyEO6F5Umtqf/ZFl16TnJh7VLfnT4LBmRI8n7xXWnmmawr
yIApcwTFua5Qhwcd7qDR1AfwbdU+ByZPszYUV7wl7MTAYhpgERM9r2drCkp0nqUungPfavyIHg2+
vsU4vi7j2J95x+UHT63eqc6bIk5C/TvPnfR2bpPnshfBY1Os6cksfT73Pwdtgcub36jmeei90Lur
2tl+Dv6cytd21r3Jm/CkA5cDe0xyvVsMmJypmL0X0+3Xh7BdhhNbNnXTLz0R/6GHlBoGxl6VNvdz
0lLTm1M57bSd/lwOsj8XBVoTTFyATGxqsIOzGYwEoaduqfd5EUyHtV2aD+Q4LnRW5kCrdtqdLwNn
ipzMImRnJ0EsgJrhODC5PEAtOlplZlzGabgXSvJ5jYO5g7DebBj53c2UFB42jp4WBcty5mcfz10c
5mo8z/0cbksIzREZP8aVabksszF/u5OhD67b9Y9qmLODYWYBkqQAPjtZ885yCpbRjiHOThaoEw4Q
+Z4ujM9Gg5qamF7PHmdMjixQn4rrdQvMfRFp7tn7lWaZKC3H/Dar3OYmx2/6SCtDdpwyb/lAX+Iy
CdvZeO5k+21hWNplsx7f08AnlKr6mQrHxo5Et5R8IhoqoyPPJp6tbVCBWErgOR29vPxKgbo1EXFJ
4M1WJy7pWvFHAi63Ln1LMVlDmO3tsLAfAQVkhHZ4YCTRx3H2rcssDeedpa53dqAUHgFatieV0LVu
9UO8enQwcGS526Yf64MzhEPcuZO+jF5qX6OPySVtZLLHv2WhnTb915JM/VYMdnf02jyJybSOh5CE
r8+vEP++ZT1iCdhVVSlvCvIDB+Et9tlZk+Cj/HNZNoF975zCyEBxJQpWCh07921NYZ6+3q6tDDsj
4JEu3avMrY8A7u17IYGqgAnhOh78uZovqa5f8f8+cMPmRDRM6xFzux0bAxqrZ7ZLTNq+fJh882nq
Xf9gV7n32ZtCYECCiAHjvdgshR2ctFPbb+Hiu3FuMf+m7vwDMjyvluzPvGCoJE82oGoYAcrFmTZt
kttPZuGZkfVnxOA2ND7CPvS3Uvc4Q4Ym2PS1oPgkSTu+QK1xUWkAIu/PiMIopm4xKHCKOyZuKpzZ
Sdnv6tWGVZJ63Y1VzPlv/WfsGf8ZgpJ/hiL/nyFp0a2QatxrCX+wdSIv4NhJ32EYYG65Z0obp5Zx
hUSqsZWpkXcl8qqbYVvINxOQ+RJVPJAMSeMa2aDJgAzyC6cf5Mm0hDWYM1g2AtebiRrT8RZVe6h+
OcL3ki/LG5cCCTN11acaRHPskAH58tag1MpGbYpKfZYdoGU/1PkhH9zsHjFZbii+KJ8LpIVgz2LW
NncmomtBkrpPd+wf82ozBlXzqAx+C3WRiEseegoSKmowwsEM10wN6wFqcBlryAcbzZi0WfwCPXEa
EN3wTfZHdh7TESpKdoNYUL3W4wwJgEG3+aFJgxDRbaS8DjpNnEDp3dld+UKVB/amq1RnZ8wlvVvk
FwPj5lfbVfaLMbba2CrljrSTaHUq9Qp1tm3hxZBjX96GgWIJJp9qN+vV/ZUvi7PxrAzJaPW/dEIG
2Ux98RBM6CxB5alHf2x4bfB/yGSKOWc8hnkmjQhOTc31zALsU3hP7UA2wM1zLCP4nYMfFg6JKFTa
f+nc6j1JFvXE/BjCp5a5/zBYk70jt69OJgKnjlq6Bnal0q46t83Qh/Gc9taTxu0DC/G6GN2vdm1f
RloxP+c5fBKVDO5bbr87T45o7iSp77sck3MEwSFp4yphyU+f5pgTc/Gqz5ns8yWDIXKgzgjiyJKO
GDW6jEyJXx4aOUG19KG0PQeZN99kBNs30lgtgNmGOx2DHHRC5XbeTq/rtxFKl+oEwX6jdup35S+A
uZKJ+IZdNDO8JKuZNZwv4S4HhaEOsEoZ2g/eGpjvo91Na4QhdURqwYDzxn7d+bFW5vDCyTjVG5gD
bKyXsbiV2JBjoF3iiGIlnuUSWBfX0Olr1ST5Nyb1dI7TsZlfJsvsDuzrr0d5peW2XgzrsqTlcJHe
bF4qUSWngv+LcOMYrXmzVqv3XAvVnR2YZyVTduGg4q3cYyBtyBc/FOnFoQxv3a22oZ6Q6iwsWz1s
62KdZ8IeIU7mz9SbMtR5q3H0r7mqg0d+UspvkuYPVruwN32bCes76DrlXnpIoMvdkphz+tYVbB/u
8lFAHyPbEFxVXNPW47Oomqy9GEaTWJFjB/YQy3Qcat5oTDAsVsqmyCeg7B3n+djPhnsR0L+GLZkQ
+sGptpnpMUm1X8N+CIsgwqJYpIfAncqtB9E4ogOq3MxDlhx6UWHsBTk6MRfQm9C98e/VblM9DfzY
10nf4ACMuK+1x8rW3Y2hjeUM9PG7oH72shB/ewBSnJ/J0yO1V6GIlEZagNyGpOU786YUOLeVMNIY
6CNwdVyMvizbg5JZdfT81Du6bvVB3ONhtCZw1g6Hvr9MH4nFDb3lqYYhTYuL46bh0Rst+ZMH1H5K
eXVvHKWtD6Vn+QIwp0A+Fckew4d34WWKv95w4SMbtpl9DV5XQriZ7C/AS7661WBAfsyD568HpzcW
yagEZuU4LYyDsQBymN9yi/c+aXIzYfVOomL9mZequxNqzMs3WBvzr1Q4HH2oGkHJbs4DHgL2lp8M
GrN16Cbtf470MtRb2wHrtnMqVkdH0y5nGS+kJo66Tfk8jKxhhMVi3PZbE5AQyO4iN9AEE6/pDphI
W3sb+E02MntJvsIwLYPxOLI2c054ovVwtwRLN3/hoU6sq4si+ZHBe1XR3DUYNwabo4c8hl8FNxAH
ffnlq8oxSEMHfvVg+BMfXZCmlKuAX+N1flVwTytADMzWkI7YcrVZ4sfO3MJDdu0x9R9KZK9yk+PV
Sx+EW/ow86a+deMBqyFlJgSS3C2W9uDX5Ll1c4uXufc2AR1E7m6cwOQc0PWBfK0G7VCx4UvnRlID
5EVY/nyG1cHq+kOHM/kK11/Gg5GPr242lCfiauEW6hhe9jwExiqbbEfpuXOwkrz/AcBUfgLjwrW/
lt4bpSjrFnpjvU+MpN3ndc2B6RNViDqLWk72cXP5vUx/rPZo9AfHLK1zMAN07kzvvezdiW++6Vcn
2Q/GKUXB27oF3Cbqdfw4r3Hop3XXfE9I2HQqoFz+AMhzTWdZZbitsAA2eHrK/mC4vfq5lGtzMrWb
fLcoKLwDccmHcWGuVDWSvmgjlJVu2dRqlStiOUNgbtrt3jDXZeehg2ClTxuxt1JLPVSJSM6Qbac9
hgTrHsf4utXNKnZ+ql79BrSWX3piayZFf55wWEYKQ9JNsBTWheCsT5di2wfvYVYN29Uy1bfdGHhq
CV7uZgvBvioC6ycRzP4s0Wge08Vi12h2AWVY2BfrSHDaXIn4JbUw0NU2Fsv2XcMDv3Mrjw9lNQM+
4eTBXnom69lOzhrSS8x4XRx9aQ9qmxROeKPUksfgFt0n+H3Fi0rT4lgPfCBxxZ3myE4HkslowUda
gLCXNOCdpW50bFmiOCgBx9dNVbttp0wR5mdDe0iSrv3Isz+FNcZUj+GdOZS1OinDcF0uki6VPYZr
t/5d28nQZTfQOyEzMYsj9XcL+v8rjv9mE8b/r61B0ch08fM/aI7Xv/C35Gibf2Hy4b8+eWaL+Dbe
nL8lRyu8yopogD48A99zPVw5/yiOhvUXJAX+hinIXmOZv/oa/5EcDecvxwttyAeW6fAfPD3/I80x
oADmXxLehLoRRPk2w3DgimwJcTUP/QseI+8BgfHYvS5UWHKkuXABDVxqRmae5iE4SJilJ+mpnMQU
3Cf9YSOwcWG2GT5HODie+zTZTzMr6DwoYrVA8LcydLOQvzBZUG4e1QoEckYnqU5NdQZJeNOM0xgB
OhZvdnqyrUcBqllB+lTJ1u49cpPYuV8b8bOdRKzWc2dRcmTDIv82uv4MzIaHpnfKmCwDK6PcVFxy
K1A+ausjiMGaifFF/Ep6oHNCI/YPGekVaJpQ5HNj01/fROkdA0i4dYbxCFkB3hAYrPx2DvpHd33M
bGoTWi99klDD00mfusk4OVziDANu69TRyFFwUFQKU+M42JFJo0DUg1WU2bRP+u5gMOL0VhX7Q7mn
VeXcDbTFTZ8T7t441QOlFMSQpZf+bKogrlV+0c6lAVRb90cbabVPgT6WYZluVns8DVTObYaRhLW7
EXVKKwN35ZyllmHsdBbE44BAY+EsV7+NRsZB9RsvOih9+MX9SxD+lIx/q9cx9K/h4+SIWyWYfIZR
yf2QKOwt4wUP88s6e97BFmyrOdjTXejyqQA+ZQUMEF7+koyVmD24AuPkKPz8Ndckurnf03lyAO3Z
cgFnmwS/qruYGfwptv0no7qxnK9idt898k9RCJJ5rb4hCnL+XTT9dXixbZweEBc5Br+Z6up9aWbj
mWDxcDuuDdd395VrYpR42OO52kggTQwTLCBd87nTXkwV5auoy1hkLtcA983L1mv44rYaJ4+SUX84
gYm+pyVM7jMYS43AJhIeyxSwKbGy8+zMIuNybl/sCQ1y0juU6Xim2FSu3bmB1Zrm468rC2mzNv1p
9uqtiRPB5kuKGfe3YCgK0YodtLdkzHaCbhSComRsYJrOHAvwsJLg4rFx1NgmujaJfQ6CEgiasTdI
PFYODoLQTPdiWlAlO/ajwcEfsYppfZXatqLUMcpQJEcj1oAu1+JhDGnjkuFC+IDq72DZG22wtZzs
DtT21i/QLyYBmNWGkPJEpDgye20h+YYIDBf4OEeTqpE+APXO4iDyDWrQHFIucWlku2uLSvM8IAiY
rwlGVBSq45KU24ar3L1AIT+yPdkUNrvHxTi35PbGPNzU4+fcZlCsHjBBHS1J32VNMkB77Z1d4Sms
5XKYTf04zi5Jp+bOAXnm4v+wsRdERk15Z2A+6uYtyYwTVXOo0G7s0Cx5Pa135nyLQMyfAAHNozTk
85bdtbG+Zea7pQGotUn3oKsixmaPTWDUrNNv6vmo3Edc77RWVs64U+ODyEeMA9XOUqfZ0U9jlx/X
4YEsFiGhq4k7r2+o0DhkV7iof0eWm4KCZDOiLXcr2K6l+MbbEUkN9iSBHkif/JY0LMlfD/whJN3C
uG+KD09avxMozSXZyHF6npPsPXF5GoKV9Kf4rn298ZEaW7uJezXDQPpWLWmWpNhWkicNNygxsSFK
rJdKq6jjMW9NES2dJpr8KzF+18CXJzaurfvIPnev8oc8T3hF3BKDCM+rLd6p4eSrXRPNS78Fkm1U
gj31aGrpfBAVRnFTuRSX5idZWQCdZRX1izwFjr7v2csnfF0qBWTdwEfOuJIfaG7dAdidYsp15p1M
eAFCWx5xOijUDEwsan0Lgy/WT/AH+YRlvWuEueV7F25Tc9rjz6BqeMYlsjE6pEq/mn7TUnSC0nez
Qm6XR6mw7DnBg2O3z4Nil5r2Hwwr8OnxFpBwi5qq9liTdLzjU3ypNwFXmNhy5G3vZuoW9b6L6PEr
v1kZ3XPhqSPaJe/9KvyceGqzWj2YgqW17ZkfA2dNXxfzZ0/ieWPUobhJi2HbTek+tLG5eddAKGTP
u6pyHwiLRFBYnYV/sezc58Vtn1TLZ5ibG7MTR6q2LnrFEOH23o5+pOm2aTDhiEbnp8IauaIr88C2
ZtxSlUCKKR0eO/I9m4WEN3q7TwuFNq8Oi2Fyb+xWzm8eLREYb8v+xa5R/MGIbEwUrF+TDq03vEvF
oYcDEE3e4IDUtIr3vl7qyKnaU+KaCAF1EiONkkZFP9sPmGepihU7h/56pwt+VGy/zvgl0iOYFyZe
HWa4Rigowb06viRucGXUr+StCAKCKMV4mynFF34K3qRdI9lon1qf7HXQw8YllroLff3gliFPpLx0
s3hh4GCOMhkRmtSvo0C8hgufXe88DoyllHGt9xQ4AupfyQubzlstTcCbnTW3u1md07T97Zj4I/3G
rL9F1/on4uXmGtGJRWUhiM91wxeLSaQxU54nKV4sF1FjGs/UgR7mcH1TfR8n6/yDy3AQ82/g7Kxs
3iyud8QEeBQqyAA78gv2R3DOdbZ1OJQ29pVoDFgj2xHdj1Un38xavzeu9dZayAFFT01aPR1l1d1X
bb8zmuGt9/Ve9iBb8A1iyREmNqS6AxbO4qqK8dnuh2vVD2u/9lqE5rmdluguGFyRWkjh8WFmhjqs
IKqmdTwrBBCsUmF/LtuaLESj6tc2MYIdzVIz8uZgE5ozhhEKTLhwrqrMVnucSuoB6DcyFxk4iJ9+
Ar4hky7GS5WMz7XTyK2TZ+knqCS0KqPue7FppbM0REkpb2q4NVCTauNiW3hptxlkR7ddIFlRh3Jf
Jw4XIhK14CUKf08rjkPLUEFSBAv0+IpA6Mgjrqr2IXFtigwGO+fwXyY7OxD2RU3V9b4glNZHVplC
au7WAL9cnSWMUvRrhyefWSvnN6HDMhqHojoVHc9RVElqnHiqh7uCgNuHsxgAJWgEuHEqls+8wgb3
szZlg088WLNvNvL9zuuM8Z0ARLKdRqXMWHaJSHeoOpMJjNrxqTdSJW0jVLGhYaoj70R3S9sXMOaV
dRpLCZ9TtCBCbxTrWdlp+mBpDg4FGvdiqDWLCudHT0GNr88u14tXYpzLUTnMfktB1QrpLvvGht3+
hIA/fzj89LceScNY54nNagdffDAM3kOD/fJCkqR54EdhIZPPjxTKTqStXd5Sef9aLILVeEirFOEY
stz8AOuPUVsolMI/tolbxiFQ2HsOY3NH0GyIcwZN7oPmuWj/0C+b+rvOzPpV0kp442J+5tED4D0u
7I+zel2ukbx2rDa2RJzJ5Qv4bH2TtTQIUyuCQLktjLLa5bZvRJjouhOx7D423OIFMO7bIoxkHyYp
i1HPoCeg3w5uLrD9MOSnpZVtqTFfnqkGa74qK3RfMweoKagyfRjYxGPsl1jAxiXZWQSNX/w6lDtD
N9YBp6mAHqMNWhsr7lY0TkORL9KHMBcoqWy/L07fjWdoN/kj1WpUoiWnvlZvesqI9z+s3fAh0+cO
PAnj/1RcCgjFmgZZrnDCPySuPmKGkncqCYuto6dnkAB46/th5BkN5Q1VFM8sDfVmNbuLAQ9lWyUB
GQI3wYueZb86zdBQE2xA2/VvrG5+6gHoOtcLCXfDg1/w4bYY4pGMubCX2Q/44i03dO9djP5rPpnu
pp/Vbsrdezj+w8mbnJu8+E2oMoiXMntM8kHdmzkncZJnsE2oA9nm6frmGtZb7VKpIfI0J/SAddRS
GfNI+EgIdMNr8LyEbHpLWz94rvlWT+pekZA8qWFkOqAYKRW1tccl+AIn4qO5zi0WQ0rqFycQBnhJ
FoP1hgZD41EXVYc1A1PozHMsfb4oHsr/4JdPvEy5FFOatmsMOKsVa/5db1ivaTb3lypzrKNSkKju
/529M+uNHEm7818Z+J6DIIPBxbANOJmrltS+1Q1RKknct+DOX++H1d2fqxvfjDEGfGFg5qKBgUpS
KpNkRJz3nOdQ2VFvF67bT7rrmq2Mw/CkDcPdUb7h0ZE1l8keRyKTN9uir1YzDt5z07fXWd735yyh
F64firTaFE2VcWcU/haPQLmNtEvOpMppTYIqAKvXiYcBARpXRtElC+cor7Cu5qWrLN6TVn8MtLON
QU5ZOKJKMm5HgPHvLXP7LSW8Fytdqb3qhrWchzhYv6lGfawNHfZQX4RKLp122tjLEclkeUWJynaN
MRyc2fwEGHMg+OVusxh+f206bxyKU+x30/eoyodgpC3o9P8qZvX/m4fLxkP1jxWVIP7+8auFa/3X
v8kpliRqteLvlIIngwSCmvGbnGLKv9uug1xiIp0gjfAtf/i3+ArmKL6NEhPTIQv6H2IK1FMm5XgJ
hEVESqLG/CtaCt/6Jy0FHZWXZbs+P5TJr+n9/PovWgpAE8yzpnPRG1ljsEsxw2LkLoj9+uSFbP68
zCoQuXOvK7JH6ZN9pkqIKxGLM+eFsMmCeMoW/5H5i7KPjtPWDm2EpDEulx7H7GVVps29RfHQGDgR
idJ9ajc8p/JlMboZy26R1PuW3jH9FJu9Tw2dwQCGc+iQJpLW2EjxZKLedM5m1vmkulSpHtv2pEYQ
NpwBF5pRJkewYUyi0LaCvMFVw3mWE0vsVeVtnNT6UBYwYzaTLQ5tImV8ADBRUgGOytDb5byltgcm
dcHj6TxpoxRnjG4meS1elbgqHSN7XYbKL44ZBRvOq4dnGypKvWzJLTEWg9lv3TJKb3f+DJtOn2tX
LVudh089p8ja2xRYblr2M4syjRfJj9hmrjHL+7EvFg12u6hAL2twwzKI/Og+XensRCGlrKcMpblv
8isB213RYsDQ6KbUVMnfC2NmwLJJQ7OsP6ZEpZ9NYwjWZW/IbHrSBE+KB3h7nCkB3tjlGwTkat7P
7B+Y1EzjB3tAUy7bTFfvcUMFQce8nerevJd01Oo6d27sORdHxpJIuI4Mi2TfEta89opySW9w4gPW
MVrLummYTRlHHL24sdOI3qEnjy6VzxT9t2YC4cQ620RMVDnws2N+bKgevmCQ425hVQN5t4fkrlzG
7DjOiCaU7eHwadN22iUhxPmHeSxagezu2gXWXboLSwzxRD18OzA5qPvXPhox8bdyLPxW4MSzWipS
YPMXHatJTMCaVdhnSB9wVokqWjSsZqYcAi87Rx9/qX00A2HIjuS5W4Y1729UECzrFa1WxGcry7vs
ojE2t3DaJuBvpgTPRcuhY1xC5ypyKnAc75YuDYfixAkAJ3TpusFhD3Jt2LZxT58yae4+P7o6a8pT
W43q2RlxdJF2x2wM/f8wdPgrWUVqd4Dl6NRXc0Ffs4Epcd8p26Fr1dfFuSeuUW6mcFlnQgY2riGX
8wOUOPY1FVPuI4Wcw10U1/NN6jDbtzLMOGePIN3dWJWmyxTRKrNtEeXRs2kY5dGKyfoSoeCW2LXY
pg/20ONwsAlkPFiV33MLsYaf6say7xg51N8pXHPeKPWwIQC5xpJSPjHSUjyLBZtQXkbGvFnyStYn
QjbsJr0kY+BOCJWJTtJmmXGV9ln34oQqfpzmxj7DlyPCN1hN2LLJteK2aJ66no3Q9EG2Jg0XNMgO
qAA1g01ncDeNAfdl0w0/eCrYst/hiW5cH5SYZG9JqJClnutzM4rMz9lHaEDqlKqIppvQh8wxWr5Z
eC5G6zJubdE9+G2KUa1jS+XQuox5w1p24aSXqqAvoi376qvWWCBwaRpZiLSwbQuiz1eC4Dt72zWf
RGac0uJuZHoz5ZyNi8uQBImJJd1pJuZNozl19l6XWuCJmORo7wmmlj4TXZc3f8OBO3sMIw6R5rUc
WzWOzwXzPqq7bE+766y+jnNxSMoWfw3tEDYmF2ewQgpVXJp3KYfJOwo0S8xH8XdsCm357Hd96bwt
OaWFjx55NiRvwI362s+6RAMDbZdk52exJspejX3Z3+oY5grhkbTCwZ+NBSg2eoOpY1bO9x7hMuIh
3bjHwk/sA0cNQqqVKEjHcO5W/gSJjXd/Gyuat+WQGw/ezKypxNyOulak2R7+aUxXoEJQsPhB1wu2
sAsvc7z7GH4MTIDF2WncPyR9KHQzDn4vSnwBY/smJSJgoeFNbQy59NthZKeP7cSnB6wtKb0r/Pw5
npV7E3UzA3e6n/wdrmGxlV3ERDt27RPkGuOmhwYVjNrKjiGNFIe5jryTqMeELfU8qW/DzOazG4t4
W/TQ/MkaFkd0surK53EOMKtZ5sdMwxzkOKu6HYcfuQ0hP1BoAWn0YEEooi6BVoK9LYmyJBYHfSaQ
94uA9F9FRX9R9+ILIJb56NbSlUwdkNo43coTOLXyOZ8JwlzOvNc0pbrvnZk1+luMy01e9OkwNB9h
LtvquiY1QCFg6vKBQ3lpnyeLBuMgq1hs35LC8apkW5YVs2cOY3Z4Pencjj6ypE2/K8exjFeHDoLo
CjGJ/E6Ypka45QaxiKtxyWzaCJBH4EcwKiEpteXd5M71IdECpH5F7JeY8jIJckS2yegUD828T+ww
QT0SFHrAhcX2bVKKvsGQRBO9hTmu0R1R7cjnLIL5Yr5F9rKXHe4WgVEGzy0egSanuHzHKVPujaLC
BmAyMVj8oTngtfK+qX7BLTXaVspY1UjvCth45FAz576jF5oyp8yPVk22nN5zQ3IulFn9nb30IgJq
LzJQEeNc7xY1Z0x7CK0HMOO67wOdjMkaCWOZ2aToR8uPljh3fA4zfBj7mfphCuaSZL4kPWxdgSPD
H5FGSbyZXSP+IoAZzQf4u0QQeUD2fXH77y10N58+/vt/sdn6/uMt9P1n3b9z2Pxb9fW3Lv78Gz1o
UfWnPTXf/tueGtqAAxnFZNwo+K9U7I9/31Oba7zBXen50pK+u+YR/qAX/N1lt0yUgvJ5xoZyHRv+
MaEkL0GUwgTYLem/A539r2yqXffPm2pCEesolL01w0k26Y5cwTK/bKpJgptOqmucqzOlvhGT82sy
21Je8TBpyqsBByWq5dJm+W70F3wcE7rca2zTPhMQwKPlyu8NzyalREHVlvwnjrBoUbngfE9X6xan
9OxTXVEVD3PBsQMiQtpUu6ydk2crR6LCRo+Tb1dZY0zsIIvDr1JlQmNiICzauuwnN33s9tedJJ2M
jCAXeYQQqyQIqGoedvbUuSCt3YXWrMmPpucmcf3ihEXYnF88VzfzhTl3ht6S2I6oTE5MzB1mxfxv
ACydBPTomTzwFx1+szny1tsx7lEX07rQdAURzYBkTfZr2EyqQEagOyy59o0ZJZzgKrOJBSHJ2Awc
St5xj7vfBKueINmhkBNT7fnPC8b014YpN3bqye/OUJBrhjJ+bn5ViMAMIFxNp61PJPY0goVE9Eqq
/DauTMKKsrbwjUo6mklz2EZFzdNodmKTVFBDmRZ49SNaF1k+KtWwRDiyIVlgd9nyMCYJW4WyVOEe
xkNVEa7mj9maZm44OzklvUeha69ZsWX3raX4CXaCU7q37O71uezxQ1EvDfiQ5mLt1ww6IDvhTa1t
Y5Mwcvuufa3vKydKECiTjjZrnQPL37qEBK5KYKD9QSxwkIPeTHh0m7HXT4GE7G3uNTwy2pMah+dz
4zlpej/pATkN1g0NuMkghvYE8B9ZGfRbkzDGswBwRUSRKbApcwYglOuhMln1gJTf1gBh2TJjioFD
hOBNUCexMRxH3cIYUCWiu8pyWmKvEmhIxT52nHramo4W3hauUtlctBlLDmZYI333ZtaDXczraLa9
4dfpBlJQY+4aM6NzM0olxpFisiMvKBu5VDvMW2YXFFKK/mpOY98KOLY10LunnMd5Q0sMbh3Axmtd
UpqZmwFziUmxPcgz47Fia66w2NdwGZn40V6FndR4wUzeMQxKXMXc2+FpjogoTfc+6Zu2f1K5lUKw
rXHFvxVJWtS0ew1d8pgb8Zheg7dtL6bRHQo64DtrOEdTTiun7tj4MRLBcrCvl3L14PeZDF87+ons
L163UR38OfHMLe5tQ+2JNJK7cyurqu8USDvwBmK2kn3MLiQBkTqqfkvpVJeczNQDMYEIxGdDh1gD
YFgXrncDUI/8M2YeQ16AegLJYzBHMQ9MVtWXq8qOusOM0c1OKFhngchSlHidYHHaN4MTs3tQbHOO
k+xEyvgoj6vAWwpEsQh6Vhnk1NoVZwsTK5SlyOysjyotp5qqr7Dvbn3m1ayrE6CfvWpEGtFROLtE
NUVOxgIghOhOldERHK5pEwBxLqssOUrbbopr9qFtehyFbquzZfLkWc8qeXxq2xF7IVXaiQosriNO
hkhl3qFc6tEM0laB53V7AsvbLMHYt1WSsjgU4TVSnQOHsh9sjhSQRRJ7wtY2zd6zDbqwDPj0+abS
bb2LcCpxryEGpG+Z5eqvZg7V15xN6MdlO1cvzJb57QVF4/XWiAdc6RN4e8ktVmh7hTgzAW8SwVcZ
X/K4idlZ8EnYFJs3oZfnexsd4MZSHcdXzpPuGRyu+KhthMMj7ew17eNhGmt2227yiYrpnrOZ95VM
dV+9UFivvzqxiPDY2rb+4sSmvjg6l3Dzmora25KIOjcr0NYXz2w9izFaW32EP3ObuYL6zMNorTns
abJMqehUCeeSZX7zR1EOwCdpvSIGMq3x8ClK822iiIdshOw972T1YqQUNVE6OWkApf1+KcPpeRR2
3FyZRZI91mt55GFUejROgya9FbBgGPVWhrZ8VUIRuTpGVqVAiugEyH9QcGi6Wm3r1gZwTL9gxeRi
w59XDE+F6cnPZLQzsXX8fr4f3BZJl/xXNAKc6MVjHCt1ckJLgQOrjNA/2mYbXg/4Aj50T83uZibc
kG602bUl6ICUSrvQ7iHQVDLvrgixqjIwIZyW+7j1qnM/YkvbKDVL6hVysrGDtDrYVBQ6WIFdFrS2
1WFSBb0s5jtNQQvnm8THl+02YcazaJ6kS4BQypJmqZX9Q6zReiTqxjTUKUoV75d+ti7DiNTcpoTX
mFBul6HSCqNYHmszae9IGzkvqcGRYAP2lfkggXK6ouUQv2blSl1v9BR9s3iWr0RMnZNPGxsS34yD
lwLVpcsfoU5kV4BkvHQPUkW/ddKLMKKMZgncJszOzdyUBMKK8QVcn4X+O+GZRAkrbnunaaPAqXyT
5aYBa7rDRDk0OyvRxZPZNSnNHGZGH62mlqbdZqERn4CFVg1CwGwIww7sIYXAgD/G4dlWWzMIwgX+
DN2ixFuCxpLuBzSASmDJdwbSH2X7WEMOqzdsgCAZQIlOC047o3fDJqDTR9FiWae2vWF5q3Gbxvgx
zVAEJl0A536qOBYVU0JqyAqr96z3ZInlaPJYmKVEaORcgHpdr05yrisXt0pnJuYLPar6R16uH6Wt
7eTWsZHsDlFXtQUopYSZlbTFuwXT+ylP/IRTkpc0qGBTUgNp8hcL9oNvVudqTciN9CjQMmBlBZYG
BnzfvET47wuJvkcrqtSlGU/yufJzWrhhyFcfsLUKAbU4gX9BuB7rrcUPxuDvk5Lc4E61Xxqew83W
K6P1Q3ZM80hDrjYIYcD1B4/AwhGk4BN+JBzq4sCaKj8JREmVBxlvWpOOdFw1865zbJyqruimByPJ
CbTJvEiHrWGnw21j4XnYcT1Fn0r10XyRz0P8VkYojBvDFRY5GnZSbATnmYmyosYp2fTCi3+0A+71
TawN+xZvtuDShx9OVQq+hwwf/QRKwhzslKk+xvx0h9CLwWlhMbogaUNDKhj/hTCZWAvRcQrZR8Aq
6W1Vd+CSckC+rEHrcvqTIzIFi1OOb4nKnUtM0RJ91TeYdutlTr2DBm1Bcx3xx2mfwSYPcSEBA9kr
Te53K+EIXRsRxet7067Ge9sv3Xw3Z1l4W6DeIL2WS2TDAYCkwy4kwSLDWhu9GkYkv7SIp2IrBF4Z
LsyUlzNFRvHExm+8KdkWUEuadfM1WTxtbzrSBfyzEMrpZo4bSUCRbGK+bzFXK7zIc4TPTo/l94Ty
ZFrMe4z22yFvPSosmP9+q8PJfk6rFO8TgaIy5+BYlcDdERx3flxW+aq/ZWNADyQ6hjan+ZMkHeYv
fA3UQzrJfF+pvP0hc7/saAqahle3alk+QLJhf5n9BPAxm2b2qQnDfMoGaMWGh9M6xS3+5+SHZxfq
zfQoLty07BnsbcYDln02JNh6NyG9wTRJGtu6rNhr3kU0sINsKBokVNCmwg5y2YCVamP3zZoHYjGN
cOIPETNC2DbpsDyZzLKfljbCc4ZEhDYMVUEoOhN1jdiAzrljE8Ui5A8ViaEpjzwEj7mXA9HcbP6W
Fm6Op9tj2s/ahl9ppyCK3hMJwUUVCTGQy3FFdp58iUm5oY8PcyGBJlwVc8GGPowi+0cNDYJRpqqG
15VOHm7m1Kx/jBDVIfQ09G1sNBmxZadZ4ExqdnuMSS0tIHEwT3VB67OeeaJ5Shgvld2FzJxVG79r
vxi+zcsY3cKcz5Y7sn7FsEGbHvGuhRWfKMpFz3YdMtXd7Hdhtc1phzBZ3TQgKiXs8EonVUlzZ++I
i1YhxR/CkpECb+2i+y2VddEdph4Fi4r5G0Foekh+JDWwhdiac9yG/uREWxJj0xX8JZ4rbTZOmLtm
OV53nmPle0dmLSyYOfmRlAwpNzjdxmen1v3LZKbNuzVMVK6nrM7PVa+tJhD4XR+ArVIU7JcsFdDF
h+wlJRwdge7g0gl6Nqp3dulb55n87lsBrqwN4Aaa6mB13vDmMsoZaT0H90EQIEqgsTdsXJpmYTqB
nhW/Q/1ASjdIPTPAmFcX5kCm/Tt9H8m7EUsqFKCcv+JLYWyUG6aXBb2r0itTI0RTFKHL+8LL6m8c
bxhJlt7Y3yhtt690QAPwYcjLrfFKA1DUsQxwfNuEqiD6Z9hF9pRNvvMkysp4F/4g6ZVsE/W6WF5k
cAC2uOwhVy3pPrLj/p6oJkOhku3ONUOF4msZJwoDhmh5d8GoYgRyRfvZQ/wd91xYBTU15YSfjbZj
1NwUKsomalfr49iK4TVv/Oob7YTKJZCFy32TmHHv7T1AMND/VZ6za6Y0O9othJefOkvq8eynroOL
qc5976JnENxuITupr9GY4mgnEsP8SDCkQlqR1IfcUW9iUHNUDWp9gAGniZm7qE1BY9OXLkcv4uhp
5eYZb/9csGHoqhdb9ezWwfj40a4VMvrRAkvUB5te5Rs2xZZ17nFbYQbsEyFx93fV8mCPnKY2ftQ1
EHWcTnOFWHNrbeETcaNo8oPsIp06pGi3ck0sDW3h7MLVHLNJ+sqtoYiyUdwV1lKF18z28RYzgbO9
e0aNIKE3yRSLt4kEJnspHEGGSRtcl+cLeqxX4Z1elsh6SdSU0JvqIRPz5jHAu/q3ovaboqZQnv6x
ohaAgtFV+6uGtn7DbxqaTesmajOtltzNlA2thv3fNDRb/t0CDWLRc2oxt7ZWesgfNn/AodJBveLL
OONs6SNt/SGiASSxLfQ1xtbAi20Ghf+KivazhfEXELIpHZrchDJd2+L10a72ZxGN9J0lkswBWhz1
GK3AIJNMNL3lvl8SQZ9ApPbh2CtzhyQ9/BD0yW7CrC4eEOSR6VMSwHDZy7c8XwmWdqQRxn0behpH
XQ6+MRPL1e9fVLdhq4s48FXsXtOYu+phnoPTVbVR/zgqFT7TNo/6O7Ad/0YnR3FVURxERwKiDU9p
vdAobE/XviKlsmUwVF/nBIZeZ+YPD32e2ZgQ22oLl/KpiUT1YozQnwKR10AzcWU6B8FJBnPM6O3w
rYTcDFX5Y4LzawS/fPb/Samo9RdVkjdUoYl6fH6M+anAhEnzqyoZ+4U558WsNuzBzMeFFeJC2R7r
UAN56q6aW/ODARC5Q3T6NhjXHWHAaK655wSRvcwZNISF5qfjEna1yVi7gHdpL8mDtgqqtSrgQhcp
bCV5zIhU/x9e/IqR+fPFoGyGyo6yXBP91vqLopobS5RDOFDY66ca0VSFh9Kap51jJLAJ00Rs//mb
Za5vxj/7hX/h2shQxLE75jxxHY+lUmCwhXPFJgXc3t1sZ3sNB2FjT96F6JlexOVVvuTnPLcudDi/
WHBr1in+hJfsn7+wNdvy19fFFoEuS9Rt35No4r9+iEAEppELXnGeBxy2hEV1YWRTeP1/8VtMy1XE
FhTE3L9cKjUcndZ1ay4VQwGn0KbeNZIh+j//LfI/eZOdlW4Eps4lFyT/cotLKNjs1X2HwmkPUTSp
QEytC1h0iWIUPsc94f1NwsT+RSAtPjOS5NDB5gqhVC7NVyywUCb8hpXfX5HSTglN4DgsMoSWnKUI
DoJJkz3Ml10fGw24vBhvsfCR3UNy2X7U35pyKlIAV1H9wDa+fG3q2CGAUWg8w8QIosRiLtqU/dhu
Fqst26A089MkBiunZ3Gi2Jrum3+DsDje/5wAWZJV5h8vWAgxf5r4/Pznv498/r4iodceV58FiXZP
QFS/LVeGYORjCkqi+R+Tl5Va/R8LFuuVySLFl3E5Wcx9+NLv65Xzd+D7bLf/mCGB9/8f/+3H9F+j
z+r3p2n7l///a2Wz5ax33v++M136dW1c5CxX65CJmdRKyvpl6INzmll0+uXSP+ocyjE3rohh2vN1
33MspWbG18t3AAnzGXMENv64pR42GBMfp4dlFl8ulodsw8gxvGV2Ez5zRBbf6Hmsn3Djx/REWBhA
NkI1WNtj4lblzoHc+r2CRCA3RL0dZD0rhkvnE5aK6Qga+pu6M9j5t9AosVcytEVus+3qVua27o8Y
KgW9f0Yj38wRIPCPMpy1+UIBZxgfdAvv7hCBTJiuHS9LTv7SFAKDMMr9E+gn7jYIIabzJA0ry3Y1
h5E9bMWfh+Eqm3aD2zlNGpRVbUrSL/WMtlDFRn/ClwgTL2X/bO7JJpnpfWvXCK1dNEHo6ikOuBJR
RK18nWZ6z7Sb/opsLfqhuarV7wb3XLNnfSYbE2VVdlMpWx5GbMHJ7WDiEI6CGRpRvvO7SRYLcTM9
zDe6b2fG4tJ1KBVolsHH9hknHJ8amjmu5qQuw8Bu3P4xhw2WwFcuPZBCzYzPYAN8dmg/qrDAQWxS
vfmk2kmd4TBy4MHTnBAlXuA59XeulOYHE/RwCASa1JfdldHlUHC6YGQFh7fpag9fOQ2e1Z6YoCqg
E0cfdkhfLwN9BRjTH2yBfFjkJlb6quq7DW2j+gELHjFYQvVMgjThFLkZEiL9gWExOzxRfrGIw5ym
zVW3FDHYv6EG2YnqZOSBmsPoqw9b8gdYb7gK9JyHDHaUMUyUJvhMwCtGkh/QpVt8ceDYiR3Dq7VR
mpgPbhbRIlWzGPhPkLOLzVDR5MVxqJgXEjkRabYIs9NrmzOCoZOVTm1XeZdg3sr6wB0Jc6gM++yh
AbWZcJq1syYY4awSuVbU8fnKEC+Wx9H/MssHxK9BtfCZ0IbcJ0f2YxaMs2shxHVuPAdSR8WH0zjt
gGpmzcu29cOpDiyPgyTyWO2cl6RJPhdAmW4AXLm6s5IikbuqXap3/MfjJTRjDNWhb6xDUUJF7Y7Z
Svk6Kat7T6MMLG0VF+6nhYeaYdnip++4F+LbOSuLJCBusDoZMtkjiZJkXEFeDmwRmM6Eq9LaTuQm
IyF5GjIWjbWpN00vmRfGMFtgPRlgpkrjxiqVDT0J6um8RRofT+liDfs80jE2YrYc3aY3JrSbOsEE
VKOdG5uuRzbFAOXk36RvZG84v8nZTElmdRuOivo9n8GrkaohD5My2bWYfZLNpizMGoodw9uSUH9i
kd8kFcZL7QzLeZAplvzAWeruXePlbHYuYq+5X+gzOvjTgA2Dv8FVB4+hzSo7CTpiwrCLcTF1nfFE
72ljBNjZw88cHys9fDKN9NWyCHtlWEtorD7b7rulN+JrO6+NcpvCyPucYjt7ipHsUNG47nEc1QXq
D32kWFDq2TksqTXkwYDv5DtUq+YbV8wkdiLLvOpIp2rq8yeH9QWod9vayClynoCYgWJZqP9zkGZK
cFyFWRqXFFSqzxH6ULshgu9cEYxEu7A5mbOjaOMSLZtxWntktNoxQXBpPeOBCrILl38+bOUwxYcc
rTIDXSbxmP1c1v4dPP8vip35P17gg8+y09/zv/3PL538+F7+7Q/Px5+OqPyE363TmJ2xJgn8GqZD
KslnM/y7zYNIuYnwve4FJGSP1WHx+xGVFZ8VHTSEzUaA2h7BpvP3FR9gJgdbjracJaj2+Re90+we
/rx/xeCB6mqx7HMUdpSnHDYXvy75fZu6YMXyQ1LBRwakOxJ9Mo4doaidYazSvRbfnBZAhKj9/pvN
0xQ7k9Pd1J5fvZjuMN1o1rmC6Dr8lyg0/efMTt5lUzG8XOqh3YKrcQ6u45qwgcakDDBkqU+XesEL
BYhj+/Mn0vREOrkHkpFZ5nZuO9Ri7XoMFzHBJqfZLuuT6OvpOVJ1d9Uomd2j+qgrh6xlimbO4B4G
ZArsTac3Vb04T2Ecz8/TwGOUZ8+HPZv8xFZZzGtpyT7W3SCvRwcjcWLyvWKeyp0f5uV1ThasDfMO
TGaR3SSq/0ghep4JRkxbB+bhKa2FOMq8/SiikJF8WXQ3VVfATTddzsUTQ6BYRdCZYmM4FXPCTAgc
5ldiJO9DwXBq/U5j5CeKTKpHVN0PinNnCqb8/Cqi5OwZcH93M60jVPoiKGpNMveI/vfuQoYCpiuz
G+0tiwx+/hnERZ1jzVz45eer9OYxuxHreBbP2Adhy3c3AwAc4RLY0pZHnmNSzpEmAnMbGZ36snnU
vvi9rWGZW2N3w7hYHJGRsxvlh/HJYlC07Vx+wuSqLz5VpHoTW/1JGEa7qtGmecBxnT3BCeYNKGKx
dzqy3KxY7jlaXziiYQZ8SAOib+bsZrQd2JEVV9x5cSz+EoOXr9xaXPZ9C0lodvIM9Qy76JHW3WlX
mnwDtDBCcgT0rY+i52eSXWf3wOqPkvjzw2tmbC+6crPD+uamkESOC7UIaC7rlJy+ufemzPmNcvwo
dPrOhMEKrEZVp/VtxePiHn2bPxlcDQbppnhfInwEg8EvhV/sfBH11l/KjpKTBCR8zNFEjqlsP8ie
Objss/k8Y07/ZsGNZn86nLNOjbflLMZgwBmw4Z8+M4u/NSn5HIKhqawT0FIDOOnY5A+66VwQA6N7
Y4CEvDS7MDm4JE9R9nsTgCrcEIaaWtyojhaBGlTiVeELsYuo9WJUL9mGwVkztga37ZnNbY/3GnoJ
mpTE8uHDQrB6/UbDAckFe2IHjI8qUEoOpI1oKsT97kYfIN0VqIdyCrfKqsKjy9TyQ4p1lNnNFWuN
7ruKeJZWlHUvLXS6Gpm68rrPdFR54A7+CqghC8rs0sjBy3jtzcgF71UAYGZwuQjJi1TYsjLnrhGj
fKl7b7xPbZfKhsiKQdrImTzCwI2wLI6+9KiMPGIsGe/nyE3PXPX9i44NgLCT3QwBRXLDtmqIOrSO
yTq6jGJvAunbOC21UeSv1nY9a7TOJPvDe79yYy6tzr/tkeIYAGVkLEVjXWfkuM5RjXQ8hnC+7Wzo
EIupAJ15bMSB1kOFzusPR/igY7MJy8g7JHIh7D+mzhmvvLyhEGN8EHB5943Xi2BRbnSR1wUzcIOl
/HrES/Ne8Gv385SrEwVUP3qQnoA3XCaU8zCpixzrG5M//+wk0tiW0TpJbtpHzBOS1ous1DspQmAN
+PF5haXey4FbgiwO3vjEsk+GFROXL4vxYjDs54ojyW3cm+Y5darkiQYyfUGZrM34At81bQmi2xiO
iFG+mi67KEDf1uyuPHkya/OpFU7y4rNjeulrB3MONqOlG+NHNykrRKrOW1vGG3ZgxXykUgsbA83L
3QU9oOGzsqD2JcwgqWCuOub2cX/UBfiPTUh35mZcmeEjadVLBg3GtaPd8F4QuQlEWA8wwYmib5Qz
4vtqQfnua+RRDHig5D/qOvzUHQaJ2JiOMjZdqpfR66CL+Mee8h8ReNz7HctPSg/L1FGVHGvnhS2/
Rfi4LBDppzXCHbu7thf6zPvfE5lpAaYwfL6J4SnvvcZrnqKR6IgzmeoiJkVzG0UT292w87bMv6c3
fBTJZbyEkMva3t+1WSQ2aoLoMWVWvosttm89pPqNqCyNWOpG35fe4m/SOAMRf2i6XIzXbAkXuZmA
63Or0LhAHH8pcJMzlrK0ZZ0IGzkkEQn/wDEHXjKaAwadAkCp6jGZ2TW3N2DpH4PdX2vgwxtsgoxC
DXWZ447ZgtgfTsKZ/WMd5lPHLaqqy7wo8E/1s77GjMPHwUh5Ept6kOZljEJ7SWSBIZ2pLS4oUzX3
sajjI5uSkarJaeX2h0SpxOC86AF0vDF64w9jjjz2AHADhhLXTVUXT23tL89kB7zLmSntekvIsxtH
Fg9hXOUXnVmi9kFJI0npjIa643AyH9ViqBMgkPIqnKvlSJXggEIQ5lvHc0pcdrg9LBq8zzS8rPzJ
tjkUvJCd4Xs8W0XFDYF/9qQH96JdGknCM/TxMPndbsJEx4SblYr1Lj1ZMbMoI4ruiTzO50iN/mXS
LdlHv6J1qlDN+LDKx7BgrARbcOTIYhXg1sghOwUOhnYmHxKmdrXXsFEY1rcPBUYMfwNk390XWTh+
rsc6GhZxsLbkudr26IcFgC9yV3cCUBXkBoNkPV0pJjr60Nz4hB4/MEa4ly2Am2fLmd6MubUvxTwo
JgB2X0KCSYo7Sm+qqznioQaeDU9kCCYb/EJ1L4VlR4E2MZtaTPVvuqq5IxsGtauOrwXh87vErYj5
h8yr/hd7Z9LcNpZ26b/S0XtkYLiYtiTAmaKoyZI3CMmyMAMXw8X06/uhs7rLmVH1ddS+cpm2JYoC
73Dec55zGyTvbL7+xtZw1GhTFaT0ND3SXFQG0N/GbZSUAM5sotDudK+R5oWSQfUODMxhnfguaZqb
DGmVZz6r8zpueIg7TxxGF4GxlLK8YKa97yw2ALomnrAMBNRqf3CCxdw0pcmm9u3vfmTwmMLdDGWr
a3xoma8bBQ5gSdrVSl3cny0zv9qe9EM50z7AMU1b637fvUS0Hh1ZaarQGC1jUyuQHaCBh4+F/vfv
eTbi/yA73F5Ip017HHji0lWatWai4T+k0ve3BJYUk+lk+cIwcGhHfXg07C66NGaq3dmVh1m4MePN
EFtzUDbsc85ImwrFyTV4WgBxZg2jcdAKC0CMNW+y2bE2clTih5XChYdkOTfhbE32qui7Z4fNDQ78
1Eim3oa2F6bC8cuA1xz51FCABdqzCea50p+9qXR+zMZUbCoOvmsb80zY+Y4M5kh1WwV3m6i1O22s
miizN9zaRhU9QkM+HRLfJh1GS1l9sOz+DBncAqpYOGGH8n7Isqrc1nV5LvASrhroTlt/AFetwU8n
09Q5z1ZffstacwwX/Hxh7wpt75Q9Hll74nKZzGXoFQ6EmsKigRum78rRxiuUv2xj4T/CQANr0SDU
HGg3mgm2omVXV9q8WWAGrIe5x3ZYtXzQkiE9Dg2gvEaMaufBg9jKOUu3mmj0zznJnS0F4sh+nTWH
/ExRQOfVcrTNYrmnWPu9ypvmR+yUJZ0q7ffOt9KVoPfrSt9LtbVo7jnVgNfXaD930k4uxCbwz03J
uMq6Sn+cdeOCm5OkCtSddU0if8vGANcGSQYeta91P/xpEW8Fu9uPKJn9fSUHni7q7Yw9nFnP2OjR
TJ7MzjXrTIuPliKE0PTH3VqNR9+r270rCuueTyysi0XYZ0+22IIw/6avutvlJxuvyR3FUX2Eldee
ngZKWd5TSYIaA3ey83Ej3asOyjDBt+xMImc5el4J7AWKJ5iTFOEHpI3RPNiira5AwrQ3A0I6NBTb
ibZIA0MdsqsA0xM4O++HuNEeFB9RDOm1FX1Q1BXtOBN2L3ak3/xs3UKte9qJZ1we9iX1nZ4gjd1s
bcfNilUPdZK2Jel596Mv9Z1LY/AtRNo31yHBsLSynGhCXqsGtV/oNPiwnNL9ZKNY9naKyTronTi5
dwZz2fY1T15ieGpL4bP7QsRqDEmoQLnRhxoetV+U+wrAyH1qVTiFzaHT8QN5VnZOcvtsaDfSh9st
EHMaMLydTejIzcybw9kvHjSDqvWegxXJX2+VyPI9zygbKbtuuHEV09BNeiZXjj8iJUJcmWP7FQDp
TFzceC4pFFhX7vDZ8r+AmOqcGeuZRZp9+qQARYUTgvClXCSQGpfuKwndsWkHtUPiGk60mRanIe7f
c1Ua/KaVtpmoO6S/jcN6xEP7OfSCCrhyeHAXufVITK54rS8zdv61OeaHWDljOKjSX3tJo20ogiPY
O9jnKevSszCX8SN32vyuSGbxZVCfcB1jvN6+maWBqlwOZTNFbZOllzuOP1diTN9ptyFDlA7xeeLz
GiyZGgFBRc7BNez4UBE8DHNLmNTJNqepJMircykN2ljUW6klC204Kt/N7mC8RCRtUXJnBwwWnXSo
iif6dz5ZO4HpVIm3K12xqdsEf7ZfbgrNf4na8imf5seyt8sNtrx8naXzEyGuAKv0LexBPxImLvzv
mXiTY7Ic6zJz7605qp61iZSp6Vovi4LASr/ivbKhcs6OEaHEjstZShx7jfpMpU00pDQ+JnqLCB7Q
QKg84nh6S5XvWGYF+Iylfda1ujxl/Gz7mvMuMKDsEYkBFCRFcGjW+Sv9WusB+f2CgmAFU9p+zKn+
Ud3OUqlmPbUTu6Qf5QEkleSQlUi9k51/1/IqW/eG/RiN2hfeccox60utT28UAgykA8d7SO7LCqv2
fIqAaB+c3iNc4UD3ujmyF+KQiLnRvFKkp40BCw8nwNNICdYqH3KX5abJQmjA5tnK8HM2i6gPecxp
stelzWjUQ7AQsth6cYZvXzNWgHwquqemKNQTfQ6B5sn9AgB/TZbrZNlD/WOq3Tlf5UofVhlc2sBn
kwt6f5qetNj1jh7zg++Morpg8Ow4HIr40Oj0BvW+9UNn5zqM8FBMW994RQ2nrrQvfkMdQ8ZZeI0M
9DXTir0fZ6yivZbh7qLke8MQgOdYVcfM8b/XYnhcWgHK3jfPKZCsIR2+SAf8oKR8UzX5gbktwTvO
FNRA+7gRomNas2+i5NwRht4WyECalR2zBouW0MsyJKJQbxjRveARPmp+9tylcjwLyBIPENY9DLj1
l5NnGzxjn7a27GOfNvcceOea7rw7peRIX5BsKShIhrA3DDyt/reU8+2aOPVuqOyjZJDCvZsZbO1R
aRAh5xbQr1LmUo8Dm2TOAwHDUHvLPTxKLQmJbTyNr7jUgxJP2GrgWhg7gPo0hHhsFfU2Ei7NI/Cb
TQ8akJWVClAR5aKeOU7rxkt7rvTLFw84jOSMsiij1rdROb2ADCivFk6PrUYBpadbEgGgeNaNeFsW
WhYCAAnYtl9o+ThJVUwHU1c/0efwMsj5DWN/p62Sznqi4uxbaWnLVWb6G3RvlquxezW05lrbxs9S
lN8a3/8Y5/grE96JOc8qtkCXWf5XXBh7T3LuNgvTXMUk0aGJJQ+L6t+TuhmP4Lh52qSlNpSn7OPe
aV9x01KDZRj5pdcti7OiHp3css7An2GcKmJc+BERiyAnkUhTU+Pv2PHQ2Lty3oqCmbdFKLZhQF9Q
ojfIEg6mtW1rcSirmFud5uyaePmsIGGveTndKm+WYxY1b7yZj32V7DAS3VVeAkOwGDbKKthW1T6N
wQHDN0IRyNtiV9wKVYuqdi6VuvnrXKYeo/HIPDZGZxo2OmM0Bka63NSpv47pPMNL+BaDNUDz5NpU
uPd9EW0hKRy8wdljlVw53CpWPpkUUlKgCpP0pVgIW8+YVEsVvzuZxSZCFsMrxy1iU/Ts9niKqTzC
+UMgehhcSVVWddXIxPN52PJVHhzwBFjcgeYu9p2Isn0/teN69opvGUCzQbJRRmAkdA7SfqOCOlue
aa6dcfumWhBTihh0IrmW7FurNJ9fzCmh8CO64BzCfGrp2yJPCMrm/j6JgcN5qQJ6IeMnUlg3+Jl6
I2J95D6MT7IqQdTXRrKj8IW4shlHK9m5PL1JgiRcS2Ddy1K4723LJCcnELvuXc3r1lpuyodODs+I
hMa2wzN5IA6sA97XxZbe0Kag8jLrXhYQWRY5vhoBw6+AEUUe8xHpsiomUKDONdauvaqBjQ6pchEc
IMHQGkIfr4U0FOIKMw5O3vs/C3pR9pFLsWfJVPqjr4mfUNdaH4TfDWdOqtXnDALy20Lcdk9RTXro
XZRhNILJIcA/ldWj2ybJj6grjTckNrGjjcm8Nx2ve247JrUZ868VJkCda3kfHQo3nw9xLQJF0/zt
JdUvnEywUpKLCTCScynloBrMdf9zMbTiyMfW3hAv4A2egWBFnjPdewpiG+tE90DnwU006h2uconR
bjwicqEBse+SLzI6z+Q9QpOR030CcGknpOG/5ko5a9qU8TcPSfMCW7t66pIif4/nvNlO9MltkoJd
yRp786CTfrkOKR4g3laVbgkwAeC0ZNa9ZW0SBXjFPEBQzDE5SuPRBUikYwrqx23RusOJ2zqCQ0fu
kZnZWwXcCMj3QFoMzh9m/NSOHl1T+oE/NgaswanZEXsqNkPi2rsmK6GYzcvPOc6iMz9StM/qbthE
dclJQ4+58Bqxnu6rlMYEdpTuSOsDrdGuMvOV21rGq5ONw5lLRxUmt+DWLJAIwJ8gk1hx/kBwbH5M
6jreU7tZfCrVuw+J3b1atk21u6u0c8llMKhSjvHY8ZeDrMyr00bJulJzHTjUJsLBQtFoeUHvUerN
j9KmPEb25Y2oMk9bjjHqbUE3ODq1BzjbLNudaG7xh97j4Ooa3bGNteK5oUJjXRqs2LJyEjjjhX5S
7H+nztFEAKvYOsQwzJhYo9wou9uT91R7Che9te0L7ZLo2fdR0Gw5O+njQkxsVcrm0hd6fJK6ZJDh
VU+p6M2Hwc9MtOaqhl7TU+u5opoa8Uu3+yACorayRVbtQTmlgcyX/NQ6dc4y14PvKBsj8LCAlKAF
4OvxZesfy43mR8vSzI1BaSHlCPxiW4b2h7gF/6FlvA88mWEcOQbZEokNW4yPYFz6UGV6w25O0iEj
w7uv3DILUj+rw7ijVVnhV1wRZaZHoFQVWZMhPqR05L5PlMKy67ZZGN9WFZPB95lCGtwNAqEaQrwb
4hbJNlGl+m3qm8AWLLabeLLtC7GQJyXn+aGntRA0AeUj9VwNnJZrSmGL6NrPtrcBJQJdHAf8oen6
OshIGYdZOnILrUEC0Ek0hhlq21omuCaXLEkfeHL7TzKk5sq5laoVGTMTBjZukJokU91CPZIsHB77
+hb2Z3izLpKx+pb7GSNXZ3LBHPDbQLKuIePQvtZSOhAMltls0VoYmziafWdgxF63UdZctVxzztFE
ApfXc67hiqAjOtY5qyzYvV7+XbRjsulnUexVBElA6i4CCncusC45q6MvDnx+TdwiOM2HnK5NU/Zg
UCAKYS9Nio0dqzeQETggoVScKBeudmmu8i1FAh8MpqOgngu4Y6m5xMdem3QKSvPhM846UidluRiH
eYAlmAi9PdR6C6CNyt0NB9QNGlcIz6HfmEIZnLerhVauipK6svc2WqzZYQVOZe1EEZVoqBBHREs9
NKCsbjI7/zmAVTr2WTLtqcsbQZVmxgcoEi9sbQsCGu70dWXD8W0d9FmpJ9jRl2Y6DJJCNmckp9Oz
NmwmoqqrVmtY13Gsn9Fg3OfBEgUZUGkS0+66UDILWsdo7WCA8nWDFe4pH7MeSw0zf4bwfAIzrz3M
swUxuyhVsc/s4v1G3Nk2hU7XHX97bemFFmYa/QodkLInMuAeHKci2hDTOyWl4Gi/wHdYxzmcZyLN
E8Dkkk+6q3X8kJQ4r/wW/yn7k3M18bQS+JQdyWcyuukjFRTdtgbsvCpcP90mTmlgz6tldXVzwSTK
spxn8MT5xej8Zactfv9D75Wkbn0Zf2qKSaahDTdwTMFQLGJieJ7l0my7CcJIj6ZyT+8saoXraii/
1FpkRmXhA1isV4MQU6C6onyhoqNEdxXFi8PNJyh09Gdepn8/p7d8K2mGQ0krSQDOYngemuEzTcv4
ruw4y6DrO+OLHLTpTqZQQukD+fSTX1Ncvgi0DS0gEaenIO0G8brwEb/XZwCMeWu0r4IQ271F/IFO
M91WEXTKrORobuX6t2aMzWBqnOGtHOexWcMpsu21ohCaByKr/ZV5y97Gifc1cShCb6UHFvx2NQWd
IfsDmeTpJWt7MI0cCL9PSaZ9k0Pf7yov7g/KIQ5CvLC8Gj0BjlUshHMHpuNrhC1AAIRZ/FuJ6//s
4mO6uNLQD0ZOrwZqMm+m6eusby4yR8sU8tzGBBYG3CIvDOe+/JaJbws9lOsmA04x8Q7EfbIwAtOY
6hDVMD6FzbfLnOlXo0D20Xj+eMULN+6reUb+0qB7NebMRNnSOwrKdf+eDqZoD7cD5HeZtuorTvqO
pPk8ACyYfI5XrklAq6gwpxQLikbCo2N6TN1tYkzRWhpcrNuZ/7GeB96iKYHFoJcd/5paiV2e9M19
YvvmZfBFtDdc9FTFmry39Fa8NmaLKw5wb9AtlgSLcvt5/YE592Ko9hVaKW+MKm6vrS46GGbexIR4
RBA+L2bJNRkGeFmshrb4GPqRPqCE37RwE3pWiuHTJtaIz7Xg5ecDAErG7PJQj5q+zoSKd7ELJ4xF
1b+viNKgpUXlsDZbUF+AU63+UzmwprQr36Y/mjaUpHWc6t4LVlgnqBlagwCnlrDf3t6Vip8Vhzxr
VwBeyUH+tlB2oYUt92L0mMlZHxToYhCoyQWoLdHfzl6PRip2aH3WqrQw1AYLgKOwvs3KaVX5MP9E
jzU3DFmEtEs0qSBY7eOKrN4Ys7f2Q6rLeDq3ReVKjuvii8Z15a+ZVpNMxscGIzEqEr5pZMxje+dP
MvtJpglEmJ11srgUNli40SOxcszmdBEhVZR28oCjybxIwt0dlm7dMAKMCjVG7aqwO3aTpeC+zLog
6BDCNPxCtmqJHinyGlSgeZDZUs902TeJxFGsNGrsSObcfpqGIZnI8gmauMLfmG5kqsASmF3XvuoU
1jc35bt4Wbj1sJuCf/hWxsvofqsckZWbHF/CyFl3yI8FbACYtKV0eBD9ngCcdDP/dbRzsz0zpnlW
Jn+yjPSkvJfAnpY7gY/Q29KqqQ4e9GX2tz7SjReS2hrc5rzSm70JmW8OxiJrgSCn4nmpWXZXYB/s
0CUA9qrbnf0+2EN/p42DZoH8jU3JODZvBDnIuHChjdcJOkRTXemf0eEP/6LjkYRU5s7liTrG2HSA
UXTM4jyPsWdw0/Q2ftHvukY7LroT0QqtL+0mUdyLGEES403iOt3ORendI26zRtgzJckqGXvmzZwz
vIMQciq+jV005Vvxi/bnd0mWhSPjj0JtkT4qBqJ1T4tb07SIlZlTwLXIJ7ODS1watC0kvyCCHq6F
cVXDGYHhWanhnPAyflnnquiEVuL1axt+xc8I/zfy/UjNCNfoOqei0/WLj8LGxLuuTbP5TIipWBcz
r+OK7rFEftlLbFy0huTfyuWbPfjkCpuN9Yt2KG/gQ/0XAzH7xUNkegobMYpkeqEoOhahGjV/OFS8
aq5bN5JipfccXOGeIdTfSItiMN0gITs9rqzahY9RxpTGhp3Jwkw48JY6HPCvYe+Jx2Lcl2CWQDhW
VLfxtaQGbLGbGHV8ESnGitsyr3btMQ34/K19us2gR1ApZdFRvvE13bmgiHRbDZjzyahVtukx46wR
B7ZLIvsnTskWb1qf/eR6UnWrqYsUmbk55GjnJJwtihfOaOcF3aC1cmRjGhn3wgA3rdmev4YzOazr
ZqquvJsgYbv5Fe6KR7fAfHXrQV+nBRI6R5B+rSnrB/NIjr91/61hJz4R39slcyI2maN9V/VyA6cZ
1x4B47NVLBaSpZPC9XKLjxnjAnlYB/X6OCGCQA1zopN0rEdCg+U6Fd5exJEZ5DY3JBt2Ark2k3aI
mUAQqkdChVXteiRROVE1/XpGSmtzLtkkYvEbN5tFKv9tditJWRaVkQsYOTolfOtpsdlkyYo8EURu
8KqgqNexhzLKMsZ8KnSnoQ/1uPK+kemA/dEY3AizSQdzocBu17MZdm2OrbYuWRErEu/ntl6qu5TK
4W+SEcgNzdIVJ9lUzZM92OU5mePnsuFwCKnrxUehHSNCTCOpQZHz/sLzJcZw50WuVyTokQ5ttnCm
SXS3plzlHQZuwMdwpWtjukc0GA5LzSiS40+6pTWPMsOIDJRRHEFeX+2yDIj234tF7lCM95qu12Ej
MrHudO0ecaxdjzXni7Jsr1FksQ7kLuWimLCp3VJw+4rWf6B0MmL4OW56a8GgPrsn3SPrriXGReno
uX7lyA0u3HhdLZAbcEp/LFnn0tY7VY/6kDcrKSdzPUazuWXcp69Rgo9q0vMtVlsiXjoX/5VDUH4F
+ADPa7JwIucKpAfxnMCUjuPsvvGRPJO238a6zK4lWfS4MRI4xTe0YxFqqIP7Os2+CVEGI0CZHTIg
ihbFfMXBzzwUPmh6L8xKx3eTPrAjgnmLQpl+02SSHysr/255ZvIwFebbRExs3Xe2FvojGZJ51Lut
08YhLe8b2Sy0E3u2g72c3UmPHoDuTaFOEgsQyLBsZWapn74bfQJVQ5GqyjloSgaDcNFecgbIe2iB
3h2uRES4JSlORZVrt4EjbI4u3kNDmzZU8ZDjtJkw+oa5fLIyQZnBs/TuNLVBp0KrbwrkF8qVulXc
pE5IodhrxEalpqQ+Ca1A6YjfuUe9gmckKGxgQ7HF+GzbRoNYTnh3mQdt1emQaUTKwLkX87s3cWm2
KocLQCZ+WmZp0mNQVxfPwAFNAhsSDU6mMOowlgzTRDrby97dUid+XlvMvEyFQ8emUczkfLcmv/7I
2Oiz0FoOFdTdITJmgDrn5Zzg0d9Df3/WhDux4WMjxIPDKEInxVznprsVFlOM2d6hfmjrehLfMyzm
27TVuD585VRttZX/A4ASSGkTrE7HKr0q46p9IoqP18NId76hhcSUN0rvUb21w1w696bPb72jnmw/
1xah6SS6lubwkWWPtZNdco3DUeOLAJntCHLgTlj9EMyZdm/GEpx+P2OgscoPty0COITnrqujVznU
3wi9hnPaclAcGbc3uht0bRT9GICyQJGan1rbZB45P8BpQdby3IPRtncJqduwUgXchPw7F+HAk8mX
3mfGyneRbYTvExJGfqPSbZNG42EuLDppKsvfkvrihO7Ul2yysw3uFHheJXhUD4pu2GXe6yTkawbq
BA4tRYsrys6hOIjpNLU6r3HwN86IS6ZzzfiGo7fPdHnclzTzXUwnvTh28ewBWUwykQYaNeELghTX
kIG71vDhZ9S2+2Xih7TJ3tkFGQTTbZ/rPjn0LaXLMPwsDn95owGU76ofnW1sB0CXqwLSCvOeKrlE
PaRfM3uJ3WZrxRIXYX/19frYGdXFTccdjvYAtWRn0baR1dI5djrhAzABFCoaVI5xoSton0gPosSo
R2R/PdwYEW6LhFHV9XPiUcxdiejaFmMZ1rO2WTpx6FX+MxvMu7ymvZ5aohXQsSzINGfA7M9TXyTo
/56OLyabPowJYnGNnB1GVm1/t8AwoDUm6Ro2C7aSjCgIrBWX6zUoFeZ15qbV8P0jto4Pvoqt/TBS
5eMbPXZHowG83gwQngJYrCdH9cZdB5oWu5a5ROuYBvBxXhu9bSdpMLZzX9IxB9eQgU5j1PWRfCaP
RCLwwugUGoZeWu2NJLq0mGwuY0GRIkiD0M95YcXIXEuyxSyD/VDY+QvgCsKyeHV3YO0pZRBs5Vzn
KCO+iqU5tRCasFTxGkmja2uDltw1HF001ETtmV8OF9FagjJwV7tXJCcsqjGZ7OVy7Sq7OVWl552K
rLmVcI9XiJLbhVE4d4m8DfRcCSrtB9LyXQWFqJuoOmjvaCh9YWujtxkso3mDCqSFDtSrNpxdXvc8
BKMor701WvfNQEkWb/8AxTo6ZTHIMZXuuJwwmkQZyqkbTJoWuoH8QJxm1pD1xloHDScWTwOV1O57
dzxpfYsKFJ+pDtzXffHCToRfDa5fWT9LwFYB/FRUGzg7MTyGyPsUXgOJSDm9qUKsMsQQhJXSsltl
J6aT/jlmHHpIYNBASuBMCEzUFp+OxTkubcqv3Ge7xHlSBmWVcnKHYUV544wcNedRgC/Xp35eencj
I7NT6dH7+d9owp/hw1td3b+PJgRZ+lGr/i+leLd/8WcUgUw89n+SBkKQN7BN6/9FEYTxh+sagNg9
ku+/gvT/jCKYf7hkE8gfClIM8CqJDP4jimDof/gGFyUSi7bvQF4X/0n48K+h4FuwzPENOIgkEHxB
8OFvOVowtbFCAzBxVIzxDgsgSSC39Le/vR//iDz+HnH8l9+F0iTnFscQnn5LQ/wWcCRlvfi3QBb7
iZhPMUdikvGt+Wc05i/Byt+/i2H+/fsIfh5yGoL3x+T6dUMM/P59iiFJLXMkz5irnpQPeYbZCPCy
egx9lNehMbgiaHLaXVaToAolppiF6i1BmwRk8I5a20FVTxUYGicsAQzUZ24TpnVocmjjzD3aiTMl
1+4xxJybMtqnZ2O5XQ0nPsu2qfYiM6J0tyyT2hruIlCj+cjOCk8alwNeytBJHBoq4uqB377h/iut
aG1pwGRXt6vdNcIfVO10RQoywAFMyyfWH+sHgADqCWFrGls3strbblHBm9NUnl0i5BELW+Q4HUfX
sh9sN/XSC+W3mF8wdoILdbL8eRiwsIdEuuo7Qeqg2PRxg+ERBRCMOD2FzPpHdTsGMwxASmh926MY
kQXGI39FNowLgkfokyogQzTAOXTh7KYoiV6qsR8YpZi0Km0lYSsZpgVc9a0qnVuYMkqr4Qj2kZF+
T/Smgjo3x3sscEt/Gu1SiHdR21jmHSYG1UvVCkn91CKaHf7i+T5KdeZVRgtLe0UjEEZW15zxMLag
wN4hJvjvHbir5wom+9dQYoviT2AtxEzTvqe6sn9ggLC+hPDt6k2jNghhs5ho06CzzfR2hMnam+WR
2dzOWIxxDHtvlNlOmgDTHjBpMfLFEzegWDbQ0I+AoFqo/MYkYXgZjjK/9wCwqqCG5oxr3+xFDFKi
AO2s+w1C+wzuIqMNSwGipLUqm/bA+ilyYRSkuwTPMyDeqzw2xldPeSCPEzuv5K6RHAfRB4b/skz+
kQ13CEz/++WZrfm9r9uU8NhWpdXP998jY7d/+uc6bRis0wbha9dz4G1ZOovHn5Ex+w/H8MwbuES3
BDce458hceuPX3+bPyLFbdAu+s+QuMbXc0BDkzsndM7Sb3r/yUL9i/z7W0jcIqkGVcUBjcfK79xA
w39Z29LJF7KrKE5EG/ZCprGDs2VAJ0FMlWn1qikt+87EDQIw/jQ8JZNqqmlb0nzengvJ4RAgKOAV
7vPjgoHeBVoSRoOTv0IhB0Boj/qEs9XXFJ1DuvZuN7ZeHAWMLrC7xFK6YDFtTYU88N6TXs2RQ5Xj
KPoNQe/2EonchzlvemrlRtWiQq0wZLKJBDMngbO7OinuFc1Kk+TH97/9Nv/F5kLd7O/peYuVhl+b
5d8aTbDT/X0Li8Uy2dKmTA3T/AE2sHo1DFXuJ1wnHBA1Y8vo1yYhXtbxt//5O/99u7l9Z/L67Ipg
0/kN/430kYBEtvi58DkiGjD46+9mYjf/H6CGd9u0fv/Fc3LgobN5MoksevqNw/P7psY0Zm4V7W3Q
d42Y8zD3vFW65PZV18jhWXuEa5ZYt7cpKNQGfbjiIUxSVhNNqTzsRrI9KSdNCe99NbcSK2i3kLgV
GmGOVc4ImTqOIqYcTOHmkJtyFr27MiqXcEgydqLHNdO4zwZYNrXqW3BPq4WgMYzHiar5ALdCb7OZ
WCpwh1k85rIWn8ComhqMnc3I9yFf3OIBE/701jZucpcn1EbSKuUwJydttGAVMfV3S3drCmEgxyGK
GDPg1NrDCUk1tPxg7yt+ympgBq5Dp2kO5Y1zFWggT7OwLRY9O0/wH5ZA1LB91107kNFthN684VIX
TcjW2f70HOzRUFUWzwxJhJDorVGIyE3FRdSv6xk2CPaCopuvEU/7vR9jBOWmiFkqFNI0Xk2qz6N1
pCkD/0U81D9LZS7TbhjpyGKAgL+mlD7cNAyXCbjZzEj9AKUoyo955AArHJdigLbntQb6mqhjE8MT
kejIbj5ovae80YRG2IX/8wN6Oyb+9uxw0ALDdDtzccCDQqY7f3tCtaVOGXh+1sgnB+oTcKNMPfCZ
xDMmhP1htTSyQVbQ67cxycFGetZdWRXQGpocxrSRxH8yaP6bXv7fpst7++83oUcuCMn/elSf79Xv
28+vf/Xn/mPZf/iCSZeLJYUBF96T/7v/mNwghMd/LpuN53CF+P2eYEK7IkRvgGfCfM6L+Mc9gX/k
35ZFkCesGg5H7/9k+/lbXpmbCAMil7msdwN0UVXz10WIwW8yIT298WDrT3YeW6QCETbrau4DU0QY
+dKBC/1vb9G/WNkx5P3l+eV6wlvCgZ6HmMme6zh/O9BzMBTWXAwvwMqqLFS5F0/berajVyGJmAAt
GFgMmf8UVyakI+jvRLlPpsx6LPLLvG3z2rKp8dXTYqdR8Whspept82VyMjyIptNNn0M6pwcX652+
QXfkS2RGk9lhp/opJhGnTLntMBGc41oNrxGzAn2tzXNrn3Nrsch9gKa8xDFvAxhqx2YKguhNB0qR
ez9Agfj52TKRObHYT3lNJwmvRaE+S2lrK2ewteKrT/UuenNVZCFTZykjlg71Mplo5GxozmjR6arU
TfcLv+Ku2HtQIZ1XaBSU7BixH+kNNrqktbNAeqbyf3Cji0BqLSaWBnRm/WMcjeytps2q2k6JZELK
uM86M4Ed4xf+iHWY/hR/0TZtk1qsU4rJy0oYmf0I+GB60bzCTFAQuoXSywRU4gY5qKWaFc+oC2OC
ljqFPzZppwcJOdvb0EsHsBREXBcwLrvVwgoHR5i/MIeIx8lOtwin0rgl37UzsHx6M5U5WSw3lY0H
Qe+widJTN5YbY2mlsQO5muDZrxnuoMDhng5LZCK2KOYwpD+7DpPCVaZenzwlbvlhtqOEQztyfcEU
NXarsVyc72x+3PmyLIYSFdsK05BLuK8nZ6VwBxtL7+Fs1TB1rPHDUxuaWwZsHFOWOd0KmCJwLZbL
Ss0Ggycdq3pFk7khZKhrCrzjbFrpsuqnTJK5TZdKP+r4xzYOab1nKDLOG1b0mVICh/dtW1d1D3ZH
3TbSmlm0w12L+iJ8H+my92MRHxcx870TN/upxrFko2EHXflFEsXA0u3kZ0dgTbC5JOaaViuUPbju
wB/JDO9kbRG5AXRMfUBEWE2tQe7GBCDoZjsRyaQ4bf4/7J3XcuRIlm3/5b6jDMoFXkMymGRSJFPx
BZYSWmt8/V1gzZ2bERkTNPbzdLe1lXVXpQcAh8P9nL3XdgWughQlpIV5wY9+mtlIb6Ry/PpLN4cC
tnMzlD+DJiBiViLNvaaFUH3kI1hVu34GlQReGljwysyGQR2GHMlS5mIAXI+T43M8rZgv1OaXMK2p
NINtmviLPKcLxCMFXCz8nofwi1ZaszLHjLKcFsUnF48hX2qjoWpWx7xNOknIMxD05dZQb9trFRGI
SN5Vmezi0GyGNZp1tbfqNmDgbJxvPHi0/kJF5rOWOgViWa0aVay9mfFWnk9ZD362BzIssyMKcckE
13OVJQOm+mzAprUKnTGBZG5y9qKt1tVP9IvLhzgJsJlERj2T/Jv1X0fqcs8F2cyfHc9HmjTacXcv
LB19IF0+fz9nAOc2Uz14v/u5QJvP3UWCaKHvgESLuveLy0kZOWsq1XvOitMTuWW8xLJvvUcSP6dP
STen31wgSgBn/BZPBjxoEod0n3JanIjVuS+Q8ExrjZEKKbsxJuCiAbSQVTo2WGDI6gosqMW4ydae
1Yf2FqtRYu6STpPYDk9BwChPfYGdYYv9ICKLmJflQyICVf+KnGmucNLO7a0HcKldU8S1WzDKWV6Q
zYFRazUkAeL0umO6r+1Z1+Zq4VETUxe6xF7O0xRhPS/RYnS7JOdSb4OaIJyfmZJKXDcBek3Eq+WA
Y4YoP5w79DbHAS2eTa4FU9UcAxL5UKBB8l9rQfF63PVdY3ziIbNrm+ueeBNke6Hc0tWk48r7ZPfw
pYSFJEshS2zaHcZP7svOGBotv8vOmMO9lAASSPYpIxqe+Lw0ySF7OxCG2Mz4+Jr4tqAknNM9Gdp5
wadazVWY42JN4bzXyCTdEYygzR/tOC2lfBe2FVO+x/m7B0Wj6QXaM/Ry+mi4w3fSLjC1Dx6C5Svf
oJtZr72wkOjq+UQRk5E40lPIdEF8bWedeaxxIZBys75RxJ4Mt4BtnBQWUNw08ilAlKBB1UW1ReZv
iB9pX0qZqHw9pXbWP/l9EtpfaxOdDRWa2EmwaUG4+GxFQ/N7EpX/aQB5QoA954NfVCtK+5DT+a9W
KjXp+E8QBfa9H7p860RofmG183/PzRDeILzOfseJrw9x2+KnDgzqHUubB3dVXAjFQbL0u1uNyDve
hLUz2gSi5MWjjAiXLgO0X4ZJcBLQWokHXiVsdmECEL+YjVxwXwWQ4f0Z4j3xshjVN9TCe7UyemHi
5qtL8yOLR401ye6L96xYKNWZvDDKJiNsDrWycLfxESLnGnUk0S2aDvm73ArZo6cj7dRVpHL1DaUs
jS2IFy7v/uiQ7iqGgugmSjGEpbhdx+udZOZPR4f1U5ebSwuSDx3WK0R+j8FYpKhNJxszhu2U/PjZ
S80f9CaQeXtlGnzw6sj+Ps7MaTTEAxeK83Q023VlEPK2H6VGPl0iOoKAQJoyq00Yj+R4aP1pTqqW
3n4Fj2BTUijDem2qqUaW46C7qhtC1DcpsKxmCyGl/zo4HJI4t0yhJgDGJTYiraoMK40V0s3M0NIh
hWoWuICRYNXzInoZq75QRE0ES4qFQ1KIWDteYP9EqQ4yNwZm9i2g3dCvsoXkvB6DBC2Sibki3nhI
im1wUvOSVFG8iOsSUgBNWofBGrksyRCj4aDfYwmOwIY5hfnOw90OGaGmZ4jKDIkzFOaolLcZcjS+
QmVMJ8h+USAqPUv2a8Yydi3JLjzEvWt8TgYHXa2YiTfZzLXGsyJH16q2Lha06koH4SJFxENBHwkg
WYsQATXNwr5DZaaHqZpoA7EwAUFj/4NBUtUbtyEt6dBgGqN/5boKqdmLfpRIOhQQGTCX68iMqivh
wjbbkJHnERvgd5J1SbPi1gMonXUY+z49pxzpZ9IaloXJ2O+dtTRCZmovlC+uAoGza90Q5fh5GMqI
xdeOwICPKEx/dq2B13q05n5B34fTRN4FAXwrMAPuPQx//dAD4KYIaSJH9RaJsgyAyGELMcT7xgnz
Z9qe+K5aydodp8n8nqk5PgtLhPYOifdAjm+bGthjenVnjhLihJiC6FfZzuP9MAujRb6bGJ+5cqmg
sAX9k0GSFF6rSYl2bTWkx6zkpN1vBQ52PlGe8wu+bsnb6aL8WMdjC8hsDDNy3/PYeNbIeH9MNWHN
a+Tr5OxVeR18Gdkt3PsYxxGsT8lnnlZ3KHssqtBJKnqSJNaWv/NonuONTbTFU13NFoGF6aiqzZii
K90XpMnv/arpxKYThjcSw6Djr0OXYjtIMX6O+x6ANVp9w+hRAKOfJ2CWtlqGQigXsPqNVn1I46IN
9kSV+4itmnHBKyUIwjRbFbFKE5YYNGSxZD/IVp8VDIA2K4DpoA9lbYxpi059Z69U6QTYxyiEJauI
egXWwWB+FGmIuc233B4jxOzZOBc5Y99HujF+Q2k3rueeDeNqaCz1JWfC3zew7R68ttWHnihWLBwx
QmOMPAEGmHEgoPlQeWogNxuPEFzBeiYmygW88x6ctfcLCIPznLHW9OsmNKSxI0OTRQFbMr+fMFgX
ZkGCvwDBlJPcxOO4fHp0W+W7DCVWsvIixIPIelgcVm2fmxHKaiurNvyj7EKrtvCrraZS/2hFaYaW
yg9yWv/0g/nbq66EaMiGrt13Vtfd5xUily07GeZgRF7tXYPzr1mXQFR2gOFZmhTNizs14JPJyrYn
hQwKODbfKa/ofw4xMqwAtsKuyizjV64IpV1kAx3mUT9pwk3DeDOt8TRGpAnLRH7QUFjyrWabOK7C
OJvvpCmxfBGxt9QuaqjIiC/6RpAlVYfQ+WEHHNAtVPdpAB4IyUvQohtKZCLXiY27dIm58X5afhp9
yXgJPpK6QZYWh5vRQzA5gfkvDT/7HuD+/xr1GEjgshfOd71AA1e9a6Nv5v02n/PQY99a2mox6Ifu
x9qG/kxxyC/u+5kfRLZiwe9JYmBQCUIvFj0wGY8WtnBkLxi9n9IKjTgd9xS1SdMLEukRZzItSrNn
C2Khdtw09lzLK1r3eOkcesCgU0qTcw9a+vkmYI8Mog/UIXgQltV8lRswDGDvdQ7KI6cNWVurPoIB
g/9yzZuoPhYDCMQ1AmaWKfpXfA1D1zCDaxZ77q/nTXa24WPsZVu0p8aXLtPTQ4ysJ93yRiXYNxWZ
wWt/KJGysqdCQ88WMQbMkDaYYPPMKRdfH/QWDld2sXesni/iqKyRRhtbF3K2zH5umLWohZbgjPx/
0Xj/1eBQtBX+59rSFjhNfdzWWP6B/24/W+ztFMVjiHiQcOkb/NvWcOQ/9EuX6jVuPkro9Cf+m4Sn
/zHJH9TQ8BwCEV+ItP+v/Wz/41BLAlxHTQbl/JuqSqcFdAralkVRy7UpX6m/uOIR9Y8sJK5w1WrD
3g0wpLbJaLT7P+7GmTLSUuT8s4Bue3L5D+PQO3HN0wZB2CQcYQZBykuSVl9aLx2vVF70MA468Jiq
Jbn28oCnFXtGo3AlXIC+kIfp4R8Xy8ZZVZmiQk94Et0Tb0SfgRK3vSbRIX5lqL/u4DIUVV46Q9xA
2N7HQ00T7IjcIBC4q5L8mf4Q7zqCwqfLF7QQ/U9voWuxN2KaMJMcm+n1Zw+C9KwgtMaOz2Hilfcs
3cBf7MGoP9iGgaQvLYpffpv1HJI622Gfo7pdasHEbhypdq41p8+Xf9CZO8zcNfk3N9i13ZNyZOMs
YuuO3xO7gg0kCzFCPZJxvgWdHb9ShTw7FixgQdSBAy/3ZKwgT7Is54S0ajix3ZXV0D0hehVYUvDX
viZhODNXEdfJJTvBMzWq8OMbPUR4WYphaeo1MVWD2vOfUGri1CqM4lb0fXGfzKK6Ds2WUl1t+Xjr
zEVrly9nICPGdW32WOgLO+5RmKbTzkUB/O7yzT8z5yT8a34jxDMaU0tD7g81Bx+efraSjAC/zMgR
qQXIa21iDd4+iuQuKLpsju2aJ/1OM8d5HOoEwnslYc+ipnhKlETqfXmY0+4hrw4ziNVMIk+xKUcc
X0zkZZQak0CukHK2Ozl3wSEm8eJHQTj6gXw3onJQPHhbAMf2h8tDn3urMF5TUVcs0NqxTqrbtlti
jgtCRJJAfNF0txIqYkDzFsuyb90JdGczJBXgRTiowmkVeGBnc5iepPbJofjVC+IhLv+mM8+WWacs
qbj3BHwtBfk/nm2g8wrfKopHnQn/ISmxIZUYz54uj3JmlmuhsXUJIUybheV4FLJ9htz1YtZ9y8iu
qNCinoQ05JK9LcW8Q5rj/7g84rnr0nTubbZVfHKW5sqf1+VjL6T4xX6eqma85j6SN+sKsXn7KB69
GotPqmfTtj0eZbAjVD+BhwMxkSaRdyni7QK++X8wCjBamzeD6atP3ow5622LiHhAnFj974nDjLYa
FPfd5VHOLHv0JyjlLnnJSquTt9xYIHAUkhEMcGjeWyFHFH8yCjzghnr7BZH7omzeBJNW/umip6DC
g4KihJgpOr90Sgjg9CEwXb6g5bacbANo1rN1YcKBEjhdtsyxzrLWbBmlAV+TmYMCQ5sAecS6Vtsf
YBJGnBj0PcilVxbMM7fSw9Oh+IYoFAqnS5kmiq4ySmRL7sAZE597tuvmHvFunb8W1bJ8jE4v0kYo
YpFBZqpFc3I0z1WWqJaCiQsWpdilnUTd5pCxagYdClz7mpP19MptPfNmwQhBlwDN2OWrcLKACg8k
aZu27sqZHLoLTcYZyYmtt3+EUSfSFkWwKGkGnry/Nr7D2R7AMIm8d64KhCU7TPj1+6HrnFde4nPz
RJgsSjQtyON2Tl7iwKUbIAeD6pYJkx1Op30A8TrsF2XQTexkxto2kvSpRqG1M0v3tfyYc5MFoQx4
aEczUeXJlRbEFuRU5FhDMrqqysBgDV28vU2toHzlpp6bLGR8YxYB6ctm/mSzkQ8A1zxBcJ5TD3ej
nz9OkQ/5tp5/Sz++0QGl4cuv4N9zRSGI4uviLFEXJoeHo9nZ5ayQui9c2K8ZNYPEt8lFrsT27aNo
qlPL/mSR5jjHo4yJ23Q+7vsVjQik+U1r78ixU//K6f5Htenfz2kJhQdngUAXg5A+GQVgM8mRAXiL
uqjkh9gMvR9dMbQ/Scyb95cvSCx/1vFbvUTdOOy7PbQctjqZE+Rt11wqJxj2htTcwWWU3cYBi+ts
IqsHEzX0HXAYPfT0m0TvNFvBX6YbqxrMlqTPPnqeff6UlfQKQo+HhlIr9Iux/R2ZfTrvxqFSeLqR
TYHGd7LsazKEuIxNmbb9rqC+fTspIMYbu+3pokWxUeE6z1M43qHZlysa97jwWyrKTz4MQnpreZeQ
0hi5GTrTKBLfgVi0vx0+ineENsafYU7htSpLfjW/15bDO2Hl7hNh7mzpWwIsm13AD/4aGnOXbW1i
lm/wpQRcIpSIa3xpYbJhWiPfwXRgUDMK0NDQpiENbmOmmauvLz+AM/PWslxk0lAcqTkvpPo/dw/p
GKuI5BTiM4CZ32Zd+awnyz9cHuTMhFrU0ew66I6zfJ981pMypPpp0X+NYb+9ixHNXenSC/F5gCx4
+1BoK0hGQ4HFq3gyn0hxN+tCkNUBsjvdL/UxSMvTQvHpJ4KrLg92ZpurLD59bOV56Tk9nnwhcgQE
BS5TIqlVqX4MnaDdk6Sld19Do6BPDaADyYNHI8OqSWMk99eefjohbsJgTOKHit7yK7f6ZWd98kJx
JwkGEHwiHaLBjh9oVzpuW7DFxfVsp9dtKWHI+E4krgwKbQpTTqpvK7y9FfXfGPnG0ATj+6aXHkLr
cm5hc0VCYdp2cs5hqcLKVY2awOzLd+7v9ZnnvSQVcCRUglLN8a+EwlQ0REkKblFmf28qRFtJCaOe
Q7/9ayDT+n0Qxt2vy4Oem4Zs/jmNoAZ1gSscDwpBJQKeOXFrCuHcEKHpbjIzsq7mNjHeXx7q3PVp
CgomdSlv0fkcDwUmLuZ8RTSbCDnImnSEsJ+ND3VU/JpE/F7RpXvljp67OA07w9EuBxCiw45HdMBi
Z+TqUi4BBH/VlGiBUv7HNab9MXpl3p8bi3ITYl02E0uQ1PFYOYHmbMLAPvIZ6g4WPDtEtk55Y1Rg
Ei7fyLNDMZU9VLCsIC/a4T9ObZqv3dwXbFnm1hrgDZnMjpSTG77K/2Qk5qIr+C+cFidfvWHOqPj2
nKPcyXR2Bd/VFsMjEeMoIlDYXL6sc8sugh4KXHSSl6Xx+A6GCn9M7rMgDapMbqcRvAIHZvn9zaNg
FuE8hQuH/fnpQceiuU6vn+UprKzsLkEzdkXcBtDB/2AYrsMT0lTIt0+WHMTSMTQBpsNIWeOQh7Zz
gy7UvHr7KItEkIMhB12Uf8e3jIWMChhS8pVom/5h9OxpE1RE9F4eZVl4TpZPUlDAny1FZWq3J9eC
VryAjGgsmg/6O72b/fat7t6K1A1+IvnKjTszuVmFEDdSqObroU7eI3rUExYYBuMDA0anUHrnmeGw
r0P77ZWtRca/aBypbgttnSxIo2vglRmkIMMq0De0eiAhhVDT3nz3HLSUHNDYyy1v0vEzEo0VwA7k
LKNJQLrSBop4GlzuhwqwGZ2SwX6lWPqy0pw8LipoqCeZeVyfefIdGWHlTdwt6kzElUW4LBP7s7Bc
xBkUpB+QX8w/8XxaH5CTFxKkUtdfDfy+/dsvm9hYSgko2jWn/ePLRi1J7iRbvFUFiBnlCwJHFRv2
p7YNY6LX2uGVV+HMJF1WDlPbvA4OPrvj8XDHQrWfueqgNvNDjcNj5w1h+LElDwBKhjAeLl/fmXlK
RwQ7gDSpzVinWtW6HymGv9SJwb/vIJrC5+oDzPFKfvkPRqJ6hmcQzRRF6eMrA+lr+iod2SovGsAB
FcDai/v8Xdr1w5tLF4ToKoS/fJ5f1uHjoQLkpBaaRGq9pgtsPlefDGh+BPuNr3Vplsd/Mkn5cC1u
GWyNJglvxyMhZICv5zNSbffJPV+FD5om9YbAQZo0oZIA2OEOXw09+7PLt/PMZ4YSFzUumFtLrvHJ
W1+3yM9orghc1qP+yLeIdm0azq9MjzPT0V2aXPxyNh781fH1UdLwtOGwttBcTomPmL/g5IDhbiHo
9Ie3L9DUL1gsKSCQc3Vaw6jAZJi9zZopg7jkWwDvBdUnCYexOWxLqimvTJNzt5BOy9JJpOVFO+/4
4hDyGcuRTqySuhofIbym+wEkzytv9LlR0IjzShNgq9zTjxubLTLYcuY91p6P2Cq67RC/ejY4O4ht
0oJhj8hiebLDyYhxbiqfc2iBA+RWlp14XyO/316ec+cWC6r+VFe5GiK0T+ZcXjgVQGAt8H0rvXcj
hIEjVJRNQVDLfzC9qYUIfAKKju7iTP7z8BoiGmJvxoYepinoayKDbmK696+Ui5cffPr6sountkM3
jhrryWoLThMycMcMGKMiAtkO31ojv931BLUfhqoQSE7Km9qEdTMV8tUKyZnR2b2xPeC7xfpxco1B
ZE1BZ/a8wlliflp4f9+iDsAagT7+m48Qmm2PQ/WKpR6b8cmTM4HuwL4TbBd7sKSNEfVwULt0D7cv
eOWL+feSyFC038mtJt2Aazt+cgNK6jkSQIsyo68Q4TsLHKCqxDfYQKpd9UuxXMNkpGX4yhblzMiL
yZD3jA8h9/TkfUaYNUuAwg6KSvKyCU2LP0D80R85g+oQYqmDDghTwgadHl2ct74aHAjZgNGmoYtO
j+j4qkG64UnjdAFI2I7Wy8Hsqk3iAGqKml8Z6u933TPpL2qHEyE58S/2qT/OTSAXalG4lLSU0an7
BCvzgaSft39fOFzQcqJTiocFKfjxBVFkLeMx5YLcKfDWYhJwYwhG31y+bWeuBbMXrVI2BbzrL1WY
P65FF+HEwsx2HJpGeyUr/AqkjZhvXrfwWfIvSduUY/tpE0XIInOsUiOlz2Zz67RwkAnjDLBhuPPh
8gUtH8TjFYWhiE6kXaOWgsTJigJ4acgG6uQrO2uip6Dr9OMEaf8bcljzgTU63KJtt978IWNQmpJ8
zGjUsDgfPys/ANwW1CNFzsAPnhGQEnrTG8H3y5d25lmxzUCSAocYf5Y6Wa6syQB7ZBPo43KM3jXz
5G5oCk1vnxGMwpLM8Ykz3+koJdBcg1xzB0BB7G95bEgYsnR+ZZS/v2TeYn3laLZ0VunNHN8xvKdG
mLQ2BKShn7eULWcUxnoGKOwMryy9Z8p2rIYcBKFmULzDWn081kDXjDgX5nil0HuiyjTzLaryDs0s
G8vDyBfgazS42LJIMtkMg5395KjqeatqdOt9Cu57K2uxIBdziLVict9cJ15Wa6gciAFYOfXpsimJ
xRnZL4P/7rIrt1AmvwRN4+XZ8/dOklF4Hyj40C7lZh7fhQC8U+QlvIOA9OVnADn5ddLMdbFOTSif
fCCjVx7xmekKIoFK6TIon4WTRzzp1gvKikdMMqN5O+Bk2YUinl5pqJwbhc3QUlDg1Iad8fiybNKJ
CaCTZCEDIf3Iz/jS+d1rb96ZYvSyEOOupLdNDcs62YaPTJlJtEsXg7ASAqO0PMg5Lz80dUuyiYqC
/HOWABmqMbzcJmaQ/oRR2iUboDnNLTEp2Sur3JnXh0rDohSj9kSJ92TKTLUW6IEVD5PD5aObqWhf
yKr94LaEe1yeN2eG4uND7W5ZDvCGnjxGN1WBWdtoO+KsDe+yGCagnNJmB6u0fuVFODcUZSikKKgE
OVKdDAVzMv+3BYeNu/pOsBzsFRxhm74nC+btr4NY9ukUA9mUUeY4njewMEkcbWgqmpZfX1Xo79+H
hgLj1aPfbUiaefvbQM+UQitr3nIsPHlinssJRFsZXPvKF9u4iKIraU71K2vd6R3knmHepV3qULyg
znpyVUiwCSmtGWXqaARVbSg3pg6ip5hIgzdekGMCqGCnR7mfR4XP9/gGyom2HxYJGt507ciQMEn/
acjhvjz74BIdf8+XYSgFk3NLbwEz8cninbfNDO6cYTSJWITb7JMuxoGYbubRwTKitqjpMeiXMUQW
iywE/+PikAdVsMns4s13l9/CJ56qvOC9Oq2g2PDsZxNDEHKCtIDE4kJv6wlJKzynffPdpRjExMTx
KikK6dMHKfM2ySIUGZpkkGtPhg0QwPS1Vv7fNxe9EVsKSWw1HXb3ZEeBSLvKIl79VdXI8dmC+vW5
cvMvlx/hmUGYkhITOBsywcw8nihT1YVl14BMyzyVb8LEbtauiN66baFUZ7Eug1OBTMX7fPJ5k+XQ
5uPADUscXW0l+9p3IveS1x6Lu9z4P/eXyziIELCBobbgiLNc7R8bZoAO2UBTe0k19sSPAkXjM1k8
6fMsC5WtZluVv9sFLpQsmCFnsKpvTlTE9MWGGO91iHythyKd5ZhfFlQRC56orswhVddpP5rqKcmm
En5+Xqp6H/mZcQiw6AZXKirb+87C1riOGvpBB/bA+U2ek+SM16l3fkxpYsxbAG7GVd4XBCIY8+R0
65xXpaE4ZtrNFtus6jZAlKob0geIPKxk2H51SDnwt1k6AvIuh57UJb4h+iqFYvyt6TwyDIBAAV4d
IS2KXW6myRJioacpuNI+GN81Scs2Bh+vIwZtUtOn3gXnS5BTIe5CXtxmlxLJZe/SrJ7LlQW7oz7A
YSdMbCTF/HPRduEHPUXltPYgNd9mdeU8mXCNvpWD7aL7TyswhU1qZdl+ZOvib7UY21s2BMnzgGVl
3AXh6JJISXaxd1vFPuteGNlFfIiTMLXXNTu7YE9SjVvuHD16xiohto0MJ6vMs007ylwvpNmw39vI
rYKPYbWAJmtZLgFLXp++y/AYxRi3QXezdncFkGzDqMu1xKj9rTRL6xMGuSXpOPQ9jKZ57j25YpTN
IWywC4aORHLXeCNASpa3+kEQ+3Lv9kQdrEBNZ1/YtkSkx8Z1QehgDdgN21GpqrWIiL5cBTqtbjFm
uJ/sIm+I7BIy+WTy18zztpdXDdk9NVpxXWFBhkpWb3riTPlWo2pON7jPEzYGMzJs/K7D0OBXKitj
FVW2/O6Tuvup96O6uAq6nL8DWPw4sUcW1c88IGjmFmXVTDKHQ9haYCbmuLWz2P+sqqkndxpQz6Pq
O30PrMQ5xFPnHSIs/te4zOu1g2xuBYXQeYanLwks8Bu5QoIKzguTyVCv/dmJaQFFFaEBTtwbBA0q
Kxv3DZWNn+aoEjAvGQBWCAgEcLMI1sZ3vm3JF2KSvRKEcZV2a43kY1wTdzc81qKfy01VsuNcNQp7
4zXVM0KWpLWUxzj9Jia8nV596psCV+fMP/8D71ya7Wdfjze5B7QbX5MXX6VmmYIPt914CZKtLW+V
62r82Y6p+j60KHu28UhU8448nvDzSLEh3/iDLO4lQhtNKkNRO6vJGrWfgyYoXTA/cdmFW9oV802t
o2y8Q0chv4V1JEjG8XJR7dpE4ucsWonCwa1yLW9iW8fDnWhqx3kSqTWHa6mJlkXUnLbQisG4E1cH
cpr4ssXP+4BOovkaLi2qPdaJCKO1I3r/K/G2JqFtcziQlmvUyZcaYEhJ/De5FOu8iqbPkGsqQvry
hISN52omztnygLnf5BKL+1WJ8pDQI3pZX+twDjEeKqJI1m2b99Y6EWXYrJqxBwBgjv1jYIkCPxD3
4pA7sY4Q9TU6ui4FxJtNC2cUG22ZusPKdNk+o9dJsYKa+EuGja6DiAi7vG4RUcy939/gJ86sqzjq
8puiqoG59W3Mw5tT9znLpPmB9b95LlsI/hvtVOIKfR8BkGIoy69ljwl65xiy8rZOCBiDY1Wd1OvA
G9q7eIrxso5mkwcrpKP8nwJjx6cwSoL7niifdjW19tyRMZn6KXVvPWFAHmrxO/WKXeCq9BtI++A+
8SuBTTgzi2nvQzThTzdjQqwmjgfpusQTPW6qWeN4JZS48rdtEDl3bVbZhG5i2QIvMNk5LB8i7YZN
i9g3uMpUk2JrHtuysw/URVNMkrOXD09T7fcPgdVhmVVhrd1PldtPmqTA1nrGUGg9kwfZ9mTMiNH5
JmXOUfjQ+w6tzlJ7xFHx/g7rIa/tr4bVYxOr7QiGIYrPBF7JJJJ76mnMzcqpm2iXCENysy2d+avK
SxuiicMY4oJOOr3Hr58zB1L4JFsYINP72pv7eSN6tqPrwjKrcQtw3X1vRH5JAIvCBosQDvs+YRL9
LyRcgPTMyAEaMI2oNT53oOjDQ9XW7scF913W8roznez3hPWfnMJQzNdJ0g+ENXo+do2l0WRveTWa
bt1xns9XpWVwnoVmoqN171jJtQM7irC+nBwy0ZK4sCGQwHweZlYBuLmT/g4UZJlMpPj+Kl3fbsF6
jPa4ayh2w1nIXJS9UdFP3wxw+B+B8mMgHRydutuAF4paeJpG9XqeS7AJbZbCe0R6rB7niK656iw4
5Ejy/WsHkyxBNqbmt7t47sgEl7L8Hg1d0e01WhxCl92Ks8ecddEhAh8Y7pwqayjOuiFeX+4rXvTR
8DDYDaOf7KshiR5afPnzlk8YIMdWA5ruvcrD7JhkAQ8SmzsO7HAWGytgydi6LHkP5RhZ0HSTroSa
WzjA+gNPzTg7Tct4l4wlOG1yaLr0SsSh9zD7PYAuM6mq9+QUEivRKjdcuySpb0108ORhFI28Z6LP
IzxGPvA/SLcl0t6lit8DMUPldwtnu/DvZh+6OGyTzle/XSICjV03ltq8s5DFxoAAWt7jMZUE+DCt
VXtnEhPN2mExS29tGcY2KnicnI+R27D2RVJ20y4kl0N+aWzyS7duZ3TV3q5TNFVRM4v41kjtyXr0
ILjYeyPxQ/vAkafoDiEYsXJnhdFAhl/cBMPa8NLhW122pDFNcec8lrNPNgGG69DVV8UL59F/YT5y
Iob/2C0oyMsb4r8OadZyREMrQBOf49pp28tJkoblfMLHQAQVefRAgxM3SO6UHIL7y0Mtp6OT3erS
XFkOLQj/6Twc71YNx0I34szuSqEy5bsk5UbWDnPdJV90B1eyu46Cxj405TRvgeLk28vjn71URAsU
+BYh5KmGgBiNMAmzhmMMLNdd1QrnY+WTHqXTunql7fHXMYO7SjeeI73kS8uG9vhSwyQvbMJzXPA4
NIANy532VdmObyxRsP3XVJtg0nq0VxC7HY9iSDP31cCXy26KZBsrdl9d57aIpqCxXL53Z54des6l
XoCMiW7DSTVkNnU6t2R3Yz53TcrZDuJYEQGf0KF0CF7NiOmaiZDvYsJ4BuHrH5fHP3dDX5o5SB5s
CkAn41eEaeVs4ZCUa7/aE5ZUbgdBG/XyKOdmCLYXqhZYh5AgnZzvSwJsOEkNLimjQGDd0Wi2xA41
xBf4b+cJU5ynmUEHAinVX0fEunW7pM410g5y77YzXYFbSarBr8sX9PdtW0bB18CXjerSKd4RqDM7
GCpOK3hBxcruNcy8MW5fuW1/10WsxRKCGJ7/YIFdrLt/nkOjSKM+CBjGaNLhjvO32sYC/AcK6NLY
1A3E7rEZO3Ya/fievDIDrHwC80cgNjnopu8pNAcR7VUvf6UZsrwCx2sOnXxJ8Ykt9iIHPXlFwD41
bsEGeuUCJfgW9AL8AB/gXYdLfKPxqMGMgKL15tefUZEHLVIhKrXuyfnf96au4JO6rHTYzZusYBM/
hs4r69m5h0sLwqIlR69fnjayID0NLSunu+ogye+abPhsmsQgXp5Bf5cY8KZSmMFDjeuIyzl5tM0c
6UDyfUC/763C1uq+5AXx3FaTqIcCnMW/F/W/eMX/s5g4Ljjg25D9ePTtT7Ti8k/8lwVe/cP3BJ0x
lUf2zOD2/tsCb/+D6hOUOk0H/LZ0nf+/Bd79hxovXQa8HVRgsEz9QVbkq09DhNWcCiIle+ctZEWK
/Sev2dJ/flnIFicknyV++J8LQJwCAGvluMQEoW687qEE3tulqAzmjR3U1zUmUaI4lgDlbJWYTkjG
R5/Mxtemrjns1rFr11+qsHbrde7JAPwax3m7fodBGebP4PXhdTg6BDwoNuuUkVN2eYRDllIf2ipO
o+u6K4DzhVlsuXuEidAIRenfU/SAq2InCWHqhpgqiBu2lf1s4Q8/J1liEZuSNHWwJ1t0/kAhopo2
UU2heQ0lqOw3UpeKOKxxiB6cymnvCQQLWbQk+/S9KeqgWPOHwOWdoeQlSzBB/Y7kskBcx1B7CNej
VyH2QF1Ki8zxeCgPfMb4ZKaTl9JHSPIAinjRev6md+sg2I2ZGXBsMCvPvCMoyqj3mVBVsEv8PByp
InPYWEtV5wRP0hvEQsmiwqJ/Bytmhn07aDOS68avpqFcyRgV6Ir1gSzoUs5mWG5yxfFpK4q6lAOY
E2s5Fo6xKGE9dUkwf1BxETRPfULVeT5EhQgb/d02I/JV3+UQDczuoVfkBPvrinZp7L3vBlM2w6Nt
ZMtZKmuQkIAs7kfRUNGKOhe72+MsYxCHnIfMihpT0uQ1h/8e67u3broisLAp1J7awfVtAFQBF1ns
s5VTvisFHZ53UZcmz4iMirhbNMeVvh+m0ILeSxwh9D6vzvsPUOlMc+vGbCpXnJ+s/LGoKie5dag6
JXuV9sOwdgiAMzZU1+YQQ1HHUUtjS5fQJ2dUPQ5nUPswtyQfy7WfAAdZwxnxoqtp4eE3L2j87gWT
H78g8+tY2MPWpceudlAFqKHiozOda3sKzeK2eEHvj6QOP3l51lirkeyg+6AH474BcGOp1ZyA8G+M
VDX7Npj1PdDc0do0lKhARS3QdJ5QfBe9kNS9F6p64kTjF6XigVMsxqNl3r5Q2OULkZ0ykm9zMOnI
t9JA3gc0ZT0xUaNokTC5ceRwfks1B71B1KP9TJuyIi4nykkCLJy+I9BltCHETxrBKWEmflDWD5ZX
q0fPKofoauxNNN/Vv0eTvjZr6yOAQzPb2y8nGQ7XnGqSlxMOJGJOO76X9inB1y+HITGpZiCK6uXE
RBB9kUOAfjlWxa2rwy80VDh0TS8HsPblMNbOUIejlXg5q0WtZ6ho3f57lHs51omXI15YZYG/Lv49
+r0cA6sg5ERY9WBmnOWc2PUJR0aUgvV7azlHGv+XvTNZjhvJsuivtOUeMsyDWVcvAEQE55nisIGR
lAQ4Zrhj/vo+CGVVSaqsTKt9LTMlMRgkAvB3373ndsZkRzjl/Vuyxgya5XHotBulnWfHUXQ6jqWi
2EbU7jiuQhHSb0HsMcTqWrY4sZ+C98BcvQ26Hnrd/bBNv8FxEB6OQzHxo+w2na3iwKsyNNPCygA9
HIdp+zhYu4M9Znt9m7e94+hdFOwX43zaRnKy/u27cxzUQZAxuK56kFPNmGvBmX8c6wntjbfuNutn
kMtdhCU++OgIKpORDeWGhLjHRnZXHSUDr/HTx3zTERQO9QJUEgWM4SSUMe+7o+wgC1F+5RiKGFFs
usR8lCiaTa1wj8JFZ0DPs49yxrQpG3T0InLg/kPwGI/iR7/M3RAlKgNN3RwFkvIoljA/62fsv5BQ
+IRU3zytLs/lJrKMR71FX6skowAq6KZ796jJLFC6v3I0R6kRljIKqHqbgJMt9lV7VHXco8LDMmNY
43kTftzZ52FgDjqauO+7yj9kR52I5am8XUlMJwwpPUqSPKpKPMlQmArueTf0YKA7WWvNByo1Nz3K
LgPjhSD3zH3CHpZb6bSptmO9kNg5VRvm4F8vGp/kLqTNF2iEqeOyD1dXBT1syUCfnTn2CotfgTxS
7LYkH086352CpzZPZ1o0wJmBbjW1uQ6NHqg1DdiSbqeom+g0De1MZuh+muveinyj3+1ttyT1WID0
3Ih5uf4kNdxRZ2CLRBO6Zm8S7Qp8GsCC2ja+mLoEaMGSX1Emzq6ATBI5KdhMtezKHVj0oCSBaBlf
aqWvEtUiGLwQ8aUfyPnTXNjvrbmE1gQWIzmnBJwK6qnyBxHXBcW1nVlnBcBB6N/jTuvcBBuLkNbw
OAU2Pdcrvi62IyXwKifjvWKSRrI89ttWIuFtY8OhA9bk2kD3zRruNQo0LDJaGgzn7gAJr2aqhFb2
Dfy7559ybbQrbRUO7WjtXI7bN0lBt4NXJqNGEKta+dkr1KJCqseH9EHLHK290kVvd++50nN+umZD
m29cfGeF9qvc4HPfKaL4iHLa2rM+pX3Qb+cqAmul6bHKuU1HAB3Q1coJfz+Zg0SiiXP4XaJ1o5cW
/PAArx6hptoRcOocYacFqeo3/t7y2dtYqFSfQSI1N0LqpI/e1aRoyEKV7rpnx5hMtMQjWHWdTL+B
BQZvVVM56NVio7CSthH3wWL3N+YR0lpvvNagT+xXvtXxJd9orijFgF29jfFaupAfLQDzIIqPENjK
5vEYDoLg9XaJgTarj9DYCv6gCy9ZYCDJAgWGUDGkcpQ5AmedIG0U5EmqwXbTxqRN1LaCMoC4nfBE
7adodcdiDxwTlG3mEsCgdhvArbexbjVnngZK0/Tmgj4tsM/ZxsWl9FBejUdY7oBYeefnEHQnpZy7
4ojVNVhbpbvliNt1j+jdPtOSQ3kE8o4bm3etNkwvg5azdXS1hkt5CzTXPX26zaOz8X01CRQjNjfq
b38EAFPnJ585obHpqoPM+uAGCyx4PoKDuyNEWPcTeZ15bZ3B1x27OeI6ATlsBInWRlxN00lP0qSK
Jiadi8VqTQ6cfqt/uF3G5DqKSQahdAIaypDP6EipOrd+YN1v1edzleYeFhWfM099ZCUPR25ycGQo
ZxKcsm4UbNAWq3Hri4wPaBsuAaUx9BJsNOaq38jMq14YdYwtLPVjdaQ3s8AcXwbWQc+5ZUB3HqoM
0jOhQxRenQMMXYZHGvRI4qGPBm/VvsjBF3pIgx2LPcwTEPukIKlCvxaF4qFLAfXj9vrTTlGFUwq4
w12vkwc98qlbOL8BT4xusMIp3SDWLeUFxkkDBZvyXnRRMvfsNeLe3PDXQEFBYWcbFXvwGmkcNE6D
4uAewdkte3IVQ3HTT2bQGCpuVOXvmiNwu6q06W5KbJUeFrLfMLl91ncuFXg4DMuozgfna8Nb0u+n
WQ0x1Qxz/bnZoExBmNi2CA5shZkjAD+t+t3mOfMepLIDUMFNoS6Sphy1qOr79lbrDfCnpTfJp6Cj
Qto6iMBP1X5ZNckdWXh0JQehC/xyvuwmsy2bcKoTupHodl4LwKeDWJ194XfBrVwD/zql3ptm1WyY
7xLqzKi/s1pjDmtkUD3UOUay+zYxnHJn121JXzmLnpOgs6sxtisVDPt0bJfPflqK9pwWSyPbAcmk
2dqtXFpMqe/DBV73C5fHUsLXEX5CMyVhDzcuagPCaVvRFvRdzvnvCP7b5lz59yP4Q/b1fw5v1fvP
Q/j2b74P4ZpBVw6D9uZl4qlJKoU/+g6i0wz3EwITACbEEv6MmMw/x3DrEzlD1FNiXNvUvZmT/k6i
sz7pBPK3oCPrIrayzn8yhv9aHrYlP5EUkfOQ2S2QGL758xjeMkcsbABvzVkwA1IG7L/WjOK3FqYQ
EXZOntTttW1wpn7wxkAl0ay64IEpdfqytiWP0ZQq2rO19avN5eCXT9aiIxlCZwxOS9VYT6zoTf1g
dbodB5lY74hBMGDr7Gazs05qnnbRbX2mJ9MyiMcBGfpVGpM/Hlau2X7vyER1lwLgLGaCqgTzLh3f
78Na5zxbJIMZz13nvwbCb2rusCn7eAHClGmNHLIBVGB1q8gWU8UcTKv0hKBJqj3E7GDv3IDPSeRL
TVrRMoxY9BY/KBN2N2xy93zJjYjeWToLrQ7V1W/05EOtJQn4ySxA4q65naW7tDaaJM6tYfOEs7TH
zWADeXSXrhr3yu3ZwybphHfGKdTYRRo8lzbqxzHHxFvM40Or9/ZVz40XF1PHcShshtHempIDTnXS
oRya00wH6NcAgZmfWna27DR9W+xaMKWfCnrsUGgru3tCUQBOYQSdJnYuHcBj1MpcGLu1Ncs6tizA
0yBppXclNG6RlJW3LNP1KdHnk8XLCzNaJgyuUUpR3HyilViQomTEnTbaq/nFMTI7xZ/GmSpO4bXR
amo1nDJxXeR6tLQwXXdOWZgTa0jdS6OOqoYSqpG2PvSEp3XjMzXcgudPWwDMG+lL708MiZUllO6I
pWHyBlp5J5C7ey8BTRYNONWqXVmRrBoFvE623ZSQlmDTwTZnwervFAj0DNyoQY8o6yGac48f5f/e
1H7bxLh/f1M7vL03P/W1bH/9+/3MsD+x4oCSuXEBWayb/7id+Z/QBbmTcU/i1sQ6hFtW3cg++9tv
sDMpjEJR3OA3aJHIjb/fzDTrE8Fwm1gbaTCTAAfe8f/7359gNOqX//6xCnETln9U7iGDcWvcZEXU
F5Zbv2jodul7ncL3lMkuv7Ub2rtaARd8Vqb1F0nDn1/Jx9yLQgSWBl7JptoH/Bh+FC97sLlJtRAU
MoAFe12NGWxc2fpmidz98KO/+f7d//ieflbsf38lngEkNflBIb/+/Eq+QLSYna0Zo6PnIbe5J8zL
HP/5i/zB29lAmluXGxtIHkc/v0jq+LKT3NEc4XUnpF/Ta7VwC6SZG7vYX7zU0dH+z98S7wizMkGd
zU9EdIfH2M8vllgtc5ezIcgInPHB7bvkMsDHWeC+KH3qXZ08QBVelbsr09EazmnLSXA3QVUewyFx
qzpaKXQy47ZOVRf6KZ0iER4ZLFtB0TfrfTAI3doly0aTz5vaNAGGqOIayLopD71upR+oE0G6YzZg
4tRgfz8FTrKQQp/m2kDzmfhDM+3cb6JesT4qAgbjnlpc55tYBX3xfAk7v12qjhc24Gh/sbVZIJtZ
JiOTNk1YdIq2DPyzJPdcJgMT0tSVDgeV59vI17Y4FzLqGtUIBR7T0AcNkV4ZAWFHjpuLoERNLrzl
ZVb6+Jwp24Pdl9MIEEpaGXm01eBRwt6zqrMxc7ppn1A787UupirZlfq8vNPZNT/NU1V9w+PhXHZN
MQmMa9lwRyU4LcdUWYAH1xo706JACefZrxq7jYBZa+9qoPYssaviMekdKUM6hg28TQNHaQywgFGe
/Twv6Yg3sqqHJ40NAaMQP+naL9pXluj1nSlTys5N0NcXlWb4RTTZHomiHsXjWfKMeK+VEO98aoa3
bAmcHCB/gwMnaUx6NnBUqTdYjyvdLga/GV1L6b8oUyQorFJLwRO876aXLYvuHGA1U/S7epb/whBl
XZmW4pAt0zHnh2n1fBPdWDzNpr+AtCnma8o1sgbsSV/c14OktwzKqf3ZAEKvhcawdO8iCPqnOSmn
z12hJX4o3EV8ICWoewUhqdybSz9dymLCaDjPbqmHxZrOF34wu2lsjCWlchklCF/1aco/RkxYOVoi
watQH2WKJmh2QzzYtdJ4sPtjcUjq3DjrBIXaYdAL7aI0y0SPClG3RjQzuMMdrJz6ttehvkblKq0k
HuRiUlTXpPXIFLdW6+28YruoK2N8LSYve0djTr07X4r0eXCxP2EL3IQPjjCAvheNBWDYDfpk8P/N
Zt2NXYGAO/YykeGcG+2H6pTF7lF4wzMgsQZ+vTcxDDd9PUUYbss1pJu1o/jTa7ycpg6tuNJAXONb
6F3m03Jeq7uaUomLBCnVxN7o2E1o+XivQBwVy+uYC+RvSOB8+GfLKcqwTUo+ZSWvWO4IM7RfjEzp
UDaod8L3OWiTHWdI/4+S09xjwW0/iKXuZl8Gm/ZtkLGZ91JZnXtrSsugbrv0CPzyzRSIJTKQt1vx
rHlOWoKtfF8YRbsrZ53rX29Zg8XtauHPDezKeVHEWj985VY3SzvkTbw0LddNoFINH2eue0zDgVWZ
SNFJJsO1mcdnZIam5+yiq4+ZC+jOys1nxEx+W0U/TFcIpstXfxRcSUPHmiCCBAGgLKBaZIcOQ7E6
8gCjG/bFQYu7ZLY/S26ZrzIhWB46gzV1MTccWZ0GYP3fRLWkkNRdK+GKSiki2KO8sFKy4MXjzc7a
HK5Uu0ibk7i1XDZV1/M2bW265t9VjxTu8hcM+lyr7Z5GgXuaZta31eBSmYOZeu2gcRWlBCLRrLAu
qeaj1XZhNlgdcOgmW/G7lDdQ7Nn4rJHfwlmk7dakFhZh0+Owa08Jll/q3PeWI5w2qhe2/IdROTmd
BrlpTaGLxHrOcnF6MVhyzZFRCb4njvQTvsO2N7mZlU1x4ySGZp+YOh4VmjR0H5V1TjHZOrI6w3lJ
Z7xoDNnGgjEa3jTqDBBL7s9ewmbM6k6XwZfWbjS8mqlkmvUgNJbOuZFjBcI5WaX4sLlat17dgYm/
zPyyiikyssYInWKowmwIshf6Q8VyNlPQ9ZWktYOJzsnHG7usaE9Oc0L5kQ+Q+H5wbUZ+7FLdstuS
VfZJUQfBHFpzEwikrQUqfWGM6iOBUZxBpRysKrbKlpuvQls4CerUDEIx1aKLcc3bT7Vdp7irPW+M
M6HpX4ek6UjEGLZecdx2Tyx/oT+LQ1Cl41HorRNtNbvTwqZ5DYXdzS5GmcF6shL7fBmc8kEvyuBd
6xz5avgzbno6MFMVT5RIXTqVr656S28tQI8Ig7vGp2cdakImRFzJUjxqXkubWiPmO9uYZBXxdNcK
Git6cVMhdjWRvZjyoy0m4ynNRsaCftKSnMGBWp+ww9FdgPH1unede9uuHHyrjgczad5rPL+3jdQt
RA1p3PBY8K5US1I+0mZzb2oezDS+/oLem43gPtx+kCeFP6GmT+52naeShwyldTVVBl6tHhJVZXdB
5czLXrIW/1KwqHAjoy1dI/akufLY9bh/UfLWyjNNAC2NUhfiDVPP5v+UZu/PW6cMJfZcfO8dP40e
Sz+g2XC0vPXEMwWlcdSKIWwHyrmejVogV5IMwb1r8ImEoNrd49H23kTXKQ+P+DhdtraLhKPZZs/W
oM+rU5696lAxh9d4SfP1iWvTeGuQdzRWlAYPkHxYiv5gGSOXk15XZRv6NPu9rEuRFjE1U9wBaFdD
6akDe7727N6uLgCXrTxTzIWcQ9sF3YvDxVfsvbUpbxeQD98y3WqvBh4UXEd8+tIoGFPxavbb5yOn
ztWNDT2VXuS5Vv2EL0a8urnKuLHjfjmx29TZC6tKVMyozD5shsRISdOxG5WssvtIOJnGVP3Ynlqi
P7OSlfPQ7j1iXBUFdFvb6sRpMghZ1MmLRVobslEjWcKdCJAYP1NikH2xG/s1yAwa8xjva/yrxS3O
m3I8V0bXYdPvUse+Nb2tC5ZACL87FjPUhzrHKlHu8N37SMqq1FYQ5f6xdHQ+FpAycgrI4brpF+eQ
VCf3VJKtILbgNYa16ycx3uSpSXsDdemWdj4v1JBRU+JpyANduk4hfGX5QE/HOCOwIaQwzJNn6aeq
ztA6fXnS1uZckFABqRdCccN2LodNvMORO7/XGkVU8YLp7wyIZJeH1I5SLGMXQ2ZdWzmfOB4kmnlr
KrNP9/DTFokx3cvNm950OROpbuHZpa+mz55X98a96FnWx3mKze8KPbpc4mVWHOyG2XDLK2Tl+U3m
TUc3Mc/FMi40y8viPPfHL5LaSk6QWT/7eCip9KINAwcED/ntex6W1O+4sEY3w4iFK9ueG2p8yB8j
X7gNoZ8i1YwKYiGlZ2GqpJoiGehjG2nKpWVj7rkHYyrXT6eyJItcTV7pY8B32u52nWelLvuRUo8d
OpIVYNbWx5NyrLINrqC1YxHT7oxV0EA0e6dPRVEMxfbF3iVlYCqEAgc6/LXoS3M/BJCaT6tlLPhg
ZC5PoFX09ZkV5LMmdzQk9tVeEBg2uOWYo31CVWeftLFKg3qIPAykVdxwpnDfjIzjf0jjXJfwXNbT
2n1XrcdCC/iOz+NgTIvAvkT+0fi+krJ9NhL45LtFZ632OZmauX0TbN26G/CrnXfTmjYLJJ1GN9Qc
QRT963F6+q8k8Rt2wB8Gyfitf/ufr4SS+uXqrfr6t98uxPtXysx/tDod/8XvMqtHPQeqA94km/WC
f9RS/y6z0kgOIcXHgwrwjpmdCft3YcL/BGdyw32QhyNsDMbnH8qE/QmFA8GCDKPj0PfB3P2LEPFn
woRl/+x2Yom50e/IKEJ4MvhWj3/+Q+zOX0p7MGjYk4o2s72nubTRFNRRalHSiW2aM3XMKOZEG1qo
eQlaFqgwgFBOAL/Azrre3UMWkPvKTZJqnwycuMO+ThEHyTErPS5w0rJHXgv9giwUR1XifMMd3mwK
k+gGzJDu6HHSIu65ktK7RmR7hTiScLOkGop18yhdnqm+9hVcmcfSZkir8yaTDf5gEh9n+jTMemh1
Xl/wPwyc+J4aydpVphacY1q3nkqr156qvsuM7YGRP7B2qL66deOd+hoPBm73+q6a2pzKT7abO1bP
fkRuaBXxAqHnXkJpe5hEy2xEH/j00heleTYWraBsKB943DSJN76mgkbNyJ6XYjgkgpsFY37NzrJV
TfAtUdb4OHua45w33YRhc5IUGDWri8dJNKZine9QDwY/TPn3ngKMH9IhmpixVlnyjm2N9VaroD1V
gZvrZw58mbcCutlK2KTULuqJqSDMYFs8zeUg6oNA7m4ieh99GVpYWb1wyK3xPO2k38X9YA4vLKmn
86KTtRuxpvGJEY1ee7NObVmHTbWy+Fy9IT/krTf5UauM2Mqd6S5hK3eerl7/0hlW20X56ONfIosk
zDDxe27QSCEurU5wPC8pJTauMB55HNqWgKWPTcLp2oWE5cRTbvXn2IeKZ6ZyWcZOycx2NvLm7jk0
bFm53iJ+SW9fyliQlducb7MQiJHI52toUw7lmo6yv7pz8FYv4M3x6uV9zSnBmSg9qkv3eqI4ScSJ
IdXD1qf7ZdSX+TYZfHs4QNEPqnORtn17AGqS7lwf+d5qJS3t7BZL6y5xRP21VkvzJdP6KTkdga8c
2mTMCDZiVrjW3CYddgy8lCGq3J7NkxKF+ySBlYMfQiXupbW2Q326tJo0d0OZglFYAFw8BWLEpOa3
YuGURVj1afFT0tRmp5n93sRe+Kj6TMp9apjeQ8WzsNm3zswaoJ215cVYm4HSdUoBCVvqsr1C1xET
v7GG37eO3H/tVAlFiWmNNWfnZKv/yvMACyDXeTHtCsdxx8vFGLc1pODoGQ6FsfkNuqHzGZiKMuNk
NtVn9TQN497P+cI7rwtQPHAnMikBM0Q0ESYHStJ3a0LMbPAQ07tCcbrRKy95mC0aKpnkqJ2B7caU
Cupee8baC6d9IpdakojuPYMEC51U+0WbgufGROugnLYe3FA3JoPrsFN3jVyMS/yB3gtpIk43TC4s
LPRCasM+Sdr5m0w7Oo2rFS8/3cOVdqM6XQxEgAkw9nbq0IRW150KaWox3LhfjTWNjF7T3vLMsgnp
IQPx5eDFRgyR7qXf+RhlkgRWxUmLn5suz6z0sIrZwwk5P57L0nablg7TtXkIFooadoutWnVmSSP/
5iqZXOc4duyo6ki9oC6AGLoLzDR78xOTu08IOAoVIvP11YtdYEvIC2Mh1N3Ys5DYgz9uh5s+M+2r
joOwd+u7BYkoQGFQrTzuK/5utFWy71e6H8PCkx1da1mZ11HnK/mMCCXPcDAufHaamrF66PQrIWsp
dz6nnDpkvyvek6HtX0b4k3xeUZmoYkubKS7cGd8nDSb6hz8umrdDRAq6O8KOhYwp910/l+WoP1fk
ftqQSTFo7jvcYET6cpyl+fU09dZyTXUk9Tbl1JUiTk2PGmeChXR7qnKtfM5fZXCNeODlFF42KZHC
mm4TcWtpDdNzsCiRxavy8jIqFafMixXZk4Ouku1lq2rXj1I+ZK/sVYoh1vrcac48TW8/t0tWd1Ha
OS0yqGYpfjJN5zPLWiPByJBENGdC09EqLa6URxjJ4PSqn3qM0va+kSXdCN7SF6dtUDQvMsj026SE
UHFeC/RWtB0h+bAmvvmw5KNbneTcty4R9tL1pl5xghyCBq0sndOa2GBb88zTq0Kmewwq8x2Lrllt
60CTupysnhL/nPOjyWTU94l+qnuzCMZoUGwxnXWV0z4ra9oLBr9QNxq/yDKig5irsM3zhHFbDcNB
M5rx5L/ntn45/fK33/hZ/tm57fJtoKftrf7l6Lb9o9+PbjjO2QmxQuH8RizB35Igfz+6eZ9IKeBc
Z4MOHIe90j+ObiYnPhYV7NU5v8ED2pJhf9+Q2588oiWgmdgC8eem+Z8c3X7ev7AfN8hlESsGr8dg
bG4Lrx83Pabbc/UN4lX4FAez+01C2Gz6XyQmft6//P4i2xbM2rZk/xL+sKsKSM2cAgQospOaruBQ
CU0709vpr7DCf/h2QOBvgJXA3/ZtP72d1KHGN1iCFwPeAjQDbPJ3VBI2f8mZ4Mv8c8ezvSFc/cDv
WfWw1kPC+PllCP7OOeCAZ6sbcezU+FYfmiUb/4pKuC30/uVl2I0F9NuwkPw1q2QKn3z9Nj3j4idR
nFhPKZ4w7rqmgdmA+tfE81rkuKW6/OEi/oOt3B+9MMlH0o/EJQhLbL/QH47zBRfgIG392YIoEFtG
1VMboRDDqDbGlF5ULKcWN79aNNH9R8TJ7z/ZYz4I6h27s201++MrN6LRTGmsz52Z9vkjprspQRzD
Nr3HuKbpJ71V22YMscAr942DwoOk1+Ls+PP3/68XLBEpTvVA1ljcWr/GCNmKtCW2guchz/BRdOlD
12opS6vqr6rh/vWFApgEFvRml2vJOuJMfvhBU7uULSRAn7W+6Bh7nG5HTQTy1UwQ4s/fEjmrX68m
8DyA+X2yKqxbfe+XLWjtatqkd9kV4JGU8Lwtsp6TCmwerB9tdQ/QojBCmSEIRCYMiTMvSHFh6G4F
LIAA80qHhTuaWaj6iVmsbpL8nSQutvRButZbNfUoLKnRS/aXNSvj2F1xqO+Qq0dqVhfUndCUwnci
Df4WInlX65QW48BoQ7lWmEGmRBkfDLH2vGMTwuHQTnL8/9ir2c1pdjpWYd1ZnnbQXMtS5wmd35e+
sw4XdA8v854yXF/sJ/pt30iKW/al0oKkvvUDLXuy2JZ4SOiz3pyYeRp0oZ3nUA4Lwxop/3OHbm/L
ySdS4gYFu0Q6fO7dsa44rJp23+7aBQklqqa1CCIMzM0Xw+EMwjYyL8fThKTOwzJOqPBuixWZQGil
eSctyd3TNmkzPVo56ZN7xzrtcoDbSKrpNk9NQ7LMuxFJd3zAPr9a52vNXBBWhRhfM63OvsC4dvww
kcIs9NDB3Ju8GdLX0/fBdZO7Tb3sr8bBTYZonqWPqmWQM+cHe9C1POvOWIHhhL+3fQ6reowaYGm3
zeAql7hMMjMMrmHCGXAtbhhVCjnlmJzLMii90Ep6Wtx2C6l/qmCotGOph1zqaFK+tG0jcoutiY0r
CjaOU6k7Ku6NAZcsp7vEvafGsennQ8DWfYl6CwCCOK8MWXT63rDzEbE6JCTUsiMMLS1t2JdVi8dY
+LA5oNKsj9i4JYa+Tz26vFKGS7zTksxw0ZSWHbtm6nVPCaGZgTYgqr9pqC27JrWZsIg/sVwfcE/0
D4zha8GeQq/kN3aLQxfmpu52NNTPvWyTi9FK62G5cUyR085cWK0l84ObLw4AZ6fStbp+JD+Azhg7
CSE02MFda7WxzcnTRiln8utOg45EfTT0nV4R+WUQOB/HxNUPdFnKbxPFPisapfQvg8xN29PGqPwn
S450PvWY2L/mZWOm39oZLfVKLUykOLGS1rtmfa1d934pksPMXS/7TIkx21zDr3Xz4Mm5Wm+Sxhlv
eSw4oH0w5K+h0dX5y9xwXD6MklqhKextiqAyRJe5ecpMox0O2er61kXPfs89IXAkabR26F/gBJ4a
+blRZ92zW5gkpatV1cBgV9fQ2BkENaH9afba9zQrMDC52KlJGlA/y1+1Z32GDQBfPn2eEhYi+z6o
E+1xmdBCH7awbYKmORjl3l8AET7nCyvOh8Wt9OxLwETjfigE4hEnf7UYhmIrCBjsqWuMQMMswMc9
uMz1jjIbjKJwoS/HALKDFY06E7XPGCjH/LFYhWReEzLzAHJYTU3RddOk68C9xjCdCxZCK7/LLGVi
w8N+s6Dv00DtaoMf1tNY3iq4PajgdKQE4egQeiNONqK+iFy5GE2H1ryYyhbWQWvI8pYd1HwzyByv
wizRXIGGYI6NbYcdLI9pYXwbOn6gexJumR/VarQxcLSeu8Sg1LDwwtTMLivuLCpaAIeIQyvYN8Er
masCK6ub3KZoSJ/VvJXFs5/j4yK0JqEUvXJ5DCloLF5Y2+P4ANnUeWyw1JPTSCs7jYNmmwHGHE2I
JVOCwmHWiDlR4sjsMm088aKWyWKXgjH5xiDAYkXA4AsRFSqBQyJqYlsYMJzqerJsbu3GIpzPFHyl
rz4LKqDj2AZedDNvPgYa2h9mZ2KO9DIz/5rZ60TVtRLq1dV0/bLt2Hlh6sOQTwQfpv1uwtX30vDr
kzG+S1yCmaWAmXtGE7w6QS2KuLZlfQ4OidBZWk/qSU0qe1l8p3rPzInaaar1uveekMEcuXTFnrYz
6TM89+Z0Vc/GyvZJs3Uo/XPlj1gWV/HueJVzy6qpfDS0wXrLK212o9Ff6iIa+07cG0WpXrPZsB8H
XZs+uEPl+a4hIoC/vJ8MEeUIHEXUklfZT4u+Uri3Zt63OcVoAh7EH7f17IRvodXlZvQHeQRSqB/0
OzoKoB9hPJAibDkrUsPurNC6/In12543TTlOteLoOZR8OCqaysFN8EmsyEdUgwk8ts6tzgittMBc
s6rpfOUsutywqDW/DaLoL5Q2Tvclv4EJ1UWAjK6LwSyxwxjJFVUUZgfFxE8gCQXQE7nR4kON2Rqx
UUYawc4JU2j+sCCZFZE9ks4L57VIP5bcA33TkxAgEomyUoUmmYY8gjXeXJUKlZJNzdS+y8lBy8yM
kd9LL5fqzcVkZcSNyzFjby21Q4Fvx+ISzz5KU5ziTUkO/G2JDES+vdgVmC8ussKhMrESqs73nZYU
z3xkauMwJTXWR5OdJ7Ghsp+KyCM7e2cpMa/747novysHVg6cAP+9DZKVw/LLwoG//31qNZ1PBq5s
HHM2DNPvBu3vQ2vwif+J2I+lm6uHomD+ze/rBsv6BKAEFCSubhYOJmfdv4+sATsKNhG4ubf2Rf70
PxlZt5H0n1ORR1E15Qf0l1KOt52Zf+05UxjfeC6TNprHCv9Kr+Zh59eauPGMVN570p1vfvi5/ME0
9PMh3TM5GDEKbeh0RkqHue/nmcRRPE/cMQNMMZd5LA1bi5WpvY+1TL5fjD85Pn90Q5rOL2+OoV/H
ZGrhwOTNBf9CZwBrXuZUbwq4/ovJJq5seVrr94RMNAsLH4dpzE6Zt62Cdmkw6zn5XRzJhSyNfSXd
FRRryMG+EEaE2y49Wdze8iOPQNIXS9lbpEdb0xP2Frp3UbpszT2NpCz3fmATqnGK+6H3IUKU/gwz
Uxvc0roIZlF2p1kZ4GHJOEYEu0arjAZHkKznvUN5YXpwvRXfe2jqc9Od1EI56R7vF4w7sLtEa0rb
XwaoDxzMrxJvqNQN9wlh7nqtXYrLvE3nj4GH4LkUa+u9Vfnc2JfY072b1BHJZbt44qMk7CYiolUY
8R0TIM4cs8hZbReHdKp64E9BUTbXZa4nlw2TB2gGQRCOomeWMO0Su4l0tki4sTT+hVN5qOGassoJ
o5/mZhPuBOa8k+3y/kjT0Shfai3r8U1MWpV3rMwHAup0h6KVRwFmSuPcz7qZEKczNz7wB7vgtFSG
qekqh+d8ntirtVs5sdnzoWyqIm8h3/uFyGMGlGYi2Z9P3aWTcsp88CcS0gD4GofMXJh3+qh/BmJD
ii9qTWtW5f+zdya9dSvZlv4vb/x4wb4BCg8okqeRjiRLlmzLnhBuZPZNRLD/9fVRvplXkg25XKMa
5CQTF7JNHR4yYsfea30r8nIGytiOJmciz5oAwFaTIaU+Qn6yJpA+WnvFTCiwdqWu5Gqfs9FlFJI9
9VWtbnKtFl4Vd4wEGS8hia8x3dW2vXR91GaOt157vTCaMs77wvLqN+vgsYMligHAh7QIilVxEmCs
gJqMsKvPWza9wA4A5Wq54QPQ0IfRqAaCDOjBKwkdkdhDCjKh45ANQqSMi3jrWYOqr+tcs98gvdTU
Hoj2WMfUn/KDSBceIjGqpd530my1mO8R/69F3gNx8BR2SLEYqZTxijSgPo4lHe1oNrwk3U9eLb+u
RafWHXC2AmcFcp/0/SDrVsL1lKaODHUZ+yF9o816TkS0mSDW07jXbWw2RYOE0POBQQ9t4InQJS+g
RUOU+sEhCZz8aE2Ktr0u0jENoYpYb7xyVHybFn3ruHHzwfo2Gc4E44fdqr1CoUCNDSxUVKd8GTNE
vZ1OPzzS7TWbb+n9KnVMyHvgj1abKM3krTCvUB3pRRrO2eQ6O6wzjO1IcCz1Y7F0iEly+Hzdg95W
dnl0WnQMJ+XSf46UaUg0rcigOFHlM7CyztbPO/Irki6sCPRI13OJsbsfdkoCdkA3kgQrY5lk7jW3
poUCsjLqy7EeDzSDvDTuk6wzDkrpmDz6oWs4QGVLdzQX5SKucbuyjpOcOSMUiwzz4dBpQOd0R6hy
X4+DHk0SzdKRGafL+Q3mK5UNRw1SBWhxBNdl0AXqCFVouisNZLqX6Plm/+AIFLi36Wzz+O44gtrF
+7ZNZrRg/dzNNOJtQIwcbxoNpy+OO2PsSStqEELq86qBJVCFoyE9xdpKwyKHemoVSC4umoII1zPN
BNN5kFOSfWtowawRGDYyUXERi5xpVJZegbSrrBiMOMwLo8KJ7ridNoWC4PRTSWAYlph1csbdWA/O
iKmSAjkujXyYb3kqJy9eMiez300anp4ZD3OVYi2054DF+iOpoB1lvewCu1g/LhtX5m2SGasfN5o/
L+2nrIFMYH40NOysPJdMNamLCe3scnBrCGzAibrQJ1d/mL6lommU8LGsbIE2X0bhJLmFTGgZNXv6
NpuZqsW7/9RHP1r7bJIUEjrdbw+dm2kQQPSkLvhJovG/vywP+VOBxi///t/1E//Sj3qJRj5RXgSF
mNhHwMnp/9RLhr7VSy59atJhCYxw/imYqLLQeGzxiAwO4NV4f9Tjf+wTP6mYLAtVBs8J+hFI1cwa
XnT+5tRJJq3rPy3N3Lk7e6xcISMoL7q1oscHXgUkAaTxWaaSJJTWIs85edgVp8K6k/5bVSJAS0Ia
F1UnP7WqBYaLgrqUXiwrT1/SmIXe9r7++YP3pntobnv58NBffu7+11bTf0WUjLY76//n+X8iV/m7
5N++uGf/sXvU2dwMD3J5+6BY6/6ldNn+5P/tD/9W69wtHWqdr+3QcKZ5CwLiuZOIrvFrj9BtW3+u
no+KHv/Gj4fGQclDGwmBD5uiq8Mp+tdDZOuwjuBme+RkEYBsM/L5V9FtGPzINwlqtplEUBf/MyjS
jL8YTyDKAXKGX8ig7/snZffz0QqOIIPAX/3xULClaG0jrqedebcNJsWybnLcXySwTGvTcuoILJ7c
kV8U2y8L4MfLWBZnWV4ax37JCaQZx0O42tvyXKgL4oogAk29EY962u0yb/FuX7+e+Zhl8s/bgUeV
04xHVc/0y3LMR23V0w+WlP06JVKjDAjw+tETV8uKGAhxqoXqvF60fqObiCHdwA/MUUNfdTRXc9dL
0DHYDNCIcWpqt79BNlj757Yx28HetkcqzUPpZ0zwInpi5SppB2iJNkZI6ogCiHM/SPucJG+6s0k8
47lqrKhMK4nsf+q0YcTOkxuFXTGCHmxjjGhieh6q7g4j03SSjAqmr4bR0XIMZ3xjEy1qHTcasj7d
mkczhopLXzVCw1q71kfZ1Es+xSLX7dQDsqtrQxI6qgpcEaLo8qTBZpj7dYAbvUppGcBstJJ7h07e
+t4TRkXJPCtW1GMv4dvVkezRqB50W7iUMf24kvZMD8Jqkzwcpwb+Vex42ux3kZ4UbprQkvNK6C2O
M5P+6uuTV55VK4ORWJeW25i7bMaF3gDmQ+XshPwumDN9zbbY5oGAEFlclsJkGMEZSZM3WED07Lwe
Ri3YOu66ndCTbWV9qh2j+kBIuXDPKF7LfFd0q9F2MegoI/2kUr1WZ5z2CLmCE0Gz8ftS9PKOIVdj
nml0zrAFz6sp40VYaHU3mEOA0KP2zTvbUN2MLoa+MWxJNy++tWnhysjVNY+euzWjy6WX5Ms9ff8g
+zqVWMAemha1BeHYiEeYJxSNVZ96YRlavLJxwG9kojX6X8gLMcs9kp4+29tmvYANqEwoq1o0rkzg
rnJ7QkcivTJJTrPN0Rcyqqa1567XgI4Oa1SqDaaXVGjVhTU3w3CLSlN3LysURALuxsIFS60q9atq
0ifr1KIlLCPlkDqWRxhbSZAn76+zdkjmLXcNF3MabfJ/gEm0+1zBhjq5PaaxN3NKXoDBYa7p2pNW
tIFZhTn99v6MpFGM0xE+odbewb1wOwkTiiIfRgXBoFlBm75CHoiFR60fg9EykYIggOWsUZfKLaMe
fnJ5CcWoCK4t9L3BFVZ+VEpa65f1LaL2fLhih7OMO1viYykjk3P/mZasNefcDRbtdgFH1L5Md81o
52hC3Cmpmqt89Ov8csyX1OWmLw7YsdmrU3E5pvY0lFEl9YAd0ZtyvTr4PsfFM1HDiDsv3H5drpbV
znC4eB1S+0kN40AfNF3XjJALIabCOOSwmRn4GJ0rPzIRUNMNbdSEinIFODLe4je2K7AzP6hd2QDB
q32EeWkjmKN3RUoBwOqzGkmPAeoHGIzx6oYJy35Aw6bxB0NMDdhExlu7tkHc3y5Bb+XBFWtWKxNO
qmZaDTcJxEj4ZAILp/S/rD1Q1/WMbloi7zh42tpyK9rZRoKTW4Be3R/ss2L00mInflDRWuY2ihTX
DZeGmGZkujpl4H6jESgGR+iWpTR4Q0WTw1uDyVZCX9MIj1Cg47Avo4S0unS/MsqQBw+Zlg7+stAw
0WuU7zuQKX4SS0442nHuU07V8hEBp2v60J25LBywtErsHIcGy1QVDr6X2OflRpJrUgwzcWnzdYSe
ZhRJVNm2ufjxgqZQy6J17TANHFurSDlHW1LhFMPHlNqy+Jhq4yKD07gwqahugsbnOHDJSDHJwJVM
hL0Pv9E8PN8u2VUYtSLTgD9ADAVjlRc1l2vmA50XPQutwUnlrq6HFs4dEQofXt+/fnkd38CXzF5p
OvaL5hT7vg6uGZxWW3YY4LuqG2+LFhLL65d5vi3/vUnCR0S4xm7pbWXs003SK3JfeAmX0YQWuGdr
PZ+ELs6UdOSFndnj72KNtn/v2aZMqCU1+dYDczwwji+ul7ReOtPw5vatMw3rvMG1tDptC7PPgJlS
p3rYErP2uUy63/E9tzv24tLUBKwiyHb46twX31xLRIK7mfvC3kmqXTGV1b4Xrb7XafHHr9/Vn788
PiRqahMFDhu0aT2/q2zWMGEdLsXYPHlDOF55gbg0/c2j+PO93D4IpA0bCQnz/xePyIAKTHlIZkN7
WnEU07biwyS1c2/bSMN8sDRhsxTZEUVnvX/8gP/prv8XhK0n3/VPp8XLz0vb9w9Pz4uPf+NHqW87
f5FM71goiTmQbWX1v0t95y+dItqCJMD/mk9Lfc0w/6LdDaCAipEWEMXqvzvs28/oTrMGIOoHT+sj
2fnXMefvovs1Qf+Lt50LkwLJkTUAbPAICX7+XIIFxF9c4qFpcSAdCs4dF4OblXuntL4mBJofn9ya
X9T8L16DraMPHIEjButM4KMQe345GzaLg6oU+5SiGV3SZQoRJPwufOtFYvp2O7kMKyQFP7Imgouf
XybDOEV1hPrMEAHRAKNIz0voIBEuXeu0FCmGZaUahTPXzEPkIOMVO6X5u1d+u8qT5eXxt0ADB+4I
FoGBuOr5byFnoQ9zR4nP2br9UkD8uFnLw1okxfe2bZ1vFBhQo9tKndcu8DdIieO+oNMrd40su2tS
WsxPDqzC0Khx6x6KJB8fMH5WN4Mjx7vBQcWxonC9yJXGfqC3lXEyGIO7kaeYPmZB4uOjkvYZ/E0i
uqTWFpHI9ATmnA56QFhF/5V2opPtcFdzfcRX+zY1B/pUzfRplcu1HXTJldtVBgkvWbuHtDfdeRqG
PxCsRVxTa5ETCU4q+7GM/Wct+S/qgycvzM9rSbtuDCYxPF9Otr/093Ki02RiMIaaFOsnawdNgB/t
J0v/y2QbRRDJJsPiH/CTv8d1Gv0nWkEMNHgX0Lo9Hnz/HthpJvAmaE4mEBDL9pkC/tFy8uKRZ+uh
YqCxwakeUBTXev7I62ilNJAYE6dUQwtTrXUu6sEvboSrGFs/uTW/WEteLF2P1wJZApSeSZqvG3zg
p4VKOXL+VRVDaT8gqSZKpD/i64CU/BUm7HiyyKn7nVrwxfK1XZK54LZ0QcHiG9j23yciPnRndVGY
YiLtZ+rj0Vo0XtUs/42A7xcfzEdqaqLLND2LduXzq1SeZRNNiEYgw+WXnXmULhw8fWfYZ2bjO0h5
GkaDr9/MX3xxyI+pYNlSKB5e5n9nVdV5Tu9NSE6XgDDLpabmztYCc5Y3/C4Y+1cfMEANzbK4Gdpe
esiKhKajiQU6HFGzX1lN4HzDki+OQhu78yGXTJJe/3Tb9/JkJabXRuOX1hjONexx/P/zO8oDqY9t
SSrSOGUnXS1f5izpTgxT3jNOCC7qxj1lnIRev+jLh2W7KJ1drkguI6rvF+9C1idz687FvNEoFpT+
7hypqq1+87D8fBXqZ1A00IdQiRO69/yjjaJjzqtXcyhoD12BDMsvhfK+vP5RXj4dCKApJxnBm4jY
t5Lk+UXmBXp0J5mBdo4h3wVTCQbUJF9KGeTk/vGlaGHyQgdgbn/+PIqYHgamDvy/dGMz0GGYnBD2
wHRvTdmw/uY72taI5w8GHhvWK1rmHHlYIZ9/sClvRd2qhhS6wk+ORbAkH7JuHD7AXUova2PJNpr4
b1XyL59/bifFIAcsNK50vV5qgVE9CdH52RpWBr3EPFnnU+EHzYWFCDNalgZmyOs39RcPCdYD0+Hr
M0DkOdvPn6xbc4FbSa9b0OSJ8AFRWMnR95b58P9ylc1fwPqIevfFgpw7Gz2oBlprmR3CosJI4zmw
fieV/8XN23wSqPIpjNnrzOefJalWL1t1XNQT3JtDS1DWFc5T79wE+fQ9owV2/fqn+nntoCFPJc74
hg9GIO7z6y1b/6ntxCbvXI/c5Y1Wg6yYuMT7rjYwcck+7qXxR/E2TKsYDtChRoSyGXd5755fdWsB
1IguyMLqF28nB6fdt9gHjom2Du9e/4A/PRzbGoU+hTxl5gu6t738Tx4OwQB0gLJCYIdvqctpTYsD
Rrjf4bJ+uooPjYuZApL0TZwevLiNq4bgzqaQDcslX0gfRJ8Xd0iPb//ww2yrFJoknnJ2aE5ezz9M
IXwUfX2JfdIFSAp6GtOGNNWfvk+MaJjEUHCxQcPW2J7RJ7eMVPjeK20e8oBUg9gcE2ydbePFr3+W
7Xd9tjjxxpIJqzvbSmhx955fZeGkP/oIaejZ+9q5LNf1miTqOSpcVexfv9RP387jpTZ7EAXVJil6
fiksO/lCxKCNsZiUqnCpB93Gjcq5YPf6hbYF9flnArfHhGpbazkG2i82RTmCswRsi8UYuZPBmr70
3jEHB6tFprdMa9SbS7lELiqWzQpAzgs6SuSLf/x5GTvxZhk0zfgKvRe3lveV1mHuASomtCE9J1Ip
0A+mVXftbz7vz9+ha3qY7pnPbQffl2m4EGRwWjKuBSfVNnvAKvQph3U4plZn3r1+a3/+Dl0uYDs6
bhaqHPPF8uuuhkNCI0d5Na7dG0+zm2PLUOo3heIvrmKTt8KUiKuw1m8f+MmjvzSpO1nVlnvoN+mu
LRkONsOU/ea2ASB88aAAmKWhSnYRlS2VzUt/l5MXxTp6UxoVjIjnHfBwLMr6lIlvnt8n8qOG5tom
8V1Qn8Z93iWuFwqZEDGbqjJrbl2pvHpvAlVl+dSYn4TSZGoTIwkCLZCX9frNc0arA+bFBOYhgdZU
RDYY5prwSKXL29RSo7fHla/L3VoAXcZanhqlPNfnZLMyq8zCu3qugtHrk3AxCAPA6NFmpR3gnxjS
xT8TJhj7m4JY3HHPSDV1rZj9TIw3zpwsIyaFIrB3BNUOxg3TPoAERlcMMM27MgCAVJAeccCsLrPT
UKjuvZO14GdxkNaR4NN1bxI70LyPmZyW6lIHF0mYHPxFxjJ0NfVIp20VHMucML/rNXDa5Wxm3Fne
aImdi72htHm+oN5eakZ53sAYrpmKDph0A/q8QY1iJuyppdN6u342c+dtu0Gy9xlNfTuy8IfYN2Xt
wLspzUTcFAYOhNBG1AeqpVOYIUpFcYVh3O+c/eAos7k30yTVz9ueHsw7lJgZ/moMEXn1ucpsN9t1
PomZpImQZAjaC3NA3BP42h+lPZLnLAxmihBWp/RTWUw0TnM5w+uqZyN/pwOXWs/8oNPM2F5g2UYS
ADsqUYAq7/BTVMuxXf1qOhulByVMjcwrK6tbA9wkoLr51pgYyFjlddZFM2irm3QovTaqvaw2Nop2
1VCH8q/fZOQfYBqqXUI9rNqpEBhV7gwMbKir/qrMGNGfN0BqrwcxWO7dYvtqOVMKTdOGTqpJOdjh
CSmQ7y96lfYDgWQq0774BTNPK1otfVZXEl65PE255li7TsNm8Q1a2nqGWMNPMBdUCq66C7krtFmr
QedDc8I8jxC+l7ddLwbEwNLpLItkSJ2kl51jdb2ljqULaSaNVdLq9HqaWqTeuEvJEEXUZIpUH78F
Vqv3F7YvKvUwiEJ2TYRoPVjTvb1YxpVe+012rjpSnncwNgxx5JdQX0sdEwH6OS+/Rp0qoPi7dKyC
Nu+1UzoFHj19Cuy6vSYyw+htjnyWNaLigyhZ4yfTAu0soP8/ftGn2mwO6RBUfWwGojRDrXTqTSxZ
9FMcFKjNQqmvqR+BodDmMznmlRetGTT+m7mymJYbfTAGl3OfdeqQpXi3fF6q8UAkQaN/rZWV2QyZ
RXPaMlaWi2pOtGo/+Sj+z6ysNPTdwsszwVBzxqt+stL0NBNAU731q9a197IuTAbXUI/MHWmb6Ryv
m2UoTGizYSJJyrHblYVrBzsCeGpyOIqk7iJWUnYwCFLcBm0JVkqSNmGyCmXsPVBzfTx4/JP2zlYa
j73ysoyQEma+7bE3N71Xb0FTiWzViSTyCxg+YaK88mHtvZwCGPRTFnbMYI2jM0zN9JHkE0HeNSee
4JgTk2SdOlWn9vUQpJP7oW2HIX876QECINev/PVgttOQ8gillbMPmj74IJw+v9Q7yP47syraB90Y
VHqZdTAGwrWHlbRjDEM8IPwtv7oVkmTEUNNbY/uChumzjWcHZFbZZnftVED/bKQXFFhOzOaqnBvy
pgfDz5ejlzK6iwxFsDVWQw78x6nMDCeG74L3L+BtvG89TW33rKpv1CAbbFtzpV2VSyluWfg9E4+f
r6UHyxxZNdDK9cD3666860oBc9JM/VnitE8ctV99UhfeLImJMwUrLV1OlUsHcL2l+f6OsCXIt8gX
pb+3jY7hcDsXMrmHeQkDDpFzZlxYQa+RozMF+VnLesHg0YCMFS2Q1JqPhHsRLdUMa/DRrdg4IxMG
oPtdgLrCYGMYTX8iOgoHVrJkk4ko2K+1Cxf2hIz9pqrcc9w0RAxBChuCiE18QZDSN7hvbXPolz2a
VmONs6T3oGDD9KIbHCyIH5mQ9ut5xttC5LpW6CryB2iq52IE7BbObufUO39RVnEmdEZAYVoxmX/X
41LJEKDYaXCus5VD/wT9hTaMphA1igvIYW81NG52pdl5X1jWhH4JgSfdQ7q1xWaPYaQEy8Yp0aa3
tgcFsxqDaNZQpp8vAxxGkOQGA1Cd6fcckmbKJ5nSgXleZy95ETlj66y7QNrp/ZIYtNIWiP46EvZx
2qTwHqwRwLPQetIZEwzo1I6isAtc+YASGiixnS/VpoZtNkRKYE3HeVQSnCAjNRG2EwK2PZhu+1O+
yOm2ICQaqQz61y4iHFp702kJMBGzY9ZNio2XdpCIx6A4RxYB5WsJtByHW8sYee9lozDjESIjapTR
K76btQk1sA+MySO/q16++J1QcHlta4KBifSWtd2FOxROuqH8OOgMYr3MjRZ41OtuMzCaI+fVET4F
IN2pMomqJiOeFXl0P/h9kzVned1oyHczgzQiqBwJnfw2X27o+oF/cVWnE2CBksLft25RnXoyoiAP
ucp+760jVp5agUwPVYpZNSbaCktZXSbTGntd299kK9Fb/D6ZY+DtwruGFhphxcbkCCCGQN3A+ztt
qh0dQNq9ydbHK9+spDuPQnrkrTnC+pYRwcYGOFm0tdTYbHMGdgIzLOtRaJEkKpVcax+gTpSvZfMZ
gidBN53VGncjEii2gsoU51KXBQZW8i+rndsU3s5LR+VdkXi0+nt6C7NPgVSJiCZJmgQh5BcdIrXw
ymJvglgS12mCSJshaoUIpE/9urdI0RvH6YQzEjE+vgcdmLXetNllWVaziRoFHvutuTKCjVpEmsWV
XdjreCjxO83HlTkbVqxscY1Tgna5PHXUEv1dUwQmuUqgmpL83LWGtANptVGMmZY5yayv+1rLffus
FYxh0gvTwkL3VU6UCuyvpkBiTUK0IEkH1qVr4y3TcNp9omwx21iuigFtISY4n7ZWD8ecDVEdRjd1
nSNoRMzBXVVjRYaNAgFoaAYgn4DrxjmyOQneC21Jh3NZAcDjYtKgK9x6yw1pRSKI0dIDWsIOnZd7
mbjDEq8+AseYxg+oUYoupOoZWC5uv+AW7PhmnPNeWUodBruvbnStxcntSmf9gGkALmuRgvyJiZmx
30o8jeeOIpUtYqY5XKSJtcVDLdLtIytF3B6iV2aENREaN94PqWndL5xtedzMYDCYRveNFwZwT/o9
Mp0+3W3hcibIGmIAROp+o9fvumGLDQPPpG6J68zWPdRr/OYdCyBbY6gNjXalS9IleOSbhF+vJVA5
GukpEMBt5MV9omesIJoG2hx8KEViiKFs7MgfKIbPkk19igYQSkU4gtopI1kl0wdR+Bhk0wl0WbgJ
fO6IIwIW2xgGkQfENvUkIrV1rqMpT+W4W0xfjkfsIRViJ2yZd45mYrdEn+3AG1eLd+3qqQtprAL4
Gll5VtybZi6LyHeYxgF1rBrMOR3oHwmEGj3XMPtvjanQajiiBWIZ3HSwILJMjA+ka4M2TpeO17AQ
hZLxUAzeFnbk9e/VsGRf21LSMl3JytRjzmzT98Zfug/o1twjAnJqKeJ0OC1xFmhVlGrkwiye5F11
JE4J9pse5niNdMcnTMrrasjIVft50noPo7o910DEi8rdoebLrgk7q7t3QS6FG82Zp3iUAH16sYBt
gTXf07W9BGTo7vG5M2b0GmciDg96eR+NJolZcQkK6mZoCrz+5OzZF542pul5VjTaO+Gmnv6u881k
gidejm9WYVvXsyKNPiIVR3sLoTDTdq4+uvsgG4YLHDQ2Iey4Th5Jlu0XiLPtNYFY/UyJDZcuVKYr
1sgeMmg+tUHozbYdJMnBtIdiPitcDho39Dymh01x/x1NjePEtabYPQkhRBsYGHPzebYZyLPl2ujZ
oiYZFyNBvun0HIO9pVkd1jjZsEzz+LSFOnmsNsFHbVlreVPC/cZM2pP9vuy9nJT4d1ZTN+TZd+aS
MksNLIitb7JGg/sbap2uhIgogPiJpyfee/ij67sJr1u/qyq8lvuhs+AQoSp17lNVjJtAjq4xcb69
FRuQz30epWLB7gMNzIeYZYyneaVoj7wVSlLI25rz0OlM+UESmHafPUihKTvsWn/9PAs1fCsAbcMP
Dth1eE7xHIWdJvD8W3VaqpAlozk5eNWyfY1guY8SFLHw2qWiAl5r03rf5pb+fixYvVlsK7ISA68a
jkUD8GgnQFZfkWZd1XwPHRRbj0r9WwoZODh4flbed05lZXHfNxUZS3ZuRa65BvfOPGjdtVmi8uPk
BUyr+zLkHOTuqpoh2Sfu7WLsSm0CNZvNlN5hOQ/uu6yTQRm3I0NQ1EweCtwElP64T+11tU+1Nzh3
qJ+H+TBTCkKvHukmBDeQxbPi1HiaD3jLw2i8M0eF6NOsxdeNnszahmAOcW4Pj5uDMtknO5pNFOQt
HLEOQHnHSWFUs3PExFW5oaDeRGtgzOsdwsvhUwoz0ULFpRv35Ce6l83CPxIByGKryCd3fD/lUle8
HLpwdjxx1A60T3G6+9jToV/hYYKwWMuuj4Us0uogFNZeZNRj87UOxpWVjyntHLpOgVF76D2gY007
zLuFpEco/qQgElMytMNnbcpkfjE5rbHlpPmePDD+xBlAqTG8lQqVLdu0P181hqqDndmiCGOTJ8hk
Ra6MlKEZS6TSo6blhy1lg4+KiK/jMZzco+fho6EXQeM5dJAliKs2J2cxyv3K9S7G2kjvG+mTOJO7
XdeH6KPMO42I3GazcOE9VrO71W6kl57yGlQRTEiteE/Jt2zBdeyhkUwcXn6BujiNNkF2FTq9AUq6
9An2i0awtV89KNgqxP460ufx8IAfZvbqLua5ZDls5wDjpZbWQRpXaaGX0Zb18klMLDOAUAjeCFd9
rd5pwl/fgEudHyTBrrzlcy778wk59jeey9TakZfk5d8hGzfioFMba+cJQUNGOBDIxnx6lEZ19OXQ
NwccKuycwvAHa8+pV9c/1bWNn7KxilLspN6vX2aRs+4Qb2ZcV8lmfi+1VX7EzoTOwhhzuVEa13LR
kksCK2ezviUPFuhcIYalOKAmz/3hSu9QPcelWOEHtQhYAVuTn1h/0gG7GFEqDdUfVNrRpgLPyVn9
rqSME2x8k+lq95Wt59ktQ0XPLuCwryXvaebolXpbWZUTRI47M3ARJZTLSz9xp+9YGLUlwnRSsk6b
Cadlr+S8kqOcvihXP3lwwCd9p7gdPnaEBZpkKXVD9b2Yqb73QEZxoBtuaxpni+qK9hZ+QycOZuX3
2Z3bM6ymCyCKD33av23KxZccIuBbhw6PBq52il1UMxyLHHh8nWMeuc+fVG1ciEa+aVr7O+fdMs46
71tTmfPHIvAV0uc0wMo6naut5NTwwfk1UX+lMZn219S3l+z03x2vUgIBvSGGRSOMblS5dq25jQUq
0SxQKbpEQRZRoSmg1qkPh2PxaMEeTDU5b/7bb+dESo5/HNAbtLIpjoORQVExvAkGy7jlZGbkvNEZ
5eky+eq6C9AghRRa5bvX+8I/dVKBKzERQXuGNchy9Bd9YSDIDk+mC22bux2B+s2iuUuCWOnQFV6/
1MvmMAdD5i7MkNAS4HZ6SctyZmvGggs739Dy8jJlG4xt4lH/cOTNVRiJAMjdxCwoal407xWaq77N
yKYcbE+ecwhqLhC2WL+5yksRGdq8zQa+CUTp3JNp/2I2rNJe2mYP+iCYtCrZy5JdJ0xGuxE7BFbL
FUmb/tXk6ZwpSsT473w2vO+6a1H6vH5Xf/UFGjo6PXSFJOd4L36R0UlsQ9P4AimUh2jqodpqOk7k
Rmh/jyv+o7z6LzrKT+76T8qrnZo+93mTP5VxPv6VH7ory/zLsCDwUTvzXP8Qa/5bd+UxH2auycAb
BY3Ft/Mv3RVwBY/HiKeI2SrEvY0B8G/d1cb9Y66nGwgEmUPhsvoDGafxCCr7Z7DGq4B4Bykzv4PB
tBo0w/O5jEXAkNnR0qRKxV/ddXf2jBA+asZGWw6c5JgkYxvjqMeQbxiK5g19iPw0FaK8r/Qy4Fjq
L1+1THKkF4FZxJ5fCvOs7fI346C54dLmcJ6bHiprkX3w3TzuxvwLUTLW3ins86bnhGcRBlKPMEB7
545rOYe2Kc7MRe43blU8NMGpMIf7QYrrIbXcCNRRFtuzSRU61nfWwMzCQq74nvpc7DK9WMhn6/sa
MrK2jMPBetwOitpMvgHepQ6ntVO1t3PGqo4VxMWiYFPw38KMzXa05nEMa066wPLSxVXaeDW0f9lf
a+iwwRcsM4pKP5lGBVzCEel7s7Wa4c7QFOyDHJpVvgN+ZozfbLGVvpoaxz7e7IpNZNGzJgR1TgxK
ss4g4yUmTMe4bDNDbMgljc9aueX4gZ7+Euxc/EOHvDRHAK5dqjc7k8kFzHnA1DeZ7UyXRDplhF76
23yjsybCsWj11/T+k/SOqYoYrjaXz4F5jNSiVvfTS8RS83sToNqOONv6cqqMA9dGForCw2up11NO
zvShNHU0pza94NHZTSWZ78BBRajhGTjDg0GAsamSIxPzaGLJbgpArEN2pMFm7zNmUPEkPPvErroj
ji9kfH/qZXknPIGsLpG3gdZ3+3xc1xvqKiJYtfzD6gTZpZllxUGSP6RFxaZrjfvF1ruIdqg0Pvg0
/Ot3mV5zeg574njT2EuDfok1zgSi/LEd/dFq9qqx9JnN9DL/KrG0fu+f+03/v7SfMt99bTW7ytMH
+XQpe/zzP5Yyw0E/vpmRPQjfQEo3zdOPpWxzKRNywXKFDgRDGq7kf69lpvUXamr01AizNjndBrn/
eynDmIqYCRsr6khmtpuD4w9WMu/RpPDPSsYux3Kps2KyhtlI39G3P5sw01ggG0S0uyStzPFUk6mF
eJmgsSqahHS+sRTTe1csF94RqAhJlK0SvX5u1W2iHfB6GEzlynEBdacFY3WecFq0v5E+nIvrybfo
HBUZMuwEAO8a25NIPlQdHXta5nPz1WF69EWhl7oM+gaMOProLqP1KqzzQZdt+mUyjS690ExjPffN
vj1Qmyb7ipaAd1r0Rq/2CSeQmXFILb3V2QGKIz6UNmgnL5dejuqIoLt/B2jZJTqKfjbQpaIR625V
GXNdJ22y9fuCLc27cOkyhGYJT+ToF65XMCANvHQ3uwVI6bhgaKofFkR7MhTQRPSHhlmeaAiU+D/c
ncmO5EiXnV9FL0CB87B1On0Oj3ncEBkZmSSNxpk0Gvn0+rx+TS2gG2itBC0KKFRlVWa4c7B77jnn
k8ql7GxqQngQtHOTk6Jzb4QOIlKd0u5lg02W3uI4V7/hJArhZmIHs6mw/fubVfXsU6ieT38mJsT3
juQpHdEEVrvNQivdblJKDfHsh+qJJg/6msxuYZ9pMjQ/lNPgUeXBqH5pGhepR9td12/aCYLFdjSJ
fcFGox2+F6391FIltRupRzxTo5eyglnkB9FFB26oEYnruBghLwTq4343yoU4Neo6f46GlqQiZDnz
Zv9S2wot96tyshYUiQSXt7WaAua92fb9Me2MrorLyEb7yBdKRoCNpe6V1vIB3lJEDHrriunTmudx
iBUTHlxPSs8X+gwp2XdQsWz/qWjd9rdrR7wWe+ZCiyLJ+mNh+jis3F81C+hgfVtl5f1QHRRZcZ3P
fpMg87BbdNzMmmLSa+z0rNx+rpxJmXiHm2ZND2T4+KzQM8Zyiw0sa16kGikd5CARIBF0vS4vFXXb
4aV2AfogAXv+4qT7NfMH5xdenSqyNpi6h/VKXV0JK2gcEVz6wueLhSliydt9UTY7c3CblxWUy9nt
+mhLwdFFNfpujca/U4P9IWpRE5a0AxQiC7ICkkODQbC3L7yJMpRoTHQ4XeQwm3TJyfpbeHRg9rei
8Cyjfro1WaPrIPw99223dTTAB0xRzcZi8j+UM+NV7+l9Zrfs53KpDkzR7HNy422U5htoI2ffuCNL
urksN3Jp5Z789UW30daid2BHe75zWCS9+0PwlgJDbOriMISBsSEhR6vnAmfQMHudlKv5M+j6Y138
b0gxZ5AlCUU/7K5nN/yzSvfHYFWJyfMBWc5+rlGP41tICvzWza2eVkmKarPlhc1eTxD4pOzjhzUC
ehdrKipQ5mzr4xsoPSbTcLJQJrWI89QY2BfC4V1h73wrvu+zTpksq+wSwZ8DauHZ73WTvY9NdgJm
/uV2wfN8syjMCA2RRwwUHna4VcZ0bQORfbZ59UibxRHntXMQluhjOfWnNZAUSbbGfZbjUk3le57R
mVhla71F8b2tw8z0tbQq/2lo21evnT+NarynxJTV63imbkbeumTudNpUrzzVO3aFY/PXF/TTNRwQ
YvwdPCx0oBdUDf9JzCiWUimoUJn2NzTn37ZlE7F06dqgbCoi40XtQQIwwSFCT1vjlBR63Ley2IV+
w2hiT+1ByPHLAfG0E57/g8eBwC9O5Wsd9Q9A/+hjUgjmVupHF7od+UQC8sWLN4RXsyZq3U4eEpT1
Toh5JxrH3ES5Wz6O0Uitus2yoPGOA+caodPP3He/a5DmMaxmrB2ufh81cKBKU9uVraaX+M6Q39E7
GHflmCaeD6WZUAzITM/Zch5liGwHFreFc0fMtod8YYvTFLDLoPCwpQZZnWlZfw4mpnRD8AhpqZ8H
dPybIp2nipn/5CvZ7+dg/pAAHp/7xtGxnHW3nU2U/GK07QOR34MNoPEa3gpo6DtFMzbNbeFwZtRu
MrJpSobSEJ/0LezZjn5X8+S+qNm9B8a4xW2KGIV3KRGdFR2qvAi3+ahaFMb+ddDTT+U37LqKc92y
OeqW6a1qnM8hZEHIw8a4alykFHlIGVPE9QhLU6MG6NeRRs+d6VpQUda75vagn+U+mIhmWVRSofsE
m5w7CptMui9cd19OVnPw8wH8gFIx/ah70BhbuRhcnZ2B7q5+GrM6LVl3dSwyo6tpHFXtPvJ8q66g
M7PNGNJ4JgoEWc9rf1CMXj2z/msPy8l382RhhKacp7mwGor2Pd3eu7U2HimgBPgc9dzr2jhWnXtq
1TB+52pO2pTqXjzisBpskM8uS10WNN3vplkeqhvWBGrHb5gmyzbMi/rs9gVYlrlrCKDZO0LMT+sU
4coafOJM0Y+hV5q0pPvYCO/kz8EdvV4CPZVO/6o+8Govi26T2pLHHSbtsftrjmb5MjZcjATy8XO4
GwE4BP4gpZqAVlcB7iVgnUaFmh6RxfLAGeIopyDgzaVwYket54j2mhOHaAuavcZO/w4cloPFhqWP
1dc0i/3jqM4o1Wq3wKKL23tsxr0RvFBlVc6XseqYsmCwGl5cj5NX+I82GFQW+SY4mKn5a1tT0FQg
xwxhr8BFaKhl387qwIqLHI1mK/jDDpycEK7sc2HN2frlmt2ogyTFghxae82AKO29A/7LE/vUaWxd
7weWRgY+m6E+sM1X9itfnt0oGpYM82QiNT/opdOPw1CY37TG2CweeVcA4ebFQD1WH3hl4x0Cg1LP
TVUpZ9fRT5x57+UMjoVVYqmR+GqXa+hR2tyHRtIYzmyOR1c0N1wub16PVdAqKtFuDRNUT/WRLkSn
tmHTvAJLmaVxX5g9AbojkASTTik5M8TlYgThwYvPs+t1BI45uW6nLwJXGa17adHl7hMBK3Tpwqv0
BrRH1ol9K3EWkFFGTt7b9KSVVFWxZJ22MnX6hY5Xc+qwGVvSq7otG+CAMBI2uRrgMTVbgZWEzJe0
DZeV48VDKAOeC+XKi+ZKXr8fHobU7HnI9pyu4fEuSxA7Q1ftyc3DuMiQLIvP2uq/Rl4ExauVDU3w
rC0xZkfEirb5Llwu1IQj1AO8E8H7ZL2Ni7v0hkbMB8NpthUlwDgX5mKd89vaP2+po9oPasTZXtiY
0dBYe7KZf9RsLsXDXIZ6/BgbmmqPqcLyuM0R/wXt03zorlvQ4UpykY1GiC/E36nBmAX83JszNCn6
Pgx2I5X8m5p6snwP0JfGcBEood/ZjA9PRJIJ7GeDb/WsoFtpbwoFOfCaK42lDVRnMe9rgCiUr0Vi
ZH0hDf+QRrIL9nlqCpPb24W3wZG5Sigk4AXKoMzmQKU0Xcy0VjRb7vSq2rYOYyooY+JqGeRlbEId
S1X2Hfly3y+oAruUVbQ8WmDv3Ld8ZqWDDxIex7alGTlKdJA3DR+aCqHkOBS2ApBkFl7WcSRQ6fcf
lAOwHWblBNeolKdqtAfsjsu473W7vtswoj8nKdjH88KSfVTA8Pbs/VyKtN6kBvTKVoM+cXI9HiMx
eDHTgXHRUdAcfb90L6Wa5sPq6vloDEH31Eiedh7sW1jOw7wd+bhP/roGF5rL7EPAevZkhjy2+CmN
BKJgCDDSL2gMSIfy4Hek4uhaLM+hnOBfpnLYOYXfvAwSPOBghpKEeOveYQqVv2iXnk40q4k3AQHl
YkxZ/7de4ERvAs74f6D7+n/7lvbFDYEhHIwTViHQ3nZ7hSYsEqvC2dUW5QrrBx/izmrCiXNPYaMs
VHCbncH8XrxCGpuKxwjVd8hHQF6vEUDa23vluyW0uKHiKY1pIAwxD/rlNzMrWkRvwP1tSvBbusHR
N/CuPFIQQz9lvnwTOJyPfVktB6+PBNBSvCCxMWmRFBkPRiMrqYoJXXO3dCrEhlN/8NqRoD91++Eu
Kksilohx1ab5W2tWehvK8RxNw7h1MNUA3W0ZT4LJt4CQ3VhTIBjVOwzAfotgFGzpzijjcPHdg+7G
PwPExd2AR/NxnjsYo6q6ZLT7MZM5QVyGvMvLFa6yVQUlA1kV2Vt77txXXUyv6ezmR2G6RhJW/o4S
n3rbZMpPsta0TlYWkY7qiuJ3RTfqPg2q5q6qLdzDkyW2pRgw5rHh2dizS5udq9p3fhKOqEs0qT2A
64VJUvhHOh7W61wN7XFKe4TBUmncdJRt8pOM5b8k7P+UEvPv6iv/RoX5D/Wa2+/3P3vB/h8pAiMw
+x9072JhhXL967/sfg3N/y7I2Lf/7F+CjP1fXUQTZGWkW1KC/+Q8/iXIGB6iC+sUthBUZN30GFSX
/y4uI+OYxGiQcoBW3NYt/0uQoYOX/AupHpMe3pss/J9qA7MC95b++N8VGf5nJHf4i6GYVdL/GR+T
JWYwXm9xMDdw4kfVrVenipw/o0GbjZJYQNyVck2/jvw96qr9WWeUPKv8QIGIGduVjmyemVaCizGh
ISbdzkY+baLQmHC8R3hM0nzBoFgmPW3YO0yIxQEqB/0zC5hXzP7mdhxEE9fuK5D50zJ3uPnsvCAU
EHSHCcrduRnEc26se/zUqt2mGU30je5x62FDYffeL2l2h4G7YxBv5/sQ0wj+BlRc9lQg7KZ+fOox
OW6hPzwuy/Ke1rSK0+Q5AoOu8nTe+VaaAWNLib4H9WWxcs6LjJzbmeaSD+6ufN+ueAztzi3gUnH6
T/0Ox6c5vFZKePfzaDtHCZ9gE/g3ln0QJWk3Dw+mL9a/nlF8Ib7L7W1op5q35DhXsGSs+E3vRTS5
5zqcy0cEOOtY5U4fQ+1VrwW3/byZUm2dPHz1a2J5nvdEN7wRA5d9pIpzu7T+FwqY9aOFDMbNIHQ1
b2urNR8XXSu6/AY3vYS2bi1+V3e968bVuYMxWTc4NoW/y6o0/Iv/1UvyHLRD4o0Bqm3UVtknTbgM
+kz7w0NW2sG77FJYslOxLg9NJ6urw10B46C61eZydD0OHofuh2HV9V3RB3+jURbuhiTGinVinJfj
QkRmT8wUHstmoJK82OMEymYnFnXox9OgcI469cy5cBKW2s6s7D9s4Yb6exiydGsMnXnfVvQex6OS
tvXSmZl5xe7/iFXcTSrI4F3sS0xcBD19Dv+ZZnuYduWlKdY+aYRTj9SP6+qkbViAKuLbyMuiTWht
Y/MPOc+1bwV4nVPrK62vDnaSajnRW/xGj5ldngrbrfeN5R4UGxMCgumyy2r7i1UEPemmiXhFHVAB
DXO7NjXNv85t+vP23coAmtqQJaN0vcdDl59QJ5KMX+Jkj63p4lma6iuvgwuFqRdRBrQ5ERwZl4+g
E3fQX5MsZOibbN70Ie+HPEumqmTzzsaZ4/ohXzgmiXbThjerfO/1QA+6uyAo7x0V7GWl4rCkkK4a
XhAfYqJFGCRMGzougyqZsHj0j6PzpCC4ef2+ZZ+U2b9LZ030QkZLmh+mJ4anqZzuQYJjIsb9YEbT
rmcFYab2WQKPNRfal2Bla06L2IFRAwVt0HWlEoaZA/146UHi1lx7huUMBGdYtPWRr2qnpD5LwOok
k+29Kj2cLHqxUB6doyjy4aRcb33wQDFtcgH8w6iyICE11j5z21ws8YC5iuq5r4Lerdxka7N6+4VV
B334R6da2aWCWxzFvc2M2JYBlqv17Lou5LS/Lk+VgOnjCNtDv85U1tHAgZwgur3bBC4npz5J8+A1
wJ6BwFJ5POeGr9S0rUsuFhXrsvjbSPkgRTtsVhFw0DC7j7abfwzSAknH3Xi0XZQiwPWTRhDpaFou
ir3F+HkYHesbaIHO7uSaOtsZkNt+EXUqHzEMpRS7IazSy8+hNOr2AUd1vIScukbcCw1OjuxImrl3
dqJNja1QZX6GJr5wzMJHk71mVLEh7ka7jF0LljTmpiVZODBkZf4HQvt3jYgdQ/gsH6F6xivl/VAs
16T2oXpzIjSe3CWlX3ztn2jxSjGDpoVNFbZxFblqnBvfWHWoQpG6uwH5tjY8y8Pcklzl1CSPWdZa
byxTgSxWQ/NhYGfFRNqniVGv0RMVvoy9tGv/KvshunOdYpfBcowD8oJJ35IqCfE9b8gW3lGG+czc
VMdeEX5IIyRiIXHzMXHcdCvz0heiOOVOG53CLJxi1xbtJaU/DIkTxagN46GtXiw5P8gONP3YYgFd
R3np0lrcp/XIsz9/DRbuDBIx7yTEd275q2AN4eXZc1AsNGM25h9G8UPmp6d6aA6qKPcQMHirOL4+
Z6prE6PELmbZd2E5/a4029MUITYuIYHjCvndGeARsPDy8rGKAw5VFquELVu/xBtPPhZak0VNn9sm
YSA0u5CgiI2c3W1EFn8jHZ9ZFRc5CmSNIL62v1PLLHcSdLQ2I/GjZknXclP/RH1zmsve3AVZGVce
VHW6m+OaKAT5lOtSFfcdw/lG9EycCgZ4GSyAfJnVS4Y3983Sb+v6OQAP6aAloTp99IDWbxfdEDTv
kZovNOpVAGgYPid98IzPwqj3Tok5Fd/eO0vkvTA+Sasdpm6+C1z9khlzz6QJx4SrhCykxksd7Cez
fuyl2rmNPqJwczuAvHcD9UAr4L2TTeeixZFciPo7CFiWFuFwZ6/mcRr641y726WWd8yPr2mXf6Su
cVJqOpVcxA3TZDZi5vOjeKrp1XQy8yvt8yuBgKO7AMRF4gmm92IxTrbhvBh4WKmKNK5BVP9Z1TNN
CvnOUik6LpAnQgbuXz/1EkeQeLJ/uVSJh4JEhpllCKDeM40oH8vwtwrkQVXZHZWCmPhuvdqmuNLO
c2jTHkxLWDwILH32lD8QASeTlGNT9Ra2OcLGgjhgHw7zu9w5QxsRSSV/kxU5Zq2X2OwtBC7oabFW
PvJ5F2lofmHs8LVvck1ebLGtuyhVe8Y/4xiaw1Eyt5JB3fzTQIEYlQ/vuc7OzvK+zDmep2yn9RKz
zpIbYc7tybT1rYJcPakuOqhVP6pcQfmK6mRKox9uWiCXzp7Jkb4h+JhHMgHgTmbjBw/fMY+iHR9Y
zKURLzI/NrivwzXc1/0C58vYmj4m6f5XnxNjJDa98thAYe+4Aftrak70sI5PNhmLWwakNrrjokQc
VFGcut3W6rDNNSbJHlHehUNAXZKsPsvhD27CK4CrD9tadlO3HNzS23ntSjqLRb6smy1Fj/MojsTd
wq1czSqmYRRtEbftc2f62whCqIdzzG5xIrv2ZSEexV4le5yC6bWBoAP7/XNlRq982RwcVQVnPRgg
f4JoOY3VD1/lsbT5TBoa7qfqjlsLDqnYqtI9+QMG0UiV174zG3SF4NFXFe2T0ywSZ/Lu2qArabwL
iHzYT1mbar6J4anjoKFG9YB9P161tfVyRtqVMFEEv9ZGf7K0x+Jo2szO8KwphEMdxrNOTytceIJD
W5cA2WEd3A/KCuoX9Nc6cbwhOkcGl9/Nc4jx0fBeFqf4sJoXmDHXsXWem0ZvPdr9JoOwSNidiYlf
gnHezIPNidONUFSG07hYGz/rHt3efgoLdcDJ8DWb4cM4VTsjutizsaWcYW8Du5747KU7XKo5fAHS
pnarOf7cHui7yiXWFzRqj5fw1i372tHHyoJ3czub4voNIuzq4WuUpwk1ofRSVdtAjbtgeXdvuGTT
lbua5dR+CE+ywaLcFQcc33liAhFLFg8jPPbHLb2biRHZv7P+u86XYs9RPedScuk9tac3ullBR4Zf
NjHAkxfIhDoGHgEWzwtbvDt1nRSUH+IN43sreWfwXFBrHcWWZ/PmKEpv4wTprxGH66Tk1WnIMnIj
BXURO+SUU2feDWxTdXVXOenVza5p8VU3HEiQ80tiHpSZekP3OWBaqaQbd3YbY/3+AteHKI3QADII
GRbGQ5N4OLpbVPBNZ/a7BqlrTG1aYAP5izbevYBAHhZ8IZ7xEsz0fxakJPwCe7sHn3wCrRtx8cwt
moZNrYOBjt/w1hAuTmyPlFeDsj9SEtq56VPQfYkKfHAdoout7pMTVk7idUa4QQ2EQOmgcS+xKjwL
bSJUcRBcGPB2Kfb3oqRcNZTlW4fCWixE+nV0vbnyY0N+R9YQu9avIXAfFjf4trLf0vT13s87Yg8s
Wqx3FOVfXrlyzTgvRV/iLAfiRyo83QgDE7p20XsbkIBfeWqln9C3eZHWoegIW9nLfkXzRMNkQdL1
/XOvg/Qth1l4+2fZcjdoEsgExDlD+GNzhA7BC3Oo8QCxfNw6gER5TEApdMtv1kEfM8/nTZax84O1
xiXpqwQM14O9ON8ozsVWF92zpYNdA/HtRFH2u93lT7Pn9u/4h3+AEGzY914Mg8W+Ne/7tXhEDTQT
uy2u6cSOsqPJoaiwtdesQIhNiLT/6dw5XriEIh3e2b59pew0GWRpxBE678Y0mz1v/kRlxiXjVfrA
kmtNbMso72rViWsbkZ9cbrKi+y+JUf1LcBSi6q9MusZO1ZFznMjGPbNUGHYRQd6PEWv7F20i+UbW
ALsL1x4uvuRYz5px/TKysYtnpRDYaQK/U6sRHaKQVk7WLOxeNkM6+7tRrsbFAbkwbx1jIsNiBEXV
bK1qdf+qlh6dTSDq+VoKZ7rPvN4oY48sJjdUQ/8s6u+tZzuz6M/aWhO21GQo7NbCOVCac7evSwNM
x0E0hHC3LMkz762iQ4mkg0fCcY/zw7hL/azYc6WRbqxXtdGF4NyxcgR/aGdi8puFR26cT2lxjQoH
vlVgjMexJ86jyK7VG5wAFi6OHokQkEPeQacsoVTTnUv7LwMHcQxFUjUB487f0w1gvJNkjwq+N5tR
1L2J0qsTYodYsnRm47cOgvhTVGsS7Kyclm1OIHQ3061/nC0e3hxSx4Mv8BRcg39Ub43x4rgORo7W
mS0wfPqgR2+U0Utzk8mpZzZqjmTNWmGzyLiioa6gpNe6Ca4p1tS4INXNN8i/PEw3vV31eX03ZSs/
PDuP9hEJ6abIz//I86FleD4+1mFdX7x/JPzlpuZn1KjkqINWwWqNcY08Wrq8daTnnJ3vci/15XI7
dmYLXUhmO5xZqfICC4IUKxjgcgp6gXmK0jyOQUMDNxsvD7PsgSWJ2Tkbz6KZClHZAT1IETof1DHF
VC0vYgYoyGkXcmAM3chSzNeBDvqrXMZupjA88KGo4MCx/jDA5cGfoiapqOahdk+5l/r6o2KZcRmh
Hx5My68mzmB6jgnyFgd7bXzrCRY7dck8Ccj1kQHgyVRA2tvXo5Dp3htDgrIz8AN+X54mPM/aOrwT
fhhS+jTak7dVWtOM3PCPOBJEWZVtBFCRipSuGO78QUm8Djdzfky7s/fd4N7NWMFF43SCuenVO3Nd
0mPvOTnB/Q6b4b7KUs56y+gJa9NMZnDf6tBrtxSHGk/+IGkQb6MJnduxHxcsjn+akROKjEoP43ib
73W9DKfWVM0ntkNymLr07PU4m4tpx1OUEoGv5GIntdfW47621+4pL0R7UiLNHkWapgCkuhWrj6+z
fucX2j7WFMbGXpcXHwUl/Gel5fI40X6RuJS2LxTQjchY/poyP5SZ9Qd3Y3T0VBnRNOCFT10RNnc2
O8dHdsgkSst6tk790E5sdSoveh9n4T12QAVvY7fAwyO9AY6R3w1w56tFLCe/qtrbtz9DxGkLL3pg
fvJIEwtBtxgCe3cLGW+8tAzcHXuI8B30/PjXZE0G0TI1F0LcdH3UNM3c10Vv7LAr2WfwiMwL1oXW
eFSvoOQMUVltdfTXhSed7k1K7D2Z2c8lG5kP7L7tSVhN9pyOPecRdx4ipCyF2uZxGL9WhR19DNPC
27sipBnRQa2zX3Ut8z0snTURAzDbMpCU94/Kqt5EuXjIjJkBRRc40pVO9/6PldX3XEdy44yt+EvO
zuJCnVeFgWwceMXwOfs7PyyupiQhmdQ8Xzi04xF9El1lzcQXM/fTadg0ENJmNXIZWZC8W/rW4p4F
A8ZOR1lIPxbj24prveXy+ieP4+kVzW/M51c0Vxb89myqgxX1cFkbl0Oyew8xl8cVuNV9azopQNhp
krtJwy5ChnOOHkyRh94C37tZneborF95/zT3mYhTqrAvKJ9LEOjnQDnFiS1NdaJS3tmxQmAlPmXw
nSrDKv5Y5coRR1vpcrJlnz1kLGGeZ6dmQHAx4diAxF60mTP4IkEPu2zy9J2cMpextX1aS3e54rJI
ubmc8Owp5is+7/GRGAyZnZAt+axfnBKFwEZiOOCDwws8Nkac5ZhU/B5Jku/C1OfSsdBfCG7upEOp
eEcajI4oygXw2KOojldcbHem5HXKnpvbSgIsKD+6xXvuMW7Nzd7Q0VlX2U/tyv0gaW/laBMM8lhF
y2GKiBTZKceONU3MFFwxsQ5YCIWwYpIiNhdnDYE5QHC2ml7dXLzpye0Xj+GndH78ajTeBfUn1c5s
Zv+thO82O1ai7Ie0G4sPSp/OS9j13xqG8l21aOcv6yKKSLDXqjO7d4zczbL8ka4jPy13dE/pYmxD
nfdJX6eYnFBkgv6g8rCNjqM0BhjAbVmz9LH6Kj8q3KIfMqjFjzN6+X1Zrs5vd/XpAesCo0iC0pWv
hBusT/AgdDYOJu0UsxiMX1nf0cAT0MjBPhYH9WrVgDOwXt6DtVsfZ9pxkN3N0f8WvVuebFbyO37R
fvJm82Bq1/9pLRlcck5IVjLbpfrVj1hBxDx2904tq0MIUnNfrEbAzBWs+9owN4ZTP2qNPjSl52Uh
tivHHGcB0b+Ppa+gSuaVHUfmVGMNuc94BRIMKijRjLJsk2ZFdDRTOGo8TDsKRTa8yKuNiG63pC7G
HfaRO8ViDO2ZVCkwsDOyFrld0s2JKy0rhupLVcEU+W/zqhNdO4fWNvKfMfDAVzTDedRFmaSgUA90
fdAesHruVhvBJYhQ7DMveiZfyjA7DuowgMDhrEBpAoJoQDknGeP01bdd+MSuLy7NLc+m29FP/GYB
3jY0n7jY/wilt6IamFU6wZBV16cJKT62lW6gVWUnNVZv8LMSJ+2cX8EyISyRl9lRU7OZummfAdQ6
sgREiJn9V8vnwu9VGtwTykVpMap+h6aVLNPIkY7GlBiBt7+nUeJZzVnLxnelWm0I0m+gDGeWEdvZ
G9e92RifXYuC2UAJdisu46hVPeg9KkQnJ0hC9SO8meEisg9tPVTxMqrHNPMBC9d8LkpWQTKF6l1n
Zc997F0RbcQbx88Sk5FSuAqMfVpgqdMUPPG/WZ5CR2zZC+2yWzmxAvKWuDRPHBpHeUeTXgKYzRO3
ct2rz8WWFUfrHrHCyYwH6X14YbOnWOSUIe0my224cfzl0SojcumZOE+g0w/jqilDCyle25j9CEml
KrMtGQPOv6597/SEHHVBIUfJvdQQS5M3RydCXTj/DtfZQ/Awd4zX7dGyXch06IZkFa0nmY/JaAa3
VLXSiWF1MCyyryVsFlQ2/K3eNL67JdJ5h4knnW12aa43PxghlDDJOSwG6IbvNg24Ay19HPR4kC7a
o8iLnl3zLQEp8ZlFvEi60Bc7WU3yUvVl+xyl5l0U3QwxRvUyWMvFzvSP1mT52g5rQHARrXijewep
bx6fOcEDDyRP8dhagf7JEO5skffXQYXGlyjK4N4nYo1G0dNnxruK1IWUZ5xSFAja/DBETNdH3y6/
xynANsWdlrNd3EaRSzHKQGiTbplr1eevLiK+KZoK/d7mZD8dA/Le61A+siI8VGFwIFIgsehq3k4z
xy+nOpRDnwzGdF97Y9Jq8XGD0jwu3RTjxqkfxdB5vxqtwicPaAnsc550nJZMeY5wHFcbbbsvmkmA
UhA1JPNK7x3dCjv66hDc2LLs1SjHyxw4JxsRL8a1ex3SYXqLojK/x/O58+yxeLJox0iWMdTx1BLd
s9SybvIo/NV1rBXjrlnsu3kGvx4PKj2aDUUR1Elhe/2iFMU61Fa2oazQRgic97OTWTvc2C8kfI2t
znR/mupq/NYC356P74CLon5yYBqa9UrazX8yBuvbdrK95JGInz/mGz05Iyje6Lms2dpkBbTe2T4C
jTxnpXu0a87nUfPVLjf4szrPOEQ5iFNeiX+oTIYVObFtJdI6D/ZIwjofWvO3o+ptK/lphOh+wCjg
2i7PjVPcy5y6FEFbChK/j5/FW/AFmvlO2fJtQXxUue28TlV0mhDy6nIG71H9IwtyI+jcHt70IoZ3
jU2l7Ni6hHiy4Zos9s4C2XcO+u6T3rcz+UqWBWy41xg/2rQLdJclvJeL2DTnj2AI3oeqeWacJaNb
EakfvJmOmvA4t1ASXRRjTcPLJLKL452wBZ0FAtLDPJnFblq8e1H82BJTykYM6DLdonYBvcqagfCz
ULb+7nvt3atiHn+KbJ78ZBBwVLSebko6NRtYU7gFXezqiKQbIhPRY1Wn2BuxTkVvGSOIcWZDbtwT
56k/m8zzfpk3zU3yp/T5Rbf7iTYdQj2c2/ohsSNAzrT5ygpY5TJyhKklFUjKtPaePaM6p4O6txlP
tmGbm3cWBqF12wcspFxprr9xKtlocH71h8MolYY4iGPsYhMPMGlRZpU5LC8Rg/+AcdsMnIOKsZn3
NgezOAe1+elM8zLfpa6zIG4OojdYIGorls24/F/Ecv4/NYOYJGL/fRDz0/yr/vk3JGb79h/894ih
+V8ZtE2XkjEiNhY30//I5dghFe3/jb0z2Y4bO7P1q3h5jlzoDppBTQKIYAQ7kSJFiZpgiZSIvm/O
AV6nRndwn8Ivdj9IaScZkskrj12u5XI5U4lAc7r/3/vb2FpYslbJh2fzZ/5UgWjGH7rNf4EOxOJP
CP7Tv3w5mgkrnn8aBxjsPr9tMcRJ+EIGIvCwQ5ek3CPQoeAsMFf37zP0Yz3B0Bh892bI12116nOU
1QH0HNpGdnemOVC08h0EjVjZrqtl9i5IS1UPVPVBEsL8Dl2Eh1jMrP6yGyZ1b6pI3sywfW5FbTW7
UcLKYwXJ7pbZuNWMePmAFBWvctLH1xHf8Zk9IOWmmammjTXF8w6IlthWWT4cLJzAATViArHSxEOF
h2Rxg8bAiglU6EY9bEzBxh/F9Kfcw6+C/BFRZphWrvgsSkNRJ7UXOk7kJPfvYAd6ZxkNb2cTkUt+
6lBZAbzUOqDNVNPgaCBjzS0CzgnsVDguaiGa13SvY3MDsSIs6FeCmup1aVVOchj0cbxD6ZhymrVn
+7qUrC/8lP6ijGzBMhEZVzaGn2CwwajVa2YV9npNcJoeDMw9ukrx5hHX2hin/VhX6G/TS4CJOrOZ
EZZ6o66k+8m3xqsh5TCQaYAf2vaJYqlINPKppDydeu+BIs65RUh7VJ4tdXoqp+GDW+qBYGvH6Wmt
MnY3ehKtLerptO3kp6aOysPYTOa7zvboxXFK7KweWGDmPJi68s7RUp7yqN4BZrkhAbXZ2hOE+lbS
UY6S+CHLBCKKxnvELN8FiXDVF70cvsKrgoSEeeVeif6eafQgTe207EDbJVRH3ksDioFoVf210p0b
p+qe7MX4gL/7JhL6fuaUm3fdrl8D+YhD63aobu1wTGkwgJ/kH71EdUf322tg80TmttPs9w7NXk4F
7Xlmyi/Cmpn/UnyP08wzHWEwwlPiKI+v/Qx1CfuEOoX9w2QIx1rE9P4l+KlIdvoTKHJK9drGxo6V
045lIYO6ASELn82JgNyTTuOhtYbsTtqcdJVLZHXCiX36NAF6G79q6XjTxW4YV/etoGyCWAXwSl/O
KDRnFDXbtkkIO9ZsGG0IIQF6CtFFNAc1C44A2JbxtILiSLfbasvp3AAF9EXT3eqqnzibeBCqDiIx
UQJ2DQltGxxTRIRnVYhcgvNA3LYbE9ODSBAztPF4Ca6K/8/1r9yMkGc593tpU8827W1nle8tOYcl
RZJsIR63mO1wMJvrMcbhIVSvb4Sf92ejRbAIe897NO87xyQl2KuTcrNiMPuC+xmb8RymX7LHAnaO
hKgEZ71gybW989wxKXpOst3Z6EOTXvSXJX3q08XKvSA34xpXFBpS4C0cgNyFf7MXF4dv455QGn3X
suk2N6qNzivOkEFfFufasCDSqGgg9tp6mtIqP0zKEa0ktZ3VMUG1S5m3Gtrja12wfDc5j9JyvHnn
u5LYNgp3X4s0/lim3UErnoY5N26hJLbbsnW0OzQQ/cGgLZo07cemsk321XSUlGXs89INR8cbkZ/x
PKhmCfYKSFcmhxypqPeWDSXeMlgG4D7ohEcH1Ke9txUBLQYlsxN0S7RF6PHvxkTismkW835W/vs4
x3Sg6UjVm2yfVOohLteetrQ3DnXBBOV+Ug83/TT7wYzqZzNjDt6IMspORiqRXp89Rjy6EDQsOuNI
PCZTfpjbHMRlchc3/aM9j/lDXvV7TuZUv6UZAHcKohIRG+TlgOf/LrVH6C/ivaaxQdOp4iLYGPfK
Q/rTMRx1v97T+9nUJu8glQpUXkSBvyv2VRWJyww9zhW30wWqXtLLUljEKWKI22v2KLe1Z53Gwxxv
nUiChDTcvZ2kd7qz0NA0zXs/NSVv3E2i26Fa4lOQHjSGqMZtlANadhqi+EOBFypr7ZNBT+jlOPcu
vOyNBOJecSYHc4/t2bU/JqyfV5bVWB8a9nGbyIsfjNRk7OLDQmyPv6XFF10v7nRClqAAOjPZj3Jq
Q6YeL9mYg9AOjU+111KJdmbpkz5+QUtWntnGODzUyiELWplCPFYmPuaQGDsJiynF3MrhUW/DckG4
npKiBwKny+nx1LXxYczdNlB2pmknpS4uKTGMl+VEnAgFq8i6Up0xBNAacUvmM4IdbUbq0OHicw2C
w1CiUTSo/b64RJCR7CRI2EBjm83A7HX0KzHV4YlEdcqy6X5he36i4Bd8bOJ4a5flpY0bqSPXoyk5
rk/F3sCFureWAv3MxBTo9PF0mGq5twrnSfPr9sxSmJViVTgrmMcbd2lra3uPAu+u1vNo53IvkJCX
MwA5xhVs4SB2MHil3MOknLtBSYBJKqWW1wsdhumXacnSXTQ17gdtnCNqu5icBn0Y0Dn3cp/ZfbSN
vNa5i/W8/qJZxXIbg9jZqmgqL6w2z+60VCYHgDvaCUKh+FRmdXKam752qRXdfA0Ep7lPZyfWNglb
EVZP6LmH3C7ZVcvBeT90WnUOzK26G4y6egAfsNykyoo4sqs+rGwK3l6JWZAMqyJ0Kj2iHD0vj983
f/8VRf/dXFMD//0++Obb/Jh8K4pv/QtJ9PqHfuyFhUNqGhteWH8mdS52uP/cC9v8FZ2eoq9b+MTN
F6lpFrQNlhYdoZ0wbOpIz3AbRCCx14bELtAaAKGzjN8xqR8RWczve2CDY7brmrZO1t7LnXA1j50Z
+SYih8LWdqT/giuNGPOwbvwfhyWE7PG3+uqHyvpvZBpe1Wk19P/z93VT/eO/PXz9n797Py5Fehxp
A/yvYxxtuitbAogyvQgP2pxQZvURc7qFu3n2/P+/rkKYlIv2nKcGLug7C+fZ1r6tOf2mLXaMzLPK
kCazva202Pu9gBDuhbMN/3BiGYhf5pZePrZR5x4iyv94vakTlhHm837o0x9eg3/7xIyjxI71Mi5p
PyTjkYOIgP4IhUJ0xspdq5LAc+evuInhQG3Uij3JqJGZMJYW9xQRM3uu4lyMBLGW5Bez4aj1jpob
fY76ymz0C3dJbl5/yitp6eW7RD+2hgDaBsEv7irZf36AGtjllJ5uwrQvAQi2Q3lDVQAKopdIkCF4
FKMevPjr1/z+gRxf1MQ+gHgfuQq5oS8vOiUVKE46gIFfZd5B1RoaCJ1i8azc/kSsoiHptHLrgVU/
TP6kB53hXFbJKtCwSJ9KHJbGWMTe9vXfZf48hnxB8gIFOEsIxuvRW2K3QaotDBrUFxqt8tqfd3Zn
UP1ys7F2kEWuQODYmI33S6FuHAX5bkn9+iOKO/CFIMPOPbQTJ6TBUNP33PiblsbsrQsrTs0NAbjx
53ER2hnhAsv7yZxUFWqsNwhKUnsb9ZqJ8shKzfKNx/3zcOWu2GUwLdjAqfSju5LU0mVPJws49ELe
oJVC54vtt9JE1/nl6J0S1gJRSKexTSDZ0UBacrgIgtZnoAmkIPDJoZHHpRM2tdUGZp65b0xCv3pX
fJjr8OVf/nHmDn4/UoZpva5aRTyE7aRtdPZN4TzL34xYY/D6gsYhDEemfSYL6+Xn2hVESzetkQSu
A2kPptnEuDWrt76+l7WMdVr1HSocDAj0Yvr3ssnzoWiMzZBkOk9wsX1io6Wu3pEr0W1zgL4nQ+Pq
O91Ird04uoRG4zMB/2eYEPskwqyLKdomkysPTX4zJF2zSeahvEpKX2Hf08Qe9/hnKjMpexlt3NlG
hFrHM/szUSl9W2RgPqcYCwt8O2cV/hdvzH8/T39r2gjLEkwWPpC1WvT81vSJoDOwcgmiFiuHwefR
GIKeErp4eIPR8pyQ3TdmcXpQrw/pX3z7DvQYcGk6ZzPbOloVzc5i39giAE1mK9n7LSkQmFHr8PWr
/GISZdkVBBYBgKPmdYSzo1ZRdJVJ4s7kmbTYPWKsaNNEYTX5Dp2XOaFl4rRvXPRXz3R1Wem4nwxD
P84abMSgTyyPSVAmNgc5lSHx8r38ppjMdg+OKv04WpjVPQSAh9dv9xcPlXV5jfN1DYaDWH/Zs5U5
Z4wsck7TYB7nMSBYW9F6g6n++lV+McB9lkV8ZiwSbKKOViZvsIvVf8ZkLABj5Kap9i5aoLDhJPHG
5/l9c/R88mL/Zqx0H2IM+UYoKr68I3NO2IAMjb3JO+Nzk1IkGokn1zTglVBvgVz3N7ELEkTzmvRq
7qrbpCwkxikPASPw0JOmtcYDPh2fnhuAsdcfxPHj/vHjYLkJ7NukWB59XT5aY88y+HHLKJJruSzl
RdRDUn/9Kt9LpT8/g78uc/RWawcRB+UAe1Ml/rw15tEIkqkRgYZE5QGfB94TEfXnej3Nty3aNOQc
gvLSmIzXqZpXOVD0qKgJb9IU8GHnG+NOm8t7lgxv63oyvgZqLzemiwbWknm6KzOc0sbof3vjPtZ3
9fI+bPLPzXWuZujDlHr5LpmY5wLbPi49ohQ8P22/Yv/17xi4KWwLd3wYooqmFQn3CKBr0kEDyUFK
34z4bzdNnxT3zaDFRmAzeFFcGgCOcqopgChqGJlF1VP9mWskZOibBqKv8lRKkDr2hBo/JgDEDk2O
ihsx0qYP2iV/K7Xs+3JzdIP0XUjhYqX4Xk1/eYPtEpXS7WfwDqNhouWo5T23VWxVmmAuQR0Yco6Z
UMGhmeJUJN+n6KBSv3IotGpB2dP6f/2R/+KJr/mIxKsyybN7Olofe7ONffQwLnueWt0VwnoCDQx3
HHbC1rFROrx+ue/JX0cPwLW5czyqpLqyKr98AODR7b5iMG8kCkc1GRTunBErFurUcSy7k5wN5Wbp
ySrovDYnEIq8Mst/C/lprvumlz+DIcGkz/6V2ZfMrpc/Y/bybj1ReNRkS+JH9Dy+HUaQ82y3x/OR
M36ojEVcmEVfn2l4eVZ7FP7PsibhQ5HpBCHK+NKYJdNHU+LX69phU2i2fzvl1HkGYX+zTP/89Wd3
PKlyDNUJ1TUZIhiSaNy8/M3G2tZYokGjoDPDK6+0xyJGy5VX4AX+gyuRqcbBVgeY5h/tBweSErqp
lRrI++qpLMv2pBGVBDSia29caX3OL94DpMr1qGiyXMAi/b6rf7YczY09G6LzyV9qDbH/fFAQM1Gl
S4kwmhr167f107duuOS2enx+606acNqjB7gkY+uvvNqhX1A3J0CC/MI+IX/GK+izvn6xn++MBhuA
XkgZvC+Ini8v5jet8iAa4+RB74ipbqq7LcCwdqMXorvOSbo5M5I8e2MlOKbMmiZlCQoTnIddOnj6
caQwVW2qXlqVB5hYQk8fb6dSXUA8w5IFLzOVpxQwT7JEnrOve2Ot++n7ZDiZFoscd8ynswJSn28t
ilmQ9SsXSCbJBMM6aqKATnjOzhs7yW8+XC5FE1KQyc4N0918eaksarBSm+xiirgiVQUsO4alxt1W
Dd0z0kgAFTTtsHv9oqs7/uXHapKLu2IEdbqIwvaP5q4JMxFEEwIeUg5lJy0gjjAzqvi0lTImOdQM
VkeHm1nNuyYe7HPi44Z3BglUB7pRH974LS899Cy8629BvG8S1mu4lM5fPgHMMu2ieIeBApsTmm6v
ILy3o76hvYidPXKbE6yWuJidHSkwCToPtaF1ePHGz1i/4hfjF4C7z3Rk4+fnM3eOfoYubVvv4dME
GrvrK6aSBsVHU+86jluh5cdfczpOJ0knUxp9ynjnRIRpQTedMfBq4lGV1sn3X/TfIujfGVrPXs5P
xOGbf/xv/Td0/P/4P39DFfC3q+4f/7d6TJtvL0qi6z/iR0nU/YNaqLHGWOscW4kg5wP7QYlw+Cts
VZEAMH+YpKwyDP4JiYDMaVMoBRJhU3KjMvqXOkD/g3HIx8D/eN87+6yfv1MT/V50+OvTYlFgk2A7
wjOZTSjMHhOIQcNh4G/pBaV24MuhOSBV6lUgbWuvF2l3kUcmQiK8eEuzQZcSHdzSE2wWlsQ6nUjW
K0AquOUHskjbK4GyxiDbZ14+s1PUQghI9a3txKhinj3zqx8/70V59eW45FevG9j1xMP/JZ92RTQ/
nwRzmypg595Pgm4gdG/DuErSeM6CAVHfdWyxo0y8qbq2rYiaRNlF8TuO7e0TAx5YHKrpU6s31R0M
wuxdoaj+BHHrGWcK8iEJEdok76eyqW75VnQ4BBgCUP6lzjn1QQMQGQCcR1IM5Dc9nZr3soLGJkZr
esjY4F5oceTiPZlsCHxdlZ2jQN/RoEGcp+N4Ih5kwcmx8eKlfxJ55AVNWotzSEkCOVqv1W8sVEfL
Iyv+92MoE7hDgYa92MvnNJg+0Kr1ObnAcHT/kqUZ83tXk47hDgTgGYgT/zszDPNa1TfXXcBr7ZHq
W/yleDERrH/ix0Sgwdsl7IHtEEsao5r8jH/OBJrh/iF4EWwovhN5LfFsKnCYCygGMdThyTi0UP41
FRgmKPIVbu4zwzB+Sar/HYDvixWGki4NG4oEDCgQNNS7+QnPB1TNgU8hvbh2Us345HRW8YG2g2Sn
rlBpBDZySTqmuA6fPaFfjeNfXBX1OXMdDwAd+vr5PtuXul4M37fyryemqI2Hr/2mneP07D+4CBUS
x9UplVje0a21JJ168eBd57Ftf0JM398C/lfzj+/+3/Yv1hnnr3n0xwNc4T08Fi6ju0e3MnpRSxyo
d12O5DtuPDO2r222D9vYXwXzlfv59ZtaB+5PlzN0PilaPxYMrZdPLs8M6S6je23kRnumK+smRrZ1
3o8gkV+/kP36hY7bMtCBzFGX7rUsaGpTA3IQVeMJfP0iL6epPx+eRc4tSdg2KKOjV+TE/VQmiXMN
usZ/z98EOBKfzXJaLA2NOj+DgMkykrxxKjqqaf15Wdc0WAGFAyPp6LJFtqTE0XnXfWl1oUS/Q8Fg
QNcaJYKcl9rPb8YO9EdF5+6j8HpnJwhTekhjB4urFQFBUFlTInv1W3SqhRGFBRlRv3fC+fNHUr63
2AOyBdWPP6yu4ziVudcAYCG/4fCAPUCUZlDqXvpkWot/1Vi2vn/9hfzirXvsO/i06C36FC5efl4z
xmw7kea1ygbj1OykHy5VlPz+wEQ5zuBnXWLaWfdGz0d/p8GPnUf92oc+FZgRmo20G9/qWImjxuL6
AF1IWOgfGSkex7Wje2mSOOu6Jj1Xy+SSzCSE/ORnxMOedogFasyNPgqnwgCUEk5QN8HgYUutN3Zr
GSNaGdJx6a5EMICAwUnKuHaDtbrileATJq06JOo5Ihp08fxQYtHPCFH0nfc5+c4Yt3wruloyEhgw
xUF72fh+2nwAJ9V86PDTY6BQbfeUwEUdQS55OopkzcIRFcPowxelNdZHNXXEIClzyG4H2EIB0fLG
gdKXNWxjfSSCSk/T3gxpyS9bxH0VMb6EY51D7LCuMSpGZljVaf5FGOi+EQQu+JoguxCd01rWiqwD
TDJrvvW+s1pL7fqqsVCiYS66XonlywnuJ2vNuiGBdNNLIT87RgMqtWgriASibSAjtH0DhLOeU/6W
doiGb3ZCyAmxPIP2GI+meuqyzD541eBmoZBgzzF/ackNz9E/wCQt/YOxlL4dMMTiM6etwZ7WczLc
6laOiyKuhuhQ6a7UgoYAUTwsIkFPHuU1LIyqNqY6BK6dP3mxBbki1gwz3qZAsWq4BgC5NqBXIe8N
JCLSmOw77VunwMyHHXPC3nfoup1Goy29HZ5O83MVYbDc0BNaYFG2msUmjnizFmVo5d9YqWiv8JO2
lyQKtkOA5aAgbpJcsE0Ns/cDi0oMQXLCTe41jrz3NDmeExnoWSHpwt3VMvXirMWS+oVEL4CWWZZU
xokDM/wTTroq2wEomJygt9V4DisFjI85NQBnkjWcB0ZTnDdh6fqSWCRfAhVJdOSTjUMRfgfiq4U5
4cTVl9SYGkSQGk2tjQFD4KHsozWYaxb1pUE4F0iuHIbRZvTJz1tBR2SQkjAeP4pJ0ce2K1LJghj6
xyOG7tHHdY+Cx1K5+dFtRqAOS5IBkqb6GC1B3UqrDbvaiC7rfDSLC87oQD5KIWsZerknb4Y0H85b
q7ae2Mw78xUGbXlmxrm8BN/VGhDvgceFeYXYCpdMgmqxHI0CRuNCivVJVQiYCr6MQF5nYikQ6kIG
1zmOdDiwpnKuFfq8UX/fGhy/V9bCWmeepBmFGIuQRc2xQscX64n7JOHgkzs2ec5O63XGDW4TWie2
A4wlJDA3ywBAjOoxVYb9wcyL/jNetvTGlW6Zo4R2ZicwtRGIezsXH2y3FNcgtdIHX5XeFKa2T75j
5tf5oaakWR78MlGXxM/XWN0ruz6MZY28inttHhDI8YIWT5QPZPzG9/yC/mM1uQNWtwqRw2SWqP08
o/Y/+4UFi2QmuBs+hD+UHdq2cb4HdrQkINjSHDQzheUchYmuXxS53n1ObZKJg0qV2beZ10ASmFFN
tyjF6kcn18AwEM+OzxSQ/WfgTPadsmx8cblPtkxWxQiw9e8wTaAB+ZoVykoY9LzxK08TaGi1yk3v
I1KvL0y4+2uqSiSgglCOgihRL53cyRKRW1hXVkPrPnbFh9qepludUgkWEn28g7KixcHcUwDaGPAd
uAPc3XoQL7YEXORE1y08+fykhamKX8/g5HRS0jMhwVFO2Dxhn/Yc0TyB+KCf7CLIo4p08amNDQil
IjWeZEcTCLxYl0DF7PrYD1nAIAQkpimvoO0X1xLHZRKkQjPOKX6tctppsPTtKMx23ijNj8mRK7C/
8Jim4jrnu/c2ymuKatsNtrjqZalZQTysWvfYxtc+ZTI/TAuF7gvFTN58LseupkJnQ1TR1hIy4c/0
Ripc94FTizI997oOsi3VxQWEXSNFieFjdDtp3YiSqDiYOb15OXT2AACUKMcy1EjiNU81cl36CyAT
gHiqoWLkisYkTtflP6OaZFQoiNseKTCuv6wxhCLGqNKYiII9jrbFdtJc88ywUveJaEHf3hYqW04W
S5JBgFqg7jeFTY9bThHqQpFO+plWZabaYBt17jtRzOd2A0OEo6wDYGgEdPB1yrX+rgDhK3a9grAL
lk9PP49lmV/pVTF90xJhfGP/jd0TYTOvvukS0DhjFKOE1eq+wEvXevZ1QwINxBskqbpx56W9ftvO
MNeAOwLyIO5GxcN2ESmh0wQTo2on9Iik76Qpgf4NRJzGO5cm/VehMqpemtvlau9wLIZ9jOqbmiG+
c4UwsslXOEbnXha9it394BUZ9BmrrfGz+y2W2YnYHCtAWN5+zLLBVaE5+OXHSPfmAcxTNg5nkc/n
E9JIZqFE6MWXZTut8IO2bCCv23ADnBB5pokTp3K+qE7m1TZCFNsEdt4TfEKqOzCLzhmiAiowkvCd
ssuVlzJgnkfZnDfaVidsAM3nODp8irpy1AYNR/RoKZumHXpRyFERBIyN0bEQ7dh6FBEYqQigMbuZ
zgpcH91aYGciiTZuaaGKF+lqjs2nBcmpP9aTsUk5Vgwbaue4r2TKV49dOBrNkGY6Nkbat3EbgFRj
mUfa2rcXUKbksOvBmE8nUV+zUjmFN2dkIINrPNcLnCaniqWAfCOiqtUB7pT1Ec2Xd4A9X5Kip0Fe
hvFTYnHDzRThYiA7NJzitMcjrkWdf1vSfK6ad4vRYqMuy05cL5jjP5utRAMU+e3M/mQhzQp7aUSN
x7XQ/G6EzFtcGm3PnS1oTpsNzUoNz1VhzMipLZRQdLTZOFhyKnmc0QRJOB4JnQxYjcYMykEFIL5z
bSLVe0sqqPUZLZ+wo3r0pEas9Xsz6hESKwpAJybePHWVzoRpw2RxEuQStWq0vTSy8sbRrNHbd7N0
AXqmuMYxbfm1OZ12QteTDwjpcn8DAtEvT2j/xgsmXXDjEOC6ceAVIxIPG31gVeu71EsfJ4/Q+DRM
ZESggSQ2RD8hKb61iRNtLdffmMvQqHw3GjpsyBl5Q63y6nSKMbcd1GJjlfT9ssRwGptWxecQN996
HnTOTwArSXu6EjW0ZUUULXXGAvY5lLLzsXEyHPbsVDBmGiNd7qFcucnEma5RBMPivMsM1tdNGRGz
mS9+5tMXWDTmZdOwAV5o7LOVl2i3ShhOd1Y6xHAdSHnIp3ApCHoeU2AAP9oi/61IU3d6vSKdfuu6
L387/1ZXL6vQ6x/7Z/EJHS2lQDy6PnIUE5nPX8Un6w/qz3SmKTA5Hl1aCht/1qF9IqeoLvn2Whhe
VaD/qj05f/hrzQl2EA0Jnwryb9Wgj2sZNnpsiibfq93r7zsq5nbzUPEleQcIOsaXuaS2u8kHJPp8
S/UbzbPjcy2XotbEUdpAAuwIa/0pzwpOvWFkbdsq8C42cUgeUgxdDN7m9w7PPy7imqgPeEK6fnQ/
ZmNy/EjVoUGfHgozlVstY2Px+kV+8dDoEAiKZmCjsfgdXYRpCY9LKQ/8GOxZotD3pB/Ja2iu0eXr
Vzp+ZrSmYRjQHUC1SN39uCGOjl4CU64PGcdgYtwhPrOI53Uf/ieX8ahn4ZfUUS28fDWDI/3GjZtD
Gg0YqhMQQDomxDfqGus/5HnZjOeFIwwpM2s/93Jcpct80JWztPeilPPJKAdUfVbvDEWY86sOs9W0
p797Vw41WupzVDkM/KBHdTqz96nfuNbecaIyGAC1Qozr3qpx/OquGNq03VeFnRBHLWGoLZIV1tpP
qU0hBeTKho6h3NianoYe5Kg33tTrl0NE9PJNFQDsQYsZezIcxE7PTBxxDcFFyTLaO+aR9vr1R/i9
h3/00mgD04m2eIRoxI/qRIvTO2Otqn0xy+pzDVfzoRkXUDZ2TpYG4iJjJjm89PIr5UxOHJrsJEgO
V2P3QY9ptISzLSak/lXh3jelgQDWRSCg7SEEShY1dLgf+rKFy4GyCeIpILPpCxgXoV13yjS5bN+3
xvb1ezoevZTaaQKgt0QO5DCAmaqfz0NsKSP22yOk516ccKTvyCLx7D1RYekbcpafX5bLRMf0zl7E
RY64/vVnM17EZlcvMAlWMTw7zYrdYOzm6Rv7Cvy9xP6q35yX1jvjMrg5kIAI5Dcvr1dAjO+buNtX
Kfa1RU4znAMloUWr/Pb1Z/jzvMSV1vRUPnqXhsrRZ6iyPnPisd0TpbEEfQW0qCC45I3K9C8uss7g
LH6sGKwHRy9qhMowZxEIUeXiWXJRTbGPNnav38kvvgb0qUghSQVAIHs8K5kWTZfRLffTUDdBrqgv
ZnEsSYsQ7Rsl119eiQtgBkeE7jnr7T77GgQdWUtT9T6DonaeUaCDiFg120Im1rvX7+lXD86kNcu/
+NCZcF9eiSO9qQyt3M+mhnfjO93cTcY3lvNf3Q49V1dQFmdlP3ZJpCJvdVBhewn8ciOF058kg8ES
Uo321X9wO2xNVhEfta3j25FlPLfRXOw1P51PAMymFBDLtwT7x20Qxg53gi6TszzD/bjU7wAIt/Eh
72vX/yKaYgY1OzYXsjSd95U5zV+NRjVv9JF+eUmO1GwgLATgx82xRI8F1YFsny9tEgDvAH8njXKP
9q3az/PQkLamlW91pdlq8fZfTunsRREmsh9lxfpJtuW64xDbHTQux8CjMjlSf+zrlMD6nsGG+zbn
+AwvH+GAj+b/3qJR/wAzUVSb2aqByLCT1S+bupLvZpkv8yZy6u7UUesB0/OyKvCYgvQNjPA1YhKt
KVx6Y/G2Sd4DI8xJ9KFq3QjPvYbha19yEO3Gq2yqp3RnUPjp3ztp5UGGa3Udb8rSDRy4IrMcKATn
U/IFEGClvzdTG08L1UPHDhy6jCAIjOwJHF7bA/HicW+7SKtvCT9rGggrvY4UOJd7fYFSuMGTqnOi
HnUwwi0PI3CNUp5a5gJzx/DGMt72ZTRtDT9X6YGwDu+yxoF771gzXGjAlkAAVR49gRjq7ROVEy1Q
QFOAgV7kCFsBgOGsqTCRw7/RYwqyqZvv4tiYcmzl+nzu1UNNf8GlzhPUlRqdMC5V2+7R0+FIbtrO
78CwuT0vBBKfgTxiZhJvs2mWkLE8IfCPu+gtSElOTRTdQibbyF3sTxS/OTlT5yifkn6Gocx0VgSR
NUQ3LXmk1PnSqNlh5s9bZPHK+GqjAdY2Re9M93pswHs1UKRQ4gJOvgE4OX/V5oZYnKjss2wzJiVZ
2XpWtGcwjaHIzbKmQBq11QDVfYazgCNpWFmbmiANEjvZ/H60nfGeovnwQGLpQiifHevOpl266RZM
T/0+aSLsIYNU+Jz3rdLmFM+8NIDDtKnwzqn5pBmgVjzci13X1gWIakpIiWHUJ52nODMvmNpOuqa9
dcjWivbezJqHLA4ocgsyRm6aiTCABE/3BIZAAsAyjLgLrKGyTgcvz+9m4S2fCSA0Ljyl4o/s+lW+
tbUs77fs8MW86YAK3cbOAJtQ4En+VAKdgt3Gip4G4zxwkmncTit3ZoagmQ9y6B9ITnGnUCVGkYYW
uNIvY5KJr1RUyWLwIwQ6AfwgepdZmTPES9EhxzakKp4wmDOt9QXhbSSCl8mXRcW1cUDlHqUfGm1F
Yy9EmtIBG4Ycw3nRZTdCltYQaJwlBw5uFsCgkSkFzpm+Qvo8Ui+pfmJ5uojJiow3ZHBwNoqrVoVj
ZCgV+vYKCcPDrYUjkqI7yy2BjkajCy+rVi3t9Lgb5mXnaVHzOZn8lIGkj/NJwpzWbxOcEQW0nFQ3
rhcaBXqYeE730TFoJO0dVXcRhqfCuyvakjxWoNKLvfMpoydbByTmHQ1I1YRWm4JnrmPdbgJBo4XA
OasoP+DZpLQ0+EZPt8YdbQWNJCkfczWnN0W6iH47SwY6IaBuiVXHKe2nYq6hFC/00fj3sulmOsWi
RXDOuwCvjz0ZD4yVM5WkoooenZ52cjAnWUpVdSB/Ytc4PQ6ZwiyyNXcmgcwMhVA9YvEc1K5JXWI7
u9mc0wBVUwcCOhGFvFNTYws/JCYAnmlAJm0WnUez5a4dkMSki2WQeI5msB9+rMD/LbtQdmHr+orc
Z/z6pXop9uHv/1Fvsbw/UJrg/rWpqTio//grP1R/pvEH2xSO7RbZ22zHV2PQn9UW0/zDRAdIKYaN
pulihf5XuYVoKAxDbDp86jBYvVzzd6Q+P7r3f62+yEWQWmBOXmU+yGtRrLzcm9lI/qFuOJ/6bhmd
26SdWtJO4jbL9O7cq0CTfmPodlkSQnDom+6zPUjNnLdxVBHRBgzLwG661NHO0ZVPT7ItS5KSWRH8
ZPFPepsaXxA1ljWYlxa9ncrcRak3gthOREbDphR8h9A32pEGYkomMhbPAU7mxcjU7IR9BB3/MlMp
hfBw1NJK5phJ9JoFrHWASZzEqvech5hi95zvwO8RD7gjIpxFfO9S+55ISCLqE+KqlThb+Cl0liuC
fBhwfuND5SaPBJg651aVxrtRzAWz8RKrNcpYW9vBuaPFeEWGaDZJiIO/0qdhsb7LU409g/iaVeh/
LmrRiZGFbE4NStOJXaU71yRVhp4rJy6MJ2hDWFrxxoIirhr8yTY9wMCtIUSEDV8ImkOvGS7aOqb1
yQI6tzROQVE3TxYdcEAqiyiTem29uO1DNi5J+/+4O5flxpHsDL8Kw5uZiTDVBMDrwhMhUtSdKpWo
quqpDQMSUQBIECBx4c3hCG/8EF57NQvvvPSu3sRP4i9BoZoJsiiVkO6SuyamY6qlOcjLycxz+c9/
buq2HYTwitRqMJ6tVyF89rMl4EIYIbUa2YjJrAmRc6O6bDYv6L3VHH9ZBVWf6iwo1VvJVSWa0A+q
vHACskq6x0NPnCz4NNBiqK9Jyc8v6EsCG8vS5kqksZI3u01EvrS9bFWTPttVSz6QDI6Nq1m5OoZe
euQnRo/8Jx28Z+M1vcb12XJwNUrsqC6C6uX4dGyvFwwPNr85HcIjIJBnHmmrYS2mrhHOtzD0umMU
eHriJQ5ZnXhOMPByUokg8HY0ftEeGH6jMxsERrODwQGDiD+ms8hlDZPxE3iJSrNdpU4J6EhNm8ZQ
2K4nQGWcARzCoFbobugH9fGS5E7cZDH9BWBXGGPWTFjDpAHSOifT/ImMc7VBP6q4QZHC2JjX2pCk
67XlCezXThJAUT2D7HviDewZebyqN5+RedKTJvSaY5cck94sQzI3ngTucDEwnMVZo+6DHb2Ya7Wl
YdokKAwyH4ENL/x8Vp4Su2itq8KGC6K1MaJP0mJAKUYcwlaceOtF0IEBz9BPEtuFIbkFX043XDfp
+KyNbAa1dgNsqqBao+EUGUYvhA6lNV2djUWOFp4+2PISrRYN4dHmyVlTbBm3cfxINxHgIge+WNVJ
WmkYXrec2OVHtJZlXFQiH4ql1QjjrtxcxO9CB6blju5QIEV/XIIqXeraohZNFI3p31rGYhZ1g0Qf
nC3KZMtOANnEn/1JvdJvDNbVz5CNNz5iR07oXbU0fBrOYEaci4TIgsIfJ2m0I6hemoA5Kq0FtYR1
qBjX1RHK5k09Yle1UKf9UGsSGzSjBKPkXjZiAE90Aa4HF6QqAoGzX87vmnRI/dWrTR3CNyuHzPe0
ATK4A3UuqtJwsCpnVa4Y+k+svMU5+JlVcB2uy+vTxqLmNT9jhfPotiOAwst3FNg3444+tR3yZfpi
MoOjfdmM/Mu47tYhT1mMVsbJKNBrcT8gXOr1sMBErHqxDuh3Yk/9Whkmxzp0hVC+B5PRApJuAtHr
T/EY3+WuDMf4kn5As8UAAAVP+HqZtEMCtlVabXFMtXakhwO6sQ90QLrz9bRmn9HCHvsGLR1XKvOT
6qKihRdLlmNysqBzk9t1IciqX5XtcjW+oDHvLOoB3WqWrzi3TuNyUQ3I9p9QVLWE0pXuR3ValVTC
5roTg46m3RfEMIH9SPddZ/552RqEAcm0QTKFFCbQyp9gVx9R93niTUN3TgucMqHTqO1UG1PtgXBd
cz2+8Enm6/QFsY2Q7tytBRGZD+tKBAORPQkjwAmN6odFhWzPtQ0XtnGm1+chLcm8ZFmpT37VZxD6
d1rzsm+sJh1HW6+cSr9u8040q1d64oIwoUNF/GkU0c/3ep7oMGv7LgAkSIujAcT2HBgHkqg57fVC
jH16uRhwxdO0tUWGteHESevUsw1dYCWgJrmzJxF1soJi9X1Ti2qYUMkgoQHqpDxanrVW0wF93UeL
yc1gPqM1m0+BigmTjBOeTgD7+W294kxuqA2ku4hXF1WLNswc4LrdWgBvcSOawaazqNPUqDZbjCDl
oBaQznVAf0g0Ot74Zm5oax7TqBa7SRu8tv4ujrzB6mwGeeTiLFo5g9tB4JKxBUeyWF0E1bASdCr1
eGZF9fr0V8Aha0ivAJ715mAkejZvk1CNSuVyYk9qHqlcmkhBGzSg97WzoAXzBVgJXs+Ad1c/wdS2
p6dEsOr2qZN4dY8Cz+mcwus1lL5mOZhMh3aLYqpeOdShNR8l/hT611GrTiG6gOO38dJxlDw7os5K
H1Qrl4tVMApPXLqbJAEB2Iiqq8igKIpcbAAZO0FOWOvtRbNGFJrCgCu6ptMokBj24jOJJXLay7Dl
eKcDfxq2RFcNbGIHdv5KB7Jrur6Tzx5fVuHqXIJPwhOC/b0+Px/HrWhxao+mtc9LoH1loGgANOCq
bmgxXOVBOaSvAO7j+g7CeqfeIaRnnM0TOuZeolBwBs5ayzomdLio95uV2dSlF33FGdYHnmh7ksSC
6nzgN0+mIT3mTo3pdB7eJP4AymFjcOfN6FDQadGk+oYuPU140Gl0Yk6SaHq/KEf1Znc5r9OfsF3X
Xd/ozWo2Oubavrb6sKo7ZedkGgEIOR9Euv4O/hxqiaIZxFrQso7X5FdivNkOxofznpvEgDge7Ms5
MDXXqrHLLOhkZOi/zmO4vD5AyNxKzsr1UeB3wnLL0S9pjzmvnPmNOW48ULs1dxAgJHKy1VlN68b1
yWxafr+sTQ2IUX1qjRadetzQR51FpbXuDUJXf3BmS7s/M6oBKW1Hq0BD5pC0cD2o5TtBMJsk3RVr
fafPDXybwSJsiIfPCe/rC60yDAErzNuhYzfY14qxfvSWqPtpozaZwMIdeUANnIbfMMdLglBEMBz6
hBOMNK4qcW3MDkcrn84dWDGLLuQP+kVtwkLQnLQKA+PIrc57jq1FDvs2rXwI4ViktjxoYVTYI3h2
T8rrqQbxOp1ubGiZI5frOPYY/Ehbzx6gKaSR5oC+AmZLC+JL4O3Op/LcD+7oCErnBXrGVSHkngbz
HsUYDYiYGzFmVrVl12koFMez+MTnhb2IRpXJlzltp64j6NG/RCD9fk0w/aZnq7lRO6OzIu10Qrpb
zMAD2qF+EZfnFWuRzOtae0lW5mPFXURfnForGHyahSNjzMs2ndBMg4Z/+t+Wnj6Z31NjPm74xF4S
v0FDplCrnJQ9fAXjmbi2HIATLkDDwEURdZqUtxFulF0AGv7VXGrPSdzPdNHDBnST1w20SvSeSJHg
5J3NQ+1Hv0nBJF4H6WeSVRQ15GLpZAxqc1qi04tZG8PCZkybZ+txeQnx5JKmSYLTecshu904NNtV
QnhZW0FG5sj3SLPQi1d8kMSfPMdaGXCTh6pDGWS/r/PedljjpKuN1q2uXY7pxL2kK6me+K2ugY34
QwHw9OsNUdMAk6vIN6clpFuh9vV4toodTbSTopdot1Wn9/hS94eHpygHwMVHIGTQiEiLHEUNp1Oe
4iie+s6Sy7xdnlfrnemqPoOZkhBz1x7PA/M136qDEBAkOSRe5G8NtFFkh64g+cHoOont8uTTbNGq
XCfhKImeySLloPmbiVEuA0EBcWJytWLiW6sHvTpkUMtpHZ+G26e+avjYrVRinYczkLeT2Ft0p1jd
J7PlaHYJwqn5UCZ12HWMGQbnVLSpXzSrn5Z09DbB7dH0lbTrcyl4OcXxNEYyatS4swWcKHmMc9sG
ibZg8UdBM+gmEBucE7YbnKbL/v8owvI0VFEL2fVjN169T6xwdWfRyD2mnfemREb8NGVDuw9e90uH
BZWs9Mv3q6n1T//wCDApFiOw3UCKwVBguaXT34aUjveQBM9kWskQ0Y2jVpMjxQsjsC/8YVNpR2c/
/Vj09iagQyytDmRF/OFSIUi0tUTfW4TD89us5uHfOTSDzfKkZWr1zZBy2/IDa1DWqnQwh86am1qa
vU6hmkD9UHb+1madloBK0bp0H35o1sYRTkuDpKWx2Vou062tN4yjlgGBNrSGG83YqNpb2vlKUe0v
Q1pOqhaEDCHG7cnrNfrWE5PkIX17O1901oZ2JJL7IHzIU6d/pLmXG0eCbgEb6+mn4k54W2eeDHg6
pNef+daRuNBAH4gaRvEHgVvKz7XIH7issh+/OTWobzbl9Sug148INELOJ+Bh6R9pBfTWEcWJmigi
2ywQB+RtKQFAooJKUNaaR8CSqoLLLz95sDbNqiZs6Lc1a00gjApd/NoRNac4QrnHjiQOJAxGSjiY
qsPbO/WC+6XQ1In2AQwmEUQ5+kar5TevxoPf4FaAHeLbj9/W9lNNX3gNePfBXQFFIbW+e/Cpzsdb
xn8jq5P+eXsH3yh6BMrcfXjLGlffZo6iwcnW9W/UjiidBc8HSDz9Q27yjemBUVQPsO+aVKALBk5p
7iRfgcoBc39aGYHKeltzbxbd/uZRBZMXprzMwpF3X7SrQfd5+Dabzz/f2hIU9vvKunEEAlNrNNHx
9I98E+q4RC2odIG0vrW5UxGXDun1po92BBQZPmcjc2rluRsgEwTpFPzfm6X5gSV4gXv0LYTQcVxv
mAYPXCvaF2P43i9kbvPuz59c5tQv5hn7jT4+/VURTdh8/bfowl+l4ELq2G/9UAQ7tv4q/W6088tP
k9/+1va/kqa6dw7ZvzynxscMH51V+n9ZPc3qxpwQseiYvim3pxLPwW+D3AmXfLMYDkk9Cy3L96C4
ykSJJRS0lUUF96yl+xhkcoRUVCv7697wzovG2zcpaCzdilooK2Xm6gGft3jCMtGpCohSnKIT+OC7
sTUs9WMzznVCEJzNRaV3EBCaXul4YoXuo5kJTEdPp2Rsj+9+Idq6BQ5tbccM3YcHS0YvAQeHfaXJ
TfKM/H0K/C3+tXsA5bjWj//8aThi/pB4wECYHYntQ3XgUP6cM9k2nRCFzBYz1XLMhu8u7Ut3Dqhr
wjZv5AipNRVH3VybqHPoTrcla4LzpeiAL8Kclok4f2GhUWhaEs+WJpi9C4sNzVkmJd0wnVewqNDL
IMzBBDXR36So2KtkYbpxJicdraiXKyr22nowffnKxAEuLvfdJKcGIlJRdLDvSTiEmZh0CURcrqjU
vpkM3dJxaD648uUrAmKFhdMXWpYq8q5FpT49SGLMpS5dznbeJVHtW/Qjn6woLrVNf5yJEitOrWH2
19e/3H+zJpZ0U9Iup7jUm6CE0v0pKuVtmBQNW3Q1zgLElvrJwxAWEt5p6ShW9YqKa/k+8R9KF5EY
v3TlC75LGEUVrNHxQ1LqJZGkkU/SFajlP991+927j92TfykJ5bFCFiyv/w3KqfCo4G2m9k20SBWN
UA9vzs+zP8BJNyovsj9IVfrMYsf2kO2U4BEb7JnfeQsOxvGXvCWaEvTJ2/Q05RcaMsc+d/djnDNw
gaPsbP8Pyo1y92saHS4y0i5MPTK7L4HA6s7h+7Fh3gRh7Ow18VMfNXcCfkz2ccKNZHq5dcB1KLi0
/SDZP+Y0Rp4/tT825nfiJMgjho4RBnmKIOn8RkwGouSdx/3HvnGLuWAH+a/QjaYGmIX/kvmlQ4FI
bMvqkvyGNHipg4XOmDlFJLsA0IqyTkouYC4mw3zo5Xzph9omhPmPe1xRYvYcJjL4KYE0+eqDD/VL
P9ezomAaxOZE3ioucUJDTZ3AGYQKpBAFCqnwIvZM2wmth0ySMDcatA0S/wHIQ2c0Ea1W8aFv7nDp
xoodK9x5cEVUmORQtWXA5F2hLEiEAJ+Z3897pTbXU1EvWX6p3sQr5OGbyIqnwOM59ocB7DnZfgot
I7Xx3c196fMm7mB5rKLBX1Gxbcuz3WSSCUot8EMn4IWjpe6GhU2DZudWuLZsypx9aUlE2wMFgzdz
wQuRuS0sNvFs4lnScAWrT1G5J5Y/MUPJ21HhllyEVt4hEbwVRUfbjeL804apWlhsZ209OvLaCqBJ
0dGeujuRZUF5UVisGQbWPo/p4Hv0wkNySiTr0coGmd4TCk70mfuArZaLY4hyzKJrcQZC04+sVSZJ
DLilwKk7s0LcalmsinUg2yCvrmCZKroInTAA1yldDVrarRjLMV69PmJxnvjcOdIigAsqPt6Lx53L
IYWNF12Hi9j05NEKjuyiUi+tMKdgKY1HYbEEVnrmSg4JaSpeoGsznue0QWROiw742o2dJG+aaLsu
YvKbI/HCO6cPZaY5zg/5kPH5QsHXLvd6bFEYbeWSFBD5FV+QZGlNHoIktDNZ4vbRqgqu+F7gDVkT
SW5NwbXWC3wzl5QUlflFVaMn7vZMTLoIAptdVOp33JSUubGw7CBcmPJdoeJpplgnl0pOOyEVHe0t
cZQk13OFXqjFl/gu4JWTDx5tmIrLFSfaygsWDQmKrkQ/vTVD15cy67CtKhA9zWUy8YIVSJ2bOHTh
MJMkTgdd1rK/vv5x7i+sofx46CoSeX14nNeb4EA2xs2QFWjbh7FIFkvGJXGi7DOvX4qnxNCV69vD
QHYbRYeVojr3EePqEb2jD590Y+gH4yMvfKK4kXmgLDuUFVqFV9O3wnxyr6FgtUnVWKXgC8aLlM3S
YDdTEKjYhIx75qM1zHt6KbNo8e28CuDsllab1nSAvhUYtl//TVz/+1yzBhBrUVch+jKRmTNg1ntu
Jj8xtCbyE3/AyNreZAxMuW93J/aFnItuzLZeiTsXYOD2v+oKpzHDJR74kULAk0izFZ3VWwzk2kDb
JLNYgZVy7NvYmJnGiqf52YuEpbGt4BBSrh3E0QJ45bZYgTQu+nK2sQGlR0K09SssNIEHcOhmgsQS
iLbERcV2HFMy0lQYJnfWNHnwyFzxXJJyKcGDZUsvjygzKjrwE2sSPAKG4TPPf0+BBnZA44aw5WYj
FxvwPJzheSXsQPYVBtG2WEHwXXR5vgFN0+y+/22NMsli+Aezhi805Drm1Cp9tMKhZN8ezLO+UPLJ
yCXKEEsaX1dg13bt1TTeXgZRWlh0ubuzxIwD7j2vdJZg7Et3iuAHLPyB0I1DWawKq7YbO7CJyde1
KJApOtx7jv2ZOckZ4qL1Q1HJZ+aDfAibCrbvzMk9A8/bqc+f7F1FAIVdfAE6X/8rtkrDP13MAzeU
Tl1Kj1B0fa8sfyVp7x6MTfLDsc5r9yFvFVBtXnwxrsEsxI70uODUKJDrPuRWQfB1Fl3bHpUcthk9
5oCtKp4RYupBHMvqoMRRNz1zId3BKRVD8ZXwckIVnOIeD+ljPs6r4O7tmQm3rytD82mWokIhhOR8
LFJT8cz1grW4f6mSyYYpnnxq4LK/vj7wdONi4mdiUqkqnoxUqvwSpbwHRVVtcw2X224UmYk0asHy
X1T63de/J36epkZFdvMOz0Su+4KGr/h4+9bq0bE8z5IsTjg+FYjeQAh34KRUHSsQLqKF+9qvF0z2
9g+21yoqnDxDHqqpokSmv5+cuuBo7yGozTZKnOqUHqjo+eh//Y+gdB9Mvv49RSDdhl//0390Zcgt
5fnZd19/KYGnd3OoTOKNCuSa/jp/QUOPVlzwB3vngKvIV7eTcAy+q3RqRvJuqsj9UpLq5mz6lKGh
qJZ0icMAqpdMAqhaii/y5x0fhCY8CsS6kwfzYSE9rSk/S9GF2MCwd8+3YOMrKpv26qV7jDmptg7o
dXHJxw8rS9q7Bv1tNKMCmRbs+ECi98DTk5wPsS8Y+/vEYSE+oPC2aCR2e/zPx5c33qNUL5sN4GDE
0qLthKx1Cq64ThDFZukuV64hmFeKqlzXK/VNb26Cws2EiZdFsI8VFX1GwMXieZV81d0Ck7yaPe+2
nwf+UCD8syGmBu7z2ZLnBd+wwKFpJ9KIIRLPPvT6t++W6MVEFvs8GnBbYbtP2Y/f6cCJkEKm7q8t
9Ga9f1MhmdXhJzE1HH+xCSNRMShniBU8N8dAEx5MdyQLrhVXnOOQ4kzZ51Lgh1NHanvm0IqcbIQb
czL72+sVvbcyBW47E5SKVTFgJ8lvmoLLTzRukp9FQSH7m9K+jrmDPMRDMJT3TIXd2A/d0jUFwNI1
oiJExwGXU2wqDFEuabt0Jf7RP77LFnVzUyvYuQvKRnwr503QQin70OsVGMny1mlpG+eCntulOZWv
Bk1F4fnVKqRTWP46w6wrvgwbuMtVkMtoaIaCJd6Y0HtkK1CMK7g0xs7ukig419emnAQEMVN8nQEU
mcHOEakpWGUAXGTkc7qswmQEVDt053J4CuZ4FWvhmav8mVaR+7uxpnJgCpax4sO9xVakYGAfqooe
6irkj3dMFU1FbcotNF/udEoSVDKhD1dzvjAn3AfraE65NrL5pxaApkA77h3TzYOYdV3Bub43R+7u
SuMfZ1N4/WNyb7oEiTM5GxtLxYiJIAmzMH/N6SpupA/rB2vPcqioHvjoWjF+kLQeKq66d1R7BvPS
RQwCZ1r6pdQl0R/EydPJ3P4czW4FfWRRE+/pg1eJb0YOQZtfStn/dPd9FOpeBT5GfwqYxlvtu28o
Nldh+/Tc4RAMbdeM4myNhM5ueL++v2jcIi+iiHtatb7jjili91m1b/9zQ7Oy/VGgntSyK4ji8lyZ
K5MNCl3vf/7136Ox+NtZuCLTywjOAStMzGzXpPuQoFPdUJGqvncBEJVJhMvZ3wYdDgzRvqCoNvYt
nIJxpu7RLyeuGazwl9zSewBpphRkprlTQ1eRDDwJxsOABbw3x7iRrhzcoDcJvA4KNu/KTNzQlaqA
NTqniw4Qxdft1ix7bvmRAttyFCWZvI2Pkn5DQeCVuhB7j2QFd9C1OY2dnFmzWZpnH66fF1j6xnJY
NLi0PQXxPh8GC78ymHscJg+St63ALId5xyXCmOba2mb4QKJwWz8UxBpB4iauJ4ddVRhgYrTEiaU7
UkUdq0CiwddIfFQSrcJB7pgr6sj2vZgqzJlOTjtqCu6Lk2BClk3mHVVhPGRy9+NMVXhvENbmeXBV
cKSRRRhCI5vICWkVwJBzGBylnBjtR7Kj+HqT/xI9zu0fTZ6Ly+2Zoci/5tFCKpDIotQrgrfXlKw+
TQX4+BYahDgQmSvJCqHHdvEV2TAOX9H/L0pv0xtr7so3iApTf/OV6+RRjqToSm4+6kXdoTlMh38f
PMCPlS1L6iuqKLq/x1fcrE8HvQyifZch7fmy775e8TcL9dGFpQMiaFFuJioLNrfCTqhBBVazLSB/
kVP66Ia2u/eSh9yw+Lw+9A9+QYEityl+zwGF6WZXfOQdkqREFzNBqUqpMP37pmwV0f0w+0YB9RH0
4V14m4CZJPIxVkF5s9FOTJjY+fp3z5qsshGLVamJ3pCFvTAxgZ7JF+TqZ0AWKmKYmwlsXoHSnzds
OH/JRi0mQSPr53Pg22Zz9/dNKacMiEXN/jeYUxZUY3kMoQpGATIwXwJvvCeeVKeiGar4Vr1OfXCz
CWXls+7kz9v3DTvlH3DfQ1vcGHLiVEUQrk3SJkeTo6J+vR2aaxlYJtptFb30OqQSpFC/inhZJ/CC
fGGSijBx9xFfQsY5qeh8cYrj8+iIqrJciZIKSOCp6Y2/W7uvwGo7SwBsSBEI4mvF9aJPtJVIv6Qa
mgoaOJF0I3wiPd9aU0F66dYK5RDg85fq84CyD2GSH6yu4oR8BGu/pruKtHEQpD63cT/vGdhHJ/wH
fBQ2TWMgWjcnorv35noV1pkKC7MN918+XKjCcBXXbbDXgVKBJOkEwuv885UFMta3/7LP/1ThDaaA
FcFxj4ksLuJ931HBVNYJgswmk7wUFXRlp+7I3VYaFSiFU9iYREeKrGFSypDjPoa78KmDvYdemOJ7
eguhG1vtwLNU4Gif5KcIIrHZIszwjcteoOOG0qaoeBgIQEoZ610e9CQHlH/+XTi3YN560tB0Dr3H
E4IAXvbvpElAKJ0pxevd6yvSaA+41pmk9E5SUdXTcUJwCMTu9zgqmgoi4BtrUeqY3h7aJRVcVDdu
rvxSRc3+R9MH+y6bEypiJDeUucpSVZxZscCfLbLkcq85aKEyZXm92t268SOxrb2PCyz8Cj5gTkmm
iSnsKeZXkyT28kWpCo4jj1RE8nY/eExFjcQmXHRueSRl/rF0HBGUjSiC3USaxYklLQYAopP4jmSn
0Byh+KbcB2NsU0lTdRWmxD2QRnm0KuCo9wlUiLnBKtDMT2yvu4m8nyYxSKFsXcXVS6+G7K+vP1w7
RqauAnLREdhAkbXJDm02UDHuGkHGRoNuDDW46SqAPFSQk37YbuhY6sGhGZbeJUCdsBf3mnENAS+p
0LioSRSM/iTP07f8RMdnT4eToo7P9myE+hwGP2z/dvcp5rvV3FUazA/9fMu92ddeRRL8NMwD8dud
Rkzb435+lhujS8SjvnWwzQZwqF7vzArIHklnUwV29y6JckBmXUVy+f7rf1M7vLK2jyTNc7K/fu8q
2V7JbId/n0KyfX1wsm1J9+r/XC/2zV219u/ri/PHm+W+NjxvbJbPbPbTPfno4X799X8BAAD//w==
</cx:binary>
              </cx:geoCache>
            </cx:geography>
          </cx:layoutPr>
          <cx:valueColors>
            <cx:minColor>
              <a:srgbClr val="C1F7F3"/>
            </cx:minColor>
            <cx:midColor>
              <a:srgbClr val="129087"/>
            </cx:midColor>
            <cx:maxColor>
              <a:srgbClr val="0F766E"/>
            </cx:maxColor>
          </cx:valueColors>
          <cx:valueColorPositions count="3"/>
        </cx:series>
      </cx:plotAreaRegion>
    </cx:plotArea>
    <cx:legend pos="t" align="ctr" overlay="0"/>
  </cx:chart>
  <cx:spPr>
    <a:ln>
      <a:noFill/>
    </a:ln>
    <a:effectLst>
      <a:outerShdw blurRad="50800" dist="50800" dir="5400000" algn="ctr" rotWithShape="0">
        <a:srgbClr val="0F766E"/>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_xlchart.v1.6</cx:f>
      </cx:numDim>
    </cx:data>
  </cx:chartData>
  <cx:chart>
    <cx:plotArea>
      <cx:plotAreaRegion>
        <cx:series layoutId="treemap" uniqueId="{5D9A214D-1296-4517-86FA-B6CA90D4FAD0}">
          <cx:tx>
            <cx:txData>
              <cx:f>_xlchart.v1.5</cx:f>
              <cx:v>Sum of Market cap 2022 ($m)</cx:v>
            </cx:txData>
          </cx:tx>
          <cx:spPr>
            <a:ln>
              <a:noFill/>
            </a:ln>
          </cx:spPr>
          <cx:dataPt idx="0">
            <cx:spPr>
              <a:solidFill>
                <a:srgbClr val="0F766E"/>
              </a:solidFill>
            </cx:spPr>
          </cx:dataPt>
          <cx:dataPt idx="1">
            <cx:spPr>
              <a:solidFill>
                <a:srgbClr val="139188"/>
              </a:solidFill>
            </cx:spPr>
          </cx:dataPt>
          <cx:dataPt idx="2">
            <cx:spPr>
              <a:solidFill>
                <a:srgbClr val="16AA9F"/>
              </a:solidFill>
            </cx:spPr>
          </cx:dataPt>
          <cx:dataPt idx="3">
            <cx:spPr>
              <a:solidFill>
                <a:srgbClr val="19C1B5"/>
              </a:solidFill>
            </cx:spPr>
          </cx:dataPt>
          <cx:dataPt idx="4">
            <cx:spPr>
              <a:solidFill>
                <a:srgbClr val="1DE1D3"/>
              </a:solidFill>
            </cx:spPr>
          </cx:dataPt>
          <cx:dataPt idx="5">
            <cx:spPr>
              <a:solidFill>
                <a:srgbClr val="5FEBE1"/>
              </a:solidFill>
            </cx:spPr>
          </cx:dataPt>
          <cx:dataLabels pos="inEnd">
            <cx:visibility seriesName="0" categoryName="1" value="0"/>
          </cx:dataLabels>
          <cx:dataId val="0"/>
          <cx:layoutPr>
            <cx:parentLabelLayout val="overlapping"/>
          </cx:layoutPr>
        </cx:series>
      </cx:plotAreaRegion>
    </cx:plotArea>
    <cx:legend pos="t" align="ctr" overlay="0"/>
  </cx:chart>
  <cx:spPr>
    <a:ln>
      <a:noFill/>
    </a:ln>
    <a:effectLst>
      <a:outerShdw blurRad="50800" dist="50800" dir="5400000" algn="ctr" rotWithShape="0">
        <a:srgbClr val="0F766E"/>
      </a:outerShdw>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title pos="t" align="ctr" overlay="0">
      <cx:tx>
        <cx:txData>
          <cx:v/>
        </cx:txData>
      </cx:tx>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regionMap" uniqueId="{6079CA1E-56B2-455B-B088-3FC675D1F9AB}">
          <cx:tx>
            <cx:txData>
              <cx:f>_xlchart.v5.9</cx:f>
              <cx:v>Sum of Market cap 2022 ($m)</cx:v>
            </cx:txData>
          </cx:tx>
          <cx:spPr>
            <a:noFill/>
            <a:ln>
              <a:solidFill>
                <a:srgbClr val="0F766E">
                  <a:alpha val="38000"/>
                </a:srgbClr>
              </a:solidFill>
            </a:ln>
          </cx:spPr>
          <cx:dataLabels>
            <cx:visibility seriesName="0" categoryName="1" value="1"/>
            <cx:separator>, </cx:separator>
          </cx:dataLabels>
          <cx:dataId val="0"/>
          <cx:layoutPr>
            <cx:regionLabelLayout val="none"/>
            <cx:geography cultureLanguage="en-US" cultureRegion="NG" attribution="Powered by Bing">
              <cx:geoCache provider="{E9337A44-BEBE-4D9F-B70C-5C5E7DAFC167}">
                <cx:binary>7Hzrbt24suarBP1n/ozc4l3aOPsAobRutpeX47v9R7Adh6JEibpRt+eaN5gXm3LHTidr56STgxz0
xiAGbGORohZVLFZ99VVR//E4/uPRPN03b8bClO0/Hsd//pZ2XfWP339vH9On4r49KPRjY1v7oTt4
tMXv9sMH/fj0+/vmftCl+h37iP7+mN433dP423/+B9xNPdlj+3jfaVu+c0/NdPbUOtO13+j7ateb
R+vK7nm4gjv987fz3eXF+s3b5dkmevvbm6ey0910MVVP//ztiwt/e/P7/u3+5avfGJhd597DWA8H
B2HICfYF/u2NsaV66cDswA8Eojikr992cl/AiHPruvTN2w+Nfrx/7fnaPP6Yxf37981T2755+b8/
+ouZ73fq1kYfRRDZ56newWPDs/3+pYj/pQGedu+Sz1ZhXzR/1bW/CHebrXwrrxffevAfXAAUHFDG
aMgC8uUChAeC8oAiCu0fl/vjAtzp4uH+YXh6bf1+4f85ck/wf3b8i9Cv/36hX6r78v03de3HRI4O
GCGEMcL9jz/oC8ETfIAR5yxk7GP3nvz/ejpfV/3XcXuyf23el/zl6u+X/HZ3toui3bc07cdET9AB
EjjAyCfhx58vRO+JA0I4psFrbyhev/uj7m9tYx8f7Wvj96v+p4F70v/Uvi/+7b+BtTnZrBZnG5jI
z7L24cGzyhPGxYvmsy/EL8AVhKFAwWv3nuk/0eqp0d/ciV9X/U8D96T/qX1f+if/Bsp/4Urdfvtp
f1D5yUFASUh98aWlDw+o7yMiwpdF8feU/jsm8nWxfxq4J/ZP7ftivzj5N7A5by/PNheby/Ofp/Ye
9g+wYCFl/MXkf2nxmThgArZFgIOPSwDdn3vc7b1rdKdd+9r8A3bnz6F7i/DZTfeXYXv59y+DtF07
3Jff3Ow/pv4eJgeIB0gE7KurgOkBC3EgKNtzuN8zla9vgD9H7gn/z4592cvrv1/2i9Xt6cW3dO3H
BI/5AfMx5j72v+Z0cXgAQkd+iF/MPgQCn2v/Qk1V99r0/Zr/MmxP8C+t+1Jf/BvY+6PFye3bbz3n
j0kdHVCKQh6QL+MqAnCfIBJyKj4uxp6xP3oqp29uuq9r+suwPWm/tO5L+wjil787krq4L+f78me6
Vw/UHFOBQMtfHCnAl88iWsIORCACcAIv2yB4XeyP2PJ7ZvR14f85ck/+f3bsL8HF3d+/BCdvtxv5
M+Hls4XHEFnREKGvWRoE8B4ThHz24mf3LA2sg374tkp8fQE+DdyT/6f2ffGfwEb/u3fA5mp3dvsm
2r09/4m2HiB8EAoifPyyAGBePtsDHjsA8A9AKHyNffd8bfR//0/39Ob9/9r0Vjf/DYphf/zegux3
769LtPn71+Xi7cnd25Ofui9+WaZPPOgfG3ifIt2n2S4uTzbnP3MFyK/Q60va9A/ic1/sq/XbZ8P4
s9iG4MAnvo8D8srmfOmPPQQMM/SLV1Qahq/f/dEhr9K/iD++7gxehu1ZnpfWfYOzWv/9BkfuLs6v
f6rkf4VakHH5LkuzfXv89hqczs/SeQ8BBOKBwD4H3X/+QV84YDBEIfFRSAP6CSF9Hmxt7w3klb41
n68r/eu4Pa1/bd5X++2/QZT7Ordfoof83r8krf5H01iXq7cn8U+09L8yKt9rb+7ebn9uyIWANUNB
iPAez4CB02RBGARsj2C4uy/+WzHW67g9C/PavG9h7rZ/v2PdjzZ+lqX5FWR93bl+rHT4Lr97/p1V
BD/Guf2qZngtN/muRfiU/PxZG+NXevel2ue7xP+XxPqPKf8vmv+7pP4p5/yzlP5XUv0H7P5fpjd+
TOd/JVm+KDXcJ3T+rOv6Wcru/SpX+yvy8rPE/k+T+q8Chs9rab/Pzv91MunHbM2v7NaPgJu/JG9/
TPi/uOSvh1z/YvH/Mrr/Mbl7/3/zC/91pfinovn4vrtf/FFt/1mx+Ld7X+3T3tBvkcwfPcXm/T9/
Q5T/wZx8zNc83+Jl3MekyPFTa7v0UwXspxFP9233z9+glgeKybkfEMjyQg4eQ4Z9ePqjRxz4CEHi
lzBIv8M/qH4obdOlH88AMKiboFA38VyeJRBw1u1zgA59xD/gIoByXaiGFgHC7NMhh1NrJmXLT6J4
+fymdMWp1WXXwrNgBg9TfbzweaoBChjBjMIkodAXjh0IH/of78/gKMXz9f+7FVNQ+6NIZOf6Pq6z
nEWubLRUQxDnxPknVdGcIdos6NSbY+PjbtFZd+iT+q4u+k3C+3XdtkoyP3UrlvdL3PiptFi5qBZj
Ghkdxi4M3+muk3l4ndT3NqkiNRayVtnhVBlpHL/uu6aUFe1Oel9fTEJ3O6+tl6IjWRSK90FNHvsC
+7IZzDIputNGm03fZXeKhnOcJ7iVhrrxquzKUAaENREhzVUy8DgVTSp1Eo6y7IcdKdOjuiM0Tqk9
Lo1eca895bkYIp6iPirreVMKmHyPaVzRPI0TizKZuvaJkflu6sdFngWpbPWwrL3+Qz3yYWlMFRVq
fshys+M5PJZXGXNI6y5mIrvjPHQxJ81SpOUHb87ghIV1N01TnLqpKKPQb2XCwkemjylTG51ejV7d
32U+qyPRBbV0bM5kNSgcmQmm2XdTZiKlKu+izAw80yjHrh7kgMRZkHMdVW1WR9VcVhGr5xtuurgz
I135oowNIUVMxvSItKiVxLW7Ug/vaI93hAbRjLuoRXabhyKThS1v5wYZGVbjYZgrEXV+uWU2KSPU
NHoxerZaBDn2l96QZKtZFO/SrFqY3Kz6oBmlmt/RxGxJU5x4ITlsm9RJ4VXnjcvO1NSkkac8u+Rd
Hg3UE4/emJx6gh+OImjjqYaLA0MaSbqpXnmGFnEfkrCUc9F6R7BXpEOBL2du121hTkw2RohU7rRs
yLkXaO88b0Ily0T5Eg1hucJuvvKoOqK5Pa+buc5lXT9oM/oRGwn64CUVlm7iw7oXoYhaMiVXOkAq
LkmqllZrssHTcOiybF6YMU2iwtQ6mpqWRRkb6zhXdMV5e9o0yYcakS131XWZl03cWDrIkeU7rWt8
TGi6xL0Qy3Bqp6WXsDHK6nCrm2k96bCIWScO06JhspvcCWJts/R808TdjOhpGAz3VHfzsjbCk8hm
MK86vcktyAgHapK5pqP0Unacu+amMeGl75mtMOm0TGu/gS2IxxNaFhszMxdPLrsdHMrjpKn7hU+q
q9zlsBuxPRmqQUQeTYqFMvqBZG6LrFAyEzxbaOKvw2xraF/LRNNh02XKiwpXa1nQAWFJR3vkZXUR
tS2fVjS1RaxRWEgxml6mgXkckC5kqRsrTeexuMvcEWr0JQ9VH3dDsS5qAxs8TWOhOAzLxsewzI/7
zrUyTZi/rFovwk1xKMZaet5YR0jjh7LHK9zqPKqdKeNCkwK+i61DPTZx7ibZKbNIzU5jUy8q2CBp
965MvGUY3mWoHkEVskc1HPeOhDHRzWlKOxeZDPeS0qY8dv1UUOkyoc4J7qs1yVF9zD3eRiysikUz
D+0S+yrdoNRsmqTv7wyvhuWEEnQzhM05c9PxpKYkoqOrJS0VO6m6kEXTyErg9ZWWrnQ8HgqSbag3
ztFU5nIMh34RFGEZl8LuyDxu81kd1igY17St88MelQtQhOp0CL2jqeqPWhO+n0V/kWXDlSlY1BSp
jYvRe9K8Dxe68JOFr5Kd4lVEZ3xI++motTqXnE0u4jyL7BQQ+CLrrdsu9+XEhmHVWlJs8UQi4QUu
0kpHhR3W1utP08CdZDYHW+Ars3aDTqVSw5FjwWGbeziuwpKv59A/doV3U/MOS1z3/lMWkEAGAdiv
CgfZQ17i4tAvbS/ROMbB3IzHvinLlStUJ1tRDnHWjmxJarGc+vKcCXObN2d2Iuty8LBUmQM9ombR
9WqQc26mi8RsZtuA/Xao764mjtutp/BhOcyL2ZWH6TS0vhQkaKXHxlkOjA5LpzED/1CIaEBz9ejn
YD6nnOfbnKc7rxpV1MNRQum7NF1UphuXvlC7objHeenHzLosEvl0YibK73tXvdeqa1cNSklEO7Zu
QrROrbccOj+2iZ1l1Q6yS/nhoOZIIH3iaX01M80XaV8c5l6+0QyML2uquPdaWJ8klcHUPU0iGONa
mSOeBMkG87KWo5qzqOyrKO/LRemDj6ndVnfBZcPBG7jkiOfDex/V0azCKGdd1CRBuq2U/9S05hKJ
ZF5Y2rBl2oAyWWaKJU9HJHVaulj3Sb6cumQZlpWWbUuQrMfardM01EvSuD7q3HBGe/921PPSijKN
Qtvc577XRSUCAzCQnC9bz+TbMAQP1M/DrRZJVUnRIrSqW82l3wWg6EHSLKdmZsvMc9OibLm/xqU3
34zzfB1wZyQZOkAWVQH+ysMjoEJWrUdm+ygtx+zQ2DR70Jnql3T2SrhQpCwWY6JkneQ2Srl2D35K
is08DfnaS6m71hRPV2ya7O0UlsU7P2eLcOpF3LAdU8uJsVqycIyq3j8nHr0uyry9yPx+iGZxXVas
29ikpsu0oz0AJFOCNwcj6+WiWzDTGdkOyV3YikCKqqJS+UMR0zpdtqE9HH3fyrJ+GlpOjhMUDPHs
sTruJ3afZeGqLwXbFMjzz2vVXeOJgy8TZ4lwq27oyTVVVkes8bZE4VIqXJeHA+rKiNSoj6sWvKXJ
q25DAn85eY0c8zRKrNp1ZXaYhv7GjVjaAkUWo1yysl53YOOx38dIp1Eu7HGRDTLTSlLDroSuj5OE
yxKbqKhDmQxtuJwS1C5Nr0nUBtV6ytFFEVIrXTGksp6VrJJx2HUEr9LueT9yFVeFkPlUR37NF1km
wGfaY995i1GlUclhM4TJLkjducLkbrJIhtMIvrXZDNpfakovWzNGBM0umjMvDqdM8myyMuyFdKFZ
mBSdoNyBnx8iZrw4401UUPyEW7Oy+Lj0g1iHk5xcL1mu1pSdqlI/GlwdzS2PK+6KqB8BLynYCKKI
hadWReLWia4ObY1XJmgjgF1Lx/mh13XBCoUNLHnp5Us9KREndD7LS35CbG9lXgz1So3zpUXch5kM
LCKpc+vaDVcB4jimEzi0buI7V8JzM/9BCX6EfPBn7TR/6Pthq2ubLdkwy6Rs1wapDdF4B0oNkE/b
aJ49yetwOVi+MAVd922y1a55aNozzx/OK8rjvE3iipxba277Sl2XFq2qLlj2YbOZPXNcKG8jav+k
ZkU8elkT28zgeBzGUFa+Xo5tTWTRTB9sHtwwA64KbEPO61srmifqJ0dscNIl9rjVZjVgt/I0XaU5
lkxXq5wN7/uhWGg+HPa0v53rdeirla0VoPlmSYrwmOQn4Tzc9RM+btWxT88Un9/ZMTxyhkWUtssg
zWSTNsfcr2Hz9rlMERgyOzZHDQVsMym3dbm+54B18zEvoiYMADNV5QOu8Zq3Xlzl226ukshXNYvD
IIfnKuE2k88/lDkoNqBpejxxAYgq3Na13VnSvOs9tgT7seUcLsiDUzYWi7k5I603Sr8Y+wibndFT
J70ab309xV2DSTx44Exq30YUDM4mnG7H3l8m3FxrbbYUgCpr0ZHA4krT9LIqqZaz0moxoS4yCJyW
dqcW+bdaMRP3ljhwCW49ObIT02NP0jjIMjmP7RSXgSebMdy4MrzqOICXunOHU+MvR0yalSPeu56g
y7q6ESM/Hnn4CJqk46LLzzDEibLnaSIhGFGLIR0eynQOF0GVL7GhdFtOFVmVVbGeR3ySZf7pwOdF
0U6pbFqeyMQNuSzEE9dMy8ZNV9oLnyOKNArAjalntezD2xGwUgauzC+9Y1OKaB4vieCrystTsKK6
jTjtz0rdx5Pf7uoRRQq7oxx8YOqNgaQ9uAA3sk0yJxLO/972/S401cmkmi3xgvPQJXHekBuadBKB
2QOf0TSRw9Wlmx9yfp8x72kmR9pjpz5f8FrZZ7P3bprYup3d1taOvGts9n60emt9dlUgxiJGp0VO
u2iA2aWJd8IGvciD7hDTfjHp6kOI7LtR9Qtb3eBMPKWkXRdZeaS0P54oxGQ6JLuqFrlse3IIThui
tVniTqdxnsHvmCw1chukhdQzf1/WNo/S1m48S3A0GIEjb2i3pvJWGs8LVafrpmnu8sC7bioe5VM2
Lpnf5YugwTrywDWYYth4gzphDUDS2QNjQyBMl7odUJSleRAl5bDw/EZF+dAHkqXVBy/rZIWTBpbJ
P8u9IFgIBNZci76LRTeQDRqCBj7aiJjgIqnS26rIAWz17lghfFLV9VU/myIaSTkcVgVPomRiV7SY
p8jl/RwTkj10FT23HrGrssvvUwxYkgS2XgEyvez7SUic1BuvmFrpvOamT+rbIi8NwB9PRW06FpEY
sscCgtaomUf/MLFWLGcXOKkD/qAGe+a3JYuRC06bLKvhbnklJ9vusO+2s+InOfVLmWWIy7mpYUe1
M1skCeEya8NW5rW69TiYAa+lxVoE6bDK4BBKbNtxXvnBZJa6t60cqqKWaTgOUciz8tC0fgYi18k1
QuoirUUJscowPt/N7XKwxAocmLfGTbqExell47FE+jipZOByJQl1RyYBBO816p3Jumgc8FkZVDLl
4SLRbSUNGxahrZ+IQKemmZeJsSiaRGKAAVF5tWyGpNwKjSGYqDMSi6D24rGfumXKbRhxq8W57mm6
AJGOYB82Ey4ghlSAVkY7nnZJDpwN75NjbYu2kKTy8BF1ZbmsiqqWWTiUkRYV2uA8A6RU1+YuCcZi
wz3dQoj2qDzY2362nCjoRi5urBccDx4ESi0+5Kz4EICvJVNxlyZ+sLaTzcFOZ4OQI+7vCj1cJVm5
8SiH0F2Rw7kF1zaHVBqfHOMe1Hws8RFAUyM52Kq4KXSUV72sPHrMGVg4geyFQ5UfLibDQMcHL92A
ayk8AZEHSsD5MQxQ2AZLUSJ9j8yIFmPem1UIsfVKdcDBjKkborSv0mSjMyOKhT/3JmqCuZM+7D6w
HslRppLt1BIim3rmkTJeA7gOX7kkfXBhHqMRHfWiPKGgiUGb3itQtVJ4FzpoRYyqfJFkVWSacpmW
jZLDjBYs7WSTTAmwMOCWs8JSmSd5E7HELUrqJHZqzdFwpBqnZBNOywp5Y+zgqEdkWXmEEDnJAKoV
uDxsBv1Ew3yhaX8YarLui/SI1g+GJ5djG5z2Qx9RzJYuwIeicbJ3JmodzaTu27sk1FFriocmH05q
kx6Z6VYJF9lyekeo2o1TfuOV1XGV12sGoI1bFhWhPoRTQe8Cm0VET7JtvDQuveGY2uyUFDkwSe5U
9df1mJ1lVWAlnecFC6obYBXoRgAkBsBoW3CxHgWKgBO1NKpDS5NN+thLAZ4m9YlLsCxmM22Tsd8Z
HL6DbRmnvL2gKjFgzp4o4L6ZuOshrR1sY3ukS32Wjzg86ceMX9Wu8RfOznE7WyW1ITHxmlvTl9JP
PLC7Fh17mS9kAn5KDjw8ytrssm8V0Fn1MB62qX6XkCpdML9WMi/rk67HWiI3n89GhNHg8igfveuu
RDs1JiLCFgO6nGkZlU19o/JpUhKjMy9sG0BE5grbWnZzDRSEqQC+u3CZ91jmChFAKOmHNm/sJvGH
cFuG1QRUTkbcMsuDdaPzU3jLArjFAIJdt2xtcEXVfIlDsJx9XkxHySw2RKVbIIbCyCtSDo6B+Aqi
xEyvsA8gB1dZ7hZMqU06pxAgUnGuyvE80+amrwFSf1799wVT/GirqdEqfXkjzqeP/7l9fc3OH+9v
+bP9+Z06f37aVU/ledc8PXXb+2r/ymc6/9Olf1bQPpPonwps90j5L2sXfqTzO+l8Ae9Y+PRKnuf7
f0Hn71Wj/EHnP4/4SOdD8oULgYCt94Gwh6JyqOV8ofOfWXloDZGgUEnOEBD9L3Q+VKBD1ScnwP/7
HPgFDEz/C5tP4Rg8HMh4PiIWPr/lAUa95iq+WCNIcX+FzefP2YTPyHxBfIIxZfCWmoAhX0Dm4Esy
X5gW08wl0vSZrsbV5I/AEhNs/XAzG38KTioBYZAce52nW9eJrotJZ5p2k6kxyCMAISWPRsybC/H8
MgZA1YMadqFlqQLSBGwt+BhX+8Fh1aEyCyXFGBsLI3KfxKitZggGC9/TyxyLJluLiWYsqvzM8i0t
28GPIIHhWdlo3zFZdN6EpOWQ94BYLAPeefQQ4FZOEED+1ti8k67NyZay1LubPc2ZhJDKN5IxMW1p
G6q7PNOQIiAFnoC+50UF9ytoMkg65NrIPFCiWlOvSwtJ86GYoyzBmY7IkIVNPHHgzmWaiaGTgOBq
siQ9hwiL+7qykVfnfFrTkpqbUOT4hELOAC2ATlS7Zu7C+xQyKzdWdcH7KsFhA5Ecc1qmzbNJnJxD
/CbB8JXXCtUdkxkdxmI7YRMWh0OfAyNaWpyI2DGfBhtqysmekznjXTxX84AXuZjDNhKVCOaF36dA
BGXMBVfWAhtzzmzq5i3LGnccAiU0whp6pioBFbr50NRJ3e7aNvHNBmcuADDIcX6EORk7adthvClV
ErhlHQIwamU/lskV8Cg9XQKdmBbrNkkbAkgCMMii1m390EwQTMq5DsRjysskjXw80auhYN2tr4HI
XSCTdysX1FUdpVUZPLaA55o4G/QAXNgM0WHko2fPWAas8IEBVM1Rxpg3AOh3E1s2GRdTlFPdGulP
HOJ7SGgREY0IprViLR8BbNWuXXfW896nvaeBVh+0PkJJm555nW4/IKALOq0qCBtb5EOupAuAbTJZ
oM/dYEsNAspryNSgkUTe3DQQTc+YXGM75kgCmCwmKYD7OXO0z7DsMweWV6dmrmRveOjJBA8tlt1Y
jDdjCedMIqDDykfceeDHA9KhAggPNr+rDWcwNwQ89xITG5TSlP2cRyT0m6cUF8ljMhTlThCKHrQ/
Z2bZKjsO0om67GPAbiyHv3q4C2Dn10A6+rhZJX7iKqmnkADbMsIZbuqxatcTBoiirhsgMvPeBl3s
N+A6ZJDWEKABIs/sIe4a0krtY6COFGvJAF5zmHyJ9YzmG5Or5BmDU7GqCovLIxY4BTDbFVV7XipM
gYcHXKFl3+H8FGUMnyVTlR8jb+6SOG1y/31d93heKs0h69X2WXCTMcXfdbwLb6wQBiLQCgm9sYZ0
dpMOptjVxvoQWBqcUNhyAuBU2AUKSJvJB1Da1JDXKcww46itg6mQjFiA3ck4msshVWkIpiyd3WVm
jbp12fP6hCbTVE4dZIRiPgHxKUdtMJKGj9bIlATAX1Gk6m0YZMUlJC8DtUhENl0BJUjSXV+0DX8O
Pl1+1oy0SWLiexxSI8EMnBFO62HFMWfdQjV8NAuWDQ1EQbWlCpCIKWBD1bzxIVCgRsswKRREH06E
WHqhI1VMS1QUcdVnKVBapYLElrL589OF2rOxRy3kUgog1bYt1LpQCfRRmEs0B1USBw1J+HISXn/r
+cLeFrTGTg6DB7AZ2Ag1xN2oyQzJ0wCoMeNUNwK2bvnOtOXw0AZdcwTs9WykClkJmdepGqu45ZSc
gcICep6SwoRSUZoOCz3V3MQaXgbixxVsuFISMndDlFBHymjiQTYsBDCa6S5J/XTTQL5oljMW6kxD
CriTYzK7ZYlrsMk1hSWAEMsrZKHqttgmMy/tUVeYDFJMU6bcgoIPcjKfWVYsA0jmhgueFOWdDmpQ
CqfVWEZdHYqzNvGSGchfnvLYdODvQK1Hfau1r13UtM8MHxx71xeUcmDo54TYw6TAqF3kKmBZpGgF
xAFYU9+X4DNcI6cas0B2XgGc8oiMV8cGWNVW2gwXV7pNkxLiY58B2w1/psgf/eoKaxt6UeNyUL5e
+0B1m7Jgt2mX5ioyNtFxw7M5XdSoSiuJhKDvx1ADiQW+PrsNWML9ckOHFjIqVwkvYENLDpz7+6Er
yhM3z4D/MALsx9q86FeJxvmHbMTmhI2cXWJPz7fG4eYx9cAWQvxp+XvUOi+BaNj3r0abAcVJ2sZ+
oIqlq3EW9sigeb7TCLttmCAIjtPEEiDD6qyxMUR9kCkDrhGdTZBZvOYsUynwPBbosgFG3yQ1GQDq
hxjYTe3NH3Kv6/8fe1+yJDeOZftFbAOIgcSWpI8xh0JDaAOTQhJIcAYHkPz6Pp6qrpZCaslq++xZ
1aIyK5V0B4GLe8/kZxqhDKSu4OPBVxaAbA6m9I6HNcYGC7+dSGYX9nlC+hxszpjP9CSmCHsGIBJw
zw2HprggSjPDQZnlU2kCgsbb6WhOKs3Hfs+t6aaML87XySxKcpNXff4yLEEZJ0vfMQ6It1rjB8M2
irGnkIzdDsiMNCCSY7+CSbBNrSjueADUn0pFxhx/cBvpdOVDUy/321aLpUtC6af42ig6l9fSBLPF
zbJsunmSVTGWmY8txx4oQSEcpzJwxCfK1ISe1kBU5MGtfUzTCINAnZFIgp8rJetuAHzE1VUDXscl
0WbpSxQb779QDA/9dVtpgNOowDUqU6WmIgMVodnlT64bOP2cfcYYan3KyFoPFxwMcFfWT4XW2baM
RJ+GaZ3y93IbA74bgqGxTyP4sDartCUWeLU3skgkqjxNa7FiYdQYAifPt2HWHydgq2xHfKP4sZ3a
OGqTWVUzj1G4KtU3eycEqLm+RBlLAkSnkMMqbeA3UO6Cjz4Rcc3ja1WMev02qoWUtwMKhNuPrI7d
TVGa1t1osGbqlKuSAoap0Vss4DZIQ6p97rspujKlZQbMo2kNwABemc+tC5zK8nEheE1W1GNacI0P
GuaT9sdFT5wtSb0Yxr9MABmrsynntbxHohTZMNKrODg0Qz8COerWGQzDir17rPqgl/uegAsEg7u1
LGWbLOi7gWxhcTB9hFYYG1ksb+PZNnHSCIB/QEbCvo+elaf0w6KDJTzU8aS/kQmKnkNTWrmiSpQr
5lhNiE3CDZs5G+d6GvdxP0fjsalcuZ6w5uWUrmS+oJ7O9uOdReGprnIbTl8DtNE3MQbMj1GzkmhP
47Us9tQNQ3hg8azWnW+KJgQWQfUGYEAakW1bVMRYtLm97eIhYLt1oqRLW4kJ8DrAF6tAzDK6JpBh
REviuqj/jJpQTHsxg6FBVSEFTw0DKng3RhOOOYWoot1xtB09urXJAGLSYT/tpIzJt56REh28Khr0
3+XWs52cAK0nbZOXOpMUJD56kHmsDmgQABH1QG1oohUAR8h2nH7LVaHwPxnvn1qObno/rdEIKtp7
PqS1povcdVFhHzu35t+aUNoyrWawMIla+Ho1dhpg3ICWeszaJuImad0AgnfopVcATmoZn2lusMQu
Ivn7gHZRl07SlCQdmbN12gjQA8nclyS/Z5Mz06kRbbGgvV2n9or7qrfJmusVXIoPbHNUvu2itGzs
xgGlTGVz0y9OQvpTxX14Vap2hcyGARPZzVM0F6ltqQ+ygOAtJFEuQRvydovBneFfVmVk6iEMGbkr
h8R2azOlxg9rlHmb+zUhg/Ivc7BV6KKHvP1quqJSu143vf3cVR1fHcjdAMPFOhTdlm2SDu2W9m00
g3hnZpSuhCRpnCB72AQgvHmPsUOBPIiECQFCNgsL9G5d2RimZdlE0V2Mmq/PWzNadxu5erHvI+GX
SQPWYJZ2qUPzz5/QelqGBsF19bj9f/wA8b7/oAEECrn/Gz84TEXz9dP/+MX//Qe+wweI05Qs5kRJ
CP9kCDMo0l6+4wcBRb5vJKHrw3QLUID8gB+EwBbwjxOCREJORIip/l/4QfRf0BR+zylUoC9CBBn+
B/jBBaP4AT4Q0UVwSC5iRYrPhjRW4B4/agHtuJiJ1UChnHefINtpMAbF8fzVglqTGSlqfi/oELbg
ZTCV7IY6mi+QnbWfMTzU66lEhF2T/bB8vwE1AI788pkok0ASIvxXyot+8Qd9Yl03PQmX6mZb1+5N
XQXiufNrpTJclOVHpYx/q3ylPggxUfp9E38Xcv7m0T9LI78vB1XIBgOww6m4wEA/PrryYaDnyN40
nQ32RjXi2te6SIKwIPfjSvPPf/6mv3tcSGhEMN0hFIhB9Pnj41i9AHKq7E3MKxslee7qF9sXDXD6
FjqBqI6+/Pl5l4//v8rP71/vx+dddsMPK8tsIN2E59EQDWxcku4k+4Ec4ks/++cnIVfk1yeFWMCY
AKNm9JXGNC9c165beRNUzXhjg7I+2XydEXP773P2m7f1u40SQk8JLC2Eyfr1Q4LBqkkO4PriqT2s
s6XfXF+469UOAEL02H+ecJlkrpLhX74dUlF+/XYxzi5gJyri+NU6DiWaHQx3NxAyxCwF4QsgCbjZ
Y7yJ+LFZpvkKnd+c1qUMHrVt+yj58xf/7eoqetmiwP6QK/jze1SRW0uob29M2ZJd5wp/ML53//lZ
AIqCEhNHeEosL6v/w2YpRTzasc1virgQLxNZgwMFgvGwlAASw86N93/+TvSy2V9tTkAPSOaQeFwI
mfLPzwsBR4pQmBu7uPbKLV3woS3C4r4lTD/EYbA8K/TLaFaZBU5SkmGPoLkqStHqrvs/f5TfHBMc
x8t/cCzZL693bmZUTW1u0IfSdOwqnulpaCBCgQzpP34Si2UUK8T0KIGa8/N3nlxQNrWOrudwNB/Y
UtiTU5vc+97a45+f9M9heLW8CAFCCiUF2IR57tXy1j0qWWTZNYZpioGiHj5GXRl/7lS5TWcPAea7
SEPSm055XX7SYDqWdLWd/x6i938W2N+cHI77Bt805gjivSQm/LipFlGIppP0OuymFagutOhpl0/8
ptvKbleTbbtZqamB1VT1qa74cPXnVfhNwUX2L5EU9wpGB3558z/s6XoD9jszdt0acDThqsZ9WeVR
ZsvV7TVtDGJq/lSgfrfonEZMggiIKcE1+/PzJsVzXLzhNaeyjyG3KUWdAi0CNFr20fQBA/Jy7aCu
fF8EMT0GumHvnR2nv5SL3y36j5/i1S5DoYeqrAuv3TJ2dyGm1FtlNXBRG8oHIgby0Nh1Pqyt6g4j
U/lfdt5vihUHGHehQ0JUkfDVVSCbMi/AnF4DTN3O5RiKI50NaIU/L/VvzizH1QZkAmxNhMr480qP
3mnSdWAHNRl3WkAjDAqAQODejOc/P4n+7lFMhEhJR4cm0I79/KjIbFARzfRaNYDv0zlfI8AAeT7u
AzbHoCZzyFmgf/GnIlzDrOFDeS1s0AM0rEX/FPm2vRW8Z7dLhWkhCYWL178sxuUsvzrrwMCQ88jA
UCEE6dW2i5shD7hYrilmr2vvBr6jjaruw8LLA2jL5XGLnPmq26j724a//Jt/fjIlgBSBiONihDL/
1ZNVPgZzH8gryCrKO10VNjMFx8Q5y+FARAW+HgzRhYEJUtsU6wM+Q31qZNjuI+kaiJdI7P/SJfzm
EFISX+IwGWcMLeWryscWMAKgz65m18JLgqn9xtSFelPUXZjJKDePLoqmo6LrnG3U030xifndX/bM
r5cbpQBTeIR+FgGc6Np/Kjw27zeFMfcqYMVw0wL/uw6N1rcCJDyUqFHzGPCOHxZrw/PCZwgbG9bc
y9b36V8+yK+b95+VQCouFkNI/uo02mlhM534la4H+0VL0WVGLCcKZWMG6TtUFWu9jNBXuP7IelJ8
65iGIMupKYXGeTvlREImOnN3CxSO/+1k/Wb3hLigLpNSiLbx9cmCur/GArIrERZwGqgJ4t5phfgg
nJbppq8/abJVOzRZDZDDGQMwKm5qIFK80jBs9UnL5kuw7x8r+OVCerWhQ8JoJHFpigip/T+/OMNH
YJIruWJTAZybRXV3vxWDy7oRvYfpuupxhVYgnaYBqqilBdnVqpOe2/UhdyZnf+lMfreX8XEEJkO8
RvSfr+jezg+2yCN2ZdbSHFykJU3cQoGiL27cbe3YARxf28dlDlzGu+YWii3+HxcX5PsKEYMTv1RA
/uo4TaPg0eDDKzKP0R4CyBESh4mU2diz8hm2Guh56fBcgjT/y0XyT/H45V3gmTGoc6Srvr5NC+hr
SBXRKwso8MLxFofZQEcWXaDaCtL7j3SJ3VdVwwKWlKTQp0VVp8jGPAmxPFldq/EvteXXQgu2FusA
ax5D2/q6tFQNjExus1dF226fiKPYqhsIbwBqBiAYGyXklRFavKPUbsr+vDV/vVfBgNBLNcFSUNx8
P+/MIPe8ZMpexbSzj6PP10NTheXnPz+E/vYpnOEBJMa6v+6YRDF2IVSgV1u0trerHOaTq4MynR0g
MjZGfF9hOxxsBV5ElwuHl6Fj0LjlbMmqiW3P7cghWWri3uz+/Ml+s/S4aiC/QOOMS1+9qqiV7irp
8MGwOuFxaWl9WwOR3OslNGncACBdL+Y1HNq/lPLLsv68CaUK0b8iXpBI3Cmvlr0cWZw3dXCOZRlX
2dLGboRufG6aXT61XZFVXhtsOG+Wv019/4x1rx8NdyimXYpb/ZevPAIG5xvsfC4S7TXrA1CnvhhT
YQF5tyVMGpL2u3pbHszcyyvvoegWwTrsA4wTUN658t710OFVQo9vIt7fKdpsDxsV7qbu5zntZ/Pi
yPQ0ASQ8r1bbXdP1KnVuCHYSf/mXXuHXXhyxo4zjPrzkNKK8/rx/Izg6UVOjM5wNOB+Vc3G25Zod
nOhVu2PhZh7+vGN+3cqXB8bYMhhAYilfvTlslzrc+MV0qMzOQL6wL8u++csF+5tvhVNJQnh14bFl
6tVDSGG7LbDiXAdU388RBwvUNwZMHqXVCgVhHrz587f69UKP0OgpJnFAL/X48v//MNI0pXfoOtwZ
1skiU8MyX4wSch8I0At/fhJalVd7HxgVWl7AhXhv+ILs1Znrm2qCvEjuwg2K6n1vRNimgyHNe9LI
tUnjYhYdPEz19j7sULnAxQYu3EWezc1JDlrehJ6i5RXBwI7Egxc/DivktZCRwwK6m+Rq76gfijoD
WyMPEOwt+gSJevsFisD6a7CQoX+z8rDcUj518BQPfcXeeVfBM8hG9TL0kLNnEc27T3ThETQ+oRz9
jsc5hLhew5DowE7VcK5AOZpwSe1th9c1YeYdYXgJpxAqSLfUcAjxDcLldqiql9GE23VNez9Anc/c
lhTtQDQuXAXRge8qkFRkg65ddmx6weF33/pqW65KgPlQbbe+dMlUTdW3oWuWMcvZKr+2kbWPmFDJ
t6FZwgdW+Mokeedg9zUhpZ+bkVYmC8oNcocI8NUnqKkgBp8Doj/ymq4LSJoK0kjtib1qSl4+TFU1
wIIU8eAJIECYH6Axhh7GFs2wXG2Wtz51PKTwdoVL7ROj1QTplbZYvBY6hrGb2pOdVJOGtg++Ogw/
b8eWw0yQw2SAHdytdN5FTTXSA7SFVu6r3L0PpwkiFkVH3+9tbvp+13OdQ6TJrJqh0Lg4gCAsg1mw
nrT4xnLizgTymg+uKUefMVyUIOdr2BSgUoJ2OIXfAhpKOpruH2rSX7UB34psAto7wI9czeBPIS2H
dUd2UNqKJoexoFkV/NkNrsJsYLE/DkMNR+jY53mQtayoW7gYhL6rHYwWiYxlAQNvUIT38LwG+cHZ
2Z9BmkDTD/q2N6kMCxknZefweXoywEqhQc7BWlaWHaT62sZRVjA5WAjV8uaQg7B+ETYE89Y0I/bW
wAqolxRkQO9wGKB8W4iAXEMJN4w75vh6YgOrn9FWhV2C+qM/TyK/vJjGBFMCgr08TVDSvUNpXJbU
rAt7qhuaf8gH0FW7cljYF9ngtoXwv+eProK/P9NjW0wZ5PrLipUk2wWvasTFarGKN57w4DmGrWHc
QdPQ27STlb8C6VWJw1xgak7cCBbtaGYHgXCRqxaatvKizQsgLoM9aYyCKCEwPb7ATTtABI4fcQwT
auA3KnxZBUkXbbVJKmfg+zft1pGUQg4skgFbaLritmhBxtoIDbqCnLY5+HaBsml1wlepdjXapdor
MHpdFEsQuXU9TVkPN2KD19AqeN7BBX+Wdo5IQniUf4w2wWAQWVlF9vBomWvuyXZQi4TQqBWjftaq
hozANKa669AS5ikE8nAOmDjn16xSvs98I0x/oq1gx8WtsoUlnxTxbluDuk7I0rirtgMnmrZ4yfOu
iIn+zKWB4Z2VJC4z44ZWZL6vg/EYtt34rOFyHe8iGOEexQKBZNrrAjIZhoU0gAVi/a7pysKnfdn2
0EF50sVZxQuUG+2nvsxcz9BAVVsMl0zRxaTOxmKeSvRaULIn8yChbseFqV66FT+Guas2HUc71UV1
fA2dTwAxct+Cd7QVRcu/WVQerrv4s+l5jkYI0PjLBkXjuSZ9/MQsh/iDYkeSpC3LoD6Agw7dzvVy
HkAnmjBK6QRJGPxHkcsqB5gggdzKMoBlDep0BSkc2tru0mYXRTi9LaZSlCmF7s4C87boSybarLdb
HWxvYb5F8TFzWB+NBYGKqc4H36KCixVRAGDr4UleggerQVYmckWjndoV5Tcpw2G+mdYA5se+a9sH
CdVLkUSwSr8ndPbPInThDVYKNgGZx/YtXsD8aHRE3oRFFbA0rpt5RU5DQ9pdCzGi3cXSKjjZ2TKo
BFx23uxDA4uFwkwbJVsLLiEdmA2vJRPbs5rQgCWjqjRcELOC4K8UdIOY0XXEZG3he5nMc7zV2cpx
s6Tea/ZFxL64YbaBBHbFN+yOItjyNyFn3fuh2MLPM2mXlyWqJ0hO86B+G0Euf8+tU+8Cyf2tYTqG
ELNuAglrLIG1wkIzXiQFJFca0pFedPux8OSB5AIpGmOl8GZUtAgJHS9XeBtmoBtSFKLgvo1DxG+M
Y+WPhWL2PexO9CsAWX1fgUxbE0kW+dhqFLS0h/IA7Bo67evK4s1l3G1FdEBz38XJ7DfclRK6JgOJ
B+m/eYIe8YjaC2eSD+lkd11cSXiIRwiaoDXpojbrJle25wFyiw8K7lexm4s5qk4EeNCH3qpyznCu
pvG0Cird1RrnwdMaRGIXwMGVHyp/MYRXm4LcOGya6m1JZwV9S6/lHQn6qkqhWDR1Yhcy0lTWEUjz
Oq4h7eHTSpG7IADb22DpXOqh48EFIHIHbX6gQavzxbdfFxA3TSpa3LvpunE3pZETaj51S9mcN4t2
AlprxDhA+eG/CjlPR4obB9ZTQprpvMD0CpNXwdo+5bSN7xxvIT0mcKx1CSs79pEHddlDndhsbdo3
bC3hFZPzc+lkcfLh0MxJz1jTpMtMg8emquFVWMOw/BKDLVvha1nUtI8rDlex49SBxGf19IiZe7MZ
Hl4FaTeJ+mWQ8+L3PHLzcONXKIFOplLy2PTVQBPwq5yhoFXiJd+0uR032b34wpV9MjdT+cDrKPgM
nRicb/HWIHFjCDrnEAkDQ15KeQXH3Jr3PQqOsm+YHJfbGlUenBa6dlwK04iUFafNECRbX5EzwUyy
nbWOfPC+bsVSHojO1XTSvoN3vWmchv1K6IDfUNQfdIYrxop7/HzTTFLoKlv4qYjSuc8W7Kg5HaCx
YLuyG0kIzwe2JqRUEGQk8NhGaperbXonIcXLk7kvOkBpIKV2kOK6D0NPrc5MFBm7d5HM3xfEyS9S
44eEYZ5H85MsSxF+4VPkHwTIwhgSQ5hvEy6cfJh1RFEBa3izErfWkCqxBiuY6hjddCKgIwG+s60d
Sebo4lHqYyY+5EGRI/FBxm+2zaxvVgCvT4zmXJxgwFG4RbHhowSJDF2xi8dlFqmBZ+lqJBayoogB
8edruX4Vzo8dZEZMPC0wzD0puKqKBGAm6t8G3fgMfWGn73KwN36vIEbSj71wMF6XQoyXPkvoHjb8
bYBeH2ogaOMjq+j+0l7fBOgVYJeyzeXuad38EPk1/1gHSKwZ1cZv4lAMu45WY35AR4+a4v0Q24Qz
EiLNxc9wrvUKwpsSf+djCKn3kuUQci07i/J7I2BPfNoEqfuTJXzojr1f6weYuqIDikzRHOzacVgf
tQQQoMOcNwlvuf4KZWn92FURYhZ4AzPQaOLSZ8RvuCcZyqeH7C+oZcrt2m+JDaJO7Tc4CPI9r6Dd
gpm9LDc0upP6Roe+i9NFD7A11u188Q6qeqQ3quSh2XeKG5k28QjTNJk25G2smxZvmmqu3nY5/tS+
xJXPUyQwjM9zbuGm50PU11exNpDsubFYaQpwVHyBHd3id52XugBwjHcCmVQ8IDUFpTNVgzfNflxH
AD9zx/BOoF9sp0yN/OKtKwAKBHKrn0gP0R7UPejYd2IGHL0jUpv3XeHpDejj7eMSL+U7PjbsHFdT
7tIu9Oujql08p+08TAe5IL4ood3Wo/1Z5/UgAZvqI5uHpxny0AMMU/D9FyWarQNzYbBDwFHPbhYs
zgNEmoU9doWIr3Hf8hwTConQYufDOKEXsnO95LB9zO1jt7n5qeGGyATj9DZksS/HzzUEzM8rvAuP
NTZVlTVqtE0SLFPbZBAXjvKI8qrR+q0Ugs+L8OwKNIwOEgW4GW9/7RxF3ebLF1eN2A45Hxb4O/Fl
dt0wzM/MzCZILDXhl2U1JXb0wrp9168aC8xG/QYO2RY6rWEtb8FIV98gvyQ+U9HGP7ShmPNdUFAb
pgauEnEu7AJhYtCtiz86uL0vduR+gOSrd7BvxF1fQlldLT3ARLWMMmPd4ngaTAIa1jwn6zUnfMKO
usj097rRCD3YKg0Xem/NV0Ba0Zzi7oWDA+k2yweIACd+iDzR3yo6hyeBXCEgX6hHzxdS4jYf17U4
4S34Hep7Y3Z5GC7vlMPRHqqhvosNNN2wx0Kffc3ioHqjDSbgY9THS54xNcubrSQKRjcdD3Bj9yvH
UDKZzzCgwLzAuzaUmcoh6EgGaIOHVNFqSmPf2CmRYR3cTyGHM7I3mGoyDDn+21a6YNq7lQZVCkEI
nK99o6LnBn/nZvX98DjMFYyrGkuDZIgSsTi91OrDMKFIIJpnjCjEdm0Nl6/Ma7g/zRR8gF5phcOm
B+G994zU38qoCZ56G8OCuk1RUaFdUgr/JoGUMDShFB4kJQwSnRirNigcLXq1Xe39NO+DWjRn4cDQ
7p2Y0DHXbQGDcY2u9NLzcbTZQ5OL+cZ1kOnvZLtsCkElufrIQ9cMO2Av8IcQFbR3xhnVQgQXw0li
ietuN9T4IFmmAjNluwTrM5wTPYONZIlbhC7Y+Am5bc7taR6at//AKP/Ksbv/Dth9j2T70Qj3oy/u
/1WjnQBg9G925Rej3c+/NvKPUO7yB74L5fDTgHjZF4AJMqUIHD2wpe86OfwYuIwuoD/0EYJGIgIS
/D+xeeq/GBhlbJiYhwJA7wVu+5dQLsBP3YFbFyqGVhXwPMjI/0QpF0KG8jP6hd8jB5fPCVhE/Fgw
9EYXRPoHpK3WFolg4bZAwBpHNtWwdm/XA6iavS51+y5vCByy+A5+l8fc7ZcqFidAxcN9gdEC4FFY
Xw2hq57kWMT7BWrzcw9FTdYY0NaDosihkQaj0jYsA6IS+vFslqo9dd24ojlH9o/vr5z0V6hO4dcQ
IRQ1eMJ+04/j1kCEDelG285xJn2IXnTpcIWQFZ8EGtKw5+cKT+8myFk8QvHcIrIVjdkpUDDpmwqK
g6DE9erX+Yo4tPGSBt+CUL2f2nJvNuj+ghyaeAq/1gIH2dRxhLoAhDl3OKhgc4t2tykYpKFDzlbI
/J/6/hPUqQjuKMRxCpFxYLjE83v6xtTlHsam25EHfL+R+mmR1cF0DTqK7dhp5NTYMVPISIM1pkzB
K6nd7IchAZ5zB7Myes5hy/KQp1MBh2FQvtXBDpBPwmFuuaNV8T7HxdOzBdkLxa4teYYMrI9aItGj
HqH2tSz8SoYhfyZGNhkZBcLYBA0y+Ag32HwqdioM2u5Fq3RRyFHwpj6udcmSArLox8bBod3CREtY
DclwHOwCDDJIEeRoGCfywkZ4qEbxJe/kOSfBQ1c/CYREiHo/g3VWIzK6Ku8/AfmYDgI+7ceYutu+
HGCuRILcWa+wpNsBPhNQgFCe+/bkR/oBOwqenHi+CtX42ITNdec1TCBziNCaSd5vzfrVRcpmbGhO
al7mo2gXZCqsxxIeOEi+y7OfcvQxW/2lKKYXw8XdJrGXHFBLIAKQOhcBQu5W/01gb6VwRJxqoZHi
AkQBaBLbA8axx6WqMsxoducsYKZyhp4VgSvO3llioI0yc4VAhe06hJb70HhfoPzrRyfheGtgzrIM
k7cuyiPphtvBFxNyh/oXPdGXpuUXkvfEyumM2LkGEnMgko5SB+ipAypk7P1Ull+HQjxQt30LPSby
COanXUvhn3dsr0Jkt2wr4ko6tSbNULyN+fi2tMOt6cgbHuCfwHiIPJiVZmHYV1m8sB3ETqd2688w
OH4epmLbRYiZ+ARi+zOf5w+IHyxLdMz0DiZ9dDnuSbWwosewkgcVIMo8hK90/GLGMQ0R0MeIfFO4
pbnvTWFhpWrai0aNHq0JX8qchec8ALvRLBgHuha6WhtU574Un0LPdq7esHcgFF9PasNwVtxv5kog
fC0agDgXcbLSowZgA37zi1zFOdTm0E1n3I8bvajdhckm/CgHDj+iFgqYjWoIKtyBQWFRb0j9cXq/
Lu4jZdgzPkY+WI2z4Ks5WxhBIuZ7NrxpF8Rh1WjMeA2rID47jnxa9p88PwABhyf1/RzLLzkg5Yss
HTAc2gdg+5h+DWGJmjAyfPSjpwrHs2kDGCwBKIEIKJ01fVK1YsrRc7N8fYzRtK3n2W0VJmU0+eJF
wIcK2g5C+tqWSRMUMT8pvZD8I7GN9HUaryBQH4gcOHyUFAkez2DZasSswUBSnJXr4TRFelzdRUe9
QtyUTiPT5RUyCEqJdK7QhBnYJ5gr+ZzDuiBHwz5D/x7fEQWVakaDYH5AHA9H0qDg3WmxLRJF2VZj
UBvtAhc0ZJBxfgDayt4j7hKxWnBUdu4w9Ey+GGIIjFIwFbDdANgN1dluyBtNpDOgzgJnOfKbmqqH
R8QwO2fDDIhxN05BZfcb7huRDeG0JF3fAZNPmpERDB+sau+3UEQ7Pbj4kFfcPNeY6/Ra4cDHAuba
3CCAgc/NjYaTu8IpF+tYfkDYY/Vp2OgtkkLveGyDm3Zo2FOrYcbpWg2jK5frG0YRVAbSdnxuXdxk
i9bvmKptWvjpi+K8O47dUt/RccbRGcvEiS6N1XJsQndGTIE699t+9cDjl/JqFP6GIxlFFSatkTUo
JxTReTjO1u4A2mLh23vPYDlW6lAiPccFNA1g/Nih0q5Hs52pb8ZUmz0yN+qbWS02w8z/VBTFxdqh
nwGm75TuomsYqBGcOHzdeIV4F3iKvcyPaASPHsEYF5NftthidIjm20+2ALrC27QK/Ljz3aTPASYV
7fwBQTriI7xaDHoADNfo3cf9hlN0kgZ4Qo4GcUY7yIvzsHWZBzYP2zyOJJxuj7LQN3Fn9kgYeaOJ
IAC9Y/Zk1ry+XoDRpyGBw9gsD1Ub1DB3V1fQ+o0JQjp1iskc3I3XB7zNw9RO8Mysw1cQNEhYsQBq
HC2O+bx28OKU1ZEZAA5DFO1cJZZk6dZdt+DsbR7CF53X975e93Suv7kpuObmv9k7jyVplXTLvkpb
T3rEMRzNNHRERupIOcFS/IkWDjgOPFe/Qb9YL7JE3yqza213fmd1rPJPEUHA59/ee+1+H3nd4s2/
CZI320HrJd94VXbNXV+BJLOJq0CbmtJsr+LbqvCG7RCEz8CYzk0zP3jEGVfMF8OmZQ2/Nj0k5Cbf
F8188M32x5z6O98ui1si4DDEnHnfiTbYitE4D64iZtJn6zYPkWwUrJpL6Iwfkb6N8Aev8LuFe12K
XZKW63A+t165WcSigXGJR2kwfLOof3YykvmNz82ffCpHt9ICfTPaCzm32jaTfOr98TQnw3wTGUjE
MI/YzU47F/Wmd8k3VWHJAW4s70o3z/eDk11m+iyHflsSioJBePQjLUBRqRUowlM0Zm/lDJDADtZG
XfF4kSo8ih4HRQ0jyucVIK/00LHqaTll+9yXR5N0fFCTiWhAjQC5+vFtmLCO8clW/BCwmkfn3Oqx
2OB2X/chJMRWcgEQ4Mv3eTo9453YTXW8iU1xiP3yLY7a66ZODhJxPQZjMhnVn2yI17ost4QvCsaY
RWDMX2y3P3gskFFBbvMCMmRrxsEucMfqaLvj3pb1YerGnU7Czz73N05610XnJOXakqBSyUfqgJtx
eOnG5gxwifnmaXCibWR6+16/SCBXBO+LZ9WYPAVvw9kM9yWRbRnBO7I4GAH/skuYp773YsqPoTS+
wjzh0X+uI9KDqGpXVm6tHfKLLqpmEYWkZIynUpTRFqnHIkcXlM+NDl8ESdxHPpPoMT5PuToermvX
3MeF9+PBGzB7RhoZau6+bPN4VI7rKmkfUuSuadO5Sb1ymxdDBgtgR2yDSVd7l+URM3SFCsOtEO8k
E1+06oybMgPzE7578Rb6QZfel6m7zQY3ht4MxqxO5/hON/WLG6Q3KsOw5PYc15PKX8WJZa7TSF0N
nHQ7s/4YneYKlt4NAUfjyIYRvGLWHnL0qXkd441KCM1LiIRttyuzbn7V6VDxpH1virDexFLEW7Zm
W+Xv444H+WDeOL1RrdHxgwMBvOgp09EhTA8owq9z6d0Xohs3Ru28hfJzKORGWckBB1lPZNu/99kM
bUxQvHbcDQhggCH6XHW7zAMmkWi9TlFSnIzrh8giMIubUDj7OGRjkwLBYSYq26eaLToanufMX4B9
4NXxoRvO9jhkGyXHeRf0lt4Iy8iviZIXG9k4l7blESMa964up/Fttrr5JwUPkiIGmMJOrjOuoW2r
7sJeP80QnOFNnfxZHjGXLAnLdt2KfL1YErIpRnTzd0Pj7VoYr66EnOkUPcwb37ifJ69nOZQMz0Uy
X0qLCcuYrmSvu22FZWpdJ6xfU/FiRB62F7ZcAMjbHlWKBQkx5vDMcuScsUpIwuzGqIIXVY5fTZfd
JNV9qNzPKE2Xh8srLLpNUgbbSKkty4gMO0DrXVxRGQdADsivTnE04vbg9fWVyOZrK4sFd3/N3xFZ
uIiq7eCaj5AdbyE/7kaC47OzRFk5uK4sU7aHJgD0R7yzXSNzser27xoyq4njALLsQZnXLObbJFl3
fbOWXoxMjRK76PJDw4vXuWiQ8ZBPB5i/T7apOMyV+NYgw11CHrJ48vetFR1trZ4YBE+KLcku6tig
STmd8A8wE7zIQIVrpCHrtuocAOPGSXP/iqryM2QFuFVFtJ+ndNu79zxWLov62jpKb3PbAmkFdHFZ
/K30EKlTM6qX3DbWXqpu5kZkcEjFD2LIn3g0dyrOnlWozioByQab63XZ4YGK57MdHtjJYQA59AW+
/vo9wiDYciZwGG9rvNLtYG57YA1rQG4s7IvqRdYqfM4m1SPbBAdEiXEtC7VzhHk7pzyRU19Oqybj
TEiw9QWPxXtVOGJDPv2GpduHnNNtW5VPiRyndVaGAKLFt+rDdQFF+NQNt9Ka1pHfHmQrzTXi0UY3
zl3gJ+2jdKpd1haQSy2mU9Kl94UMdnr25QpDxk88w1pBnqu5Rcw5ThLuq2bIHStUw1aO1ocZ5ej1
k/0dJSSp4eUQfR3Lg5GPS8Y639hRvwOEMMDJ4/Bh+0N5JcaOKdH5cPyK+0gIhDB2p8dgJhHe1heO
98Jhj+YPI7uFXa/UDvB4vulyf+fU8YNWDf4D60Fn8Xaw/K2rs22t7O+qaw+BHh+9qHldzCwFFHfV
cUaqkKGDq7Bwdm1fPIHyrLry3g9d+RC5mBiG4dA6oBywPjTQ0OYCOf9Fqci/bqVELpu97D3PA2oA
RISx1UgkDM9BcVK4Q4RJvuIkNeFlpkXyJ7ah02ROBofXrCtx5Ioy6i24b95gBpJVUgMhTIYI2Fsa
WJdOWM2dKWbznOdce+BrnHVBkBn4LitL1wnMY+ETw24nDs8RmRC5yGlQJBBo3breMc8nnKi5gFMr
Fqziwc7Ms+p4Vpg7HZqfbLYn6ARmLI55KcK1dOV4kGwf9y0RecNKqidh4Ly2g9j6LMZCvnSECvbk
74ZdGPvpvkI9XzlO0B2dXNV3HGEFXDFDH6DkuodIohIgKsMPSpLAfrJxO+i1kZiQ5o14sh7cOcpc
fn7NMcdg0XSJeJSdmgpFGcKrkwMZsLjNY2Zhqs/diYeGl9dnHi253PvZXGz0subo8l5dJ00ibisU
rFNZBWBm8E1N317oQFKc5HjkDlQf4y6ZjkMdG6e5J83d9g7epTZmYZBau8kM1dZM/PElD+fy6ObW
+No1/shCFr1go/g1HzwW5T8R8xQIXdffV/YQHcxUj7djVE7fuRty6DXLaTthPMJ2VcVByKqWU1DN
X1afcTkkW1E3M6GLeERMjYO9wfXwEavO24fulH9yIz9BQYKbMQ/mITCRwrAOOeMfomfNaz8MUNAs
GAkX7S0SqKqwatjwOFZ15ESHIajTgykda1NyVO+yFqONO9hIDFXD+VeWl4DnIVv7NIt2ihf/uqy6
CjSsQaAJdzJLJH/AKbDsF3G840h8ZAkTwaSY3RvP6v3P0Sqzi1nmvF5YbrN9aDbGrrHM6DLopL6q
s8Y+l+mAGiDMKwxE6KgzpI8tzGi+jTbr/h693HyHyqHeEjhi3FP7fr4HrcyBJNBl8RkTtQef2NXg
IZhu2ez3Xr7K4JtLZ+QQWxKO+gaiMEyrFCoHPOeoz4/STdsrYub5yTXq7JwxHr32uZ7wa9nuFTzx
mPRJFHoGqGcrOtn81NUc9DCri7p1Gddrab9wfqpxgC5GF9M/pmm17aP5iLH5XrhcA1UbPqDhfMAQ
3cs2OmFai/cklwaEf7H46PIuKI991PflauoUG4DaJ1KBV8edrpoUM+CK2CxHpdFOshlUd7hn0443
DArgxTO0tWkJ3C7uDTOpNl7vu5w9KnDjvWGuHY7Te4cFrg1I2Y8eal0le5NXBUkb0jWfgX0eQeHa
qJy05ybWRrQ3+Dm7NmjEpuySolsFvv4I+vplwKlxZ5ijwxxQXRW2vm4MsJ5WDpQ8D8PsHlSKfw2/
8KF2yl0ZVPfT2A2knuZeHWroRpjqtfKvR7+XJcnRDlh11bznlVg+qTrpj2Wadc7atqbGp/ejTa8k
XlCY9Dm31AKm/b4ZnU8MthMSHcvX69itQiw4RemdmZDFtpoMtq2lbSFDYhGSJ9GAGFR1H+29NhxB
RzVV811YADVXs+/FvKOjOS4FLffaZNS2LM5SDCNqeEuackIcVsXM3S9SATHlUUZUMJgONMSqfaJQ
pYFzxfc9RXFLoYPhF+fZd4ZDZsXHniQVchCAVW01wdZGs7rYzryMHnMwHLUjCnaKfjSdcPxDx8ny
prseI9DNiqgECb4ItM08iHBna06IfLZmwVKl748sZegg4BhYKXM7xMokqTCoTwHkZAMvfVhlnoel
SNbb0EPmSey9kvpcK0s/WH3J6V7Z5vjlQ45auQVzCAfm3J05X2PlyniIHzleyT8uAJ/dHHRAPuYh
Xjov3OR6LBMMj17HusSyEkghOBvjkzfVd27gosD3ZdzeF+QS32POYOFKKgn/whgdPm1ZfGUL7thZ
3g63sI6eHSWf8rpjsdjH92KA5lwZiGwSVweYKt4wwJG8vIDUa2otVr792Fv7uY30WxgZ9bmw2bQV
fnGyuNdytEnfbYxxB120b16Z3YmxvwyR+OE2sta8lIylnMONm6FFgS+nmm2Nozeoda+swPiSKXrt
I1FsvSLQ+DQzrqU62Ji1R38H7gRGNreIsWboqDxL/82qnUc2SWJP6YeDIdG+06MPmkLX+9Kl9SQH
bZtq9xkPbbKJZ6e/Z890l1bjLmW3mpkXyDv+uXbzz5H7nyha9r0GubWzqgx5bxgs0zvXSLGY8Ebi
G2l2A5+kwKCuxGdfR/fCLrEi6x0CB5Iye7C1ngf/KW29LXSTda7MC0xZZzUGwe3YMTm4YflVONaN
6dSYFSJqCVSwELczGKquWX/hw9k13JU3tipuzXzotjiCaM0Az+3rx8IDVkQsu3kYlBlsLWc8y9x6
qWb7q+u9jz576sB9mlG9TefBxlv8UhcoEGqM2DkBq1ojCE4b4X7MIaT6KPWftBleT4tb1mAB0EIb
ZIs4Q4oSLFOybtVgYa3ZjblxfTew5RtwPoxNs+VP3bncESLUl7JHos+T53Hyea6XzrCOZHYCzFuu
0KZxMDnOgy+JvbVVe9FK3eLLpVojY+E12/vU5LwA28wE11X8SbqhZRfpPwymzA45c9qZfcOhDuL0
OhcMeaAndrZRRXe24FwAvf6PDabtMNd1dceC+GFk6l95A2flSLuPnutSxcRyW6Y4anpTLB1HBzQd
51XVA6eC5rnw6DFgTb/pg/KPTjO9L5IGfKROMvM2zSrjiS6a6qhDMFd72zPe2BxcqWoxFwb6ObDg
+PvjeDCH7l7i4cZAlSJea0a0uvzp0HzZr/yMlXgJpMrw6lIpRVYES0Lspvs2SPIdG5UnnbI1h/F+
H5tNfmL9PF8baSR3pY47nCBlsya1hWG0I9U7je9eURzDWPDKsQ1b6bK+sI03Vl1pnmDG9nuYbw7k
xg7xCDHj6E7luqZjZQFYu/V1rTx7E+beZu6CPcFzc2MKySsXYb2wkhWvs8suZ3ydaBjYEBOnfme2
rg1A0iu42/p+VMLAqcwpNgH9O821Q9VGMiE0A5uq7TngmTufG1ncYwcKKEawLr5FMlgQ/HvHCKyx
xZt0DFQxRTEhFQi3sJmy1QC5A8YamOGx/w7azoXwn3eP0zzkbzzIxytKKT5nI0rfYC4FN1EXHSrF
5RIbHscTSm8I7sek1eSJU1Ek82ibRkGKyxPfuZ3DCIJ3PJ1B0Rk726a8oKjPOIj3am62FN9/jJKF
HWsPg5UUwlhoT9e9i/l91H8s7suyyF8hSO5q5CGwnvlhZovDHQ3LIhzSbZIo99ry+Jw2UOg6J/+2
smRXTfzVjHkrX0e7ws6fZNt7xwJUjYOBYyVyewuMmjfJYqbmHBfZTykVQKvFqs8+uv/JOvk652Fy
pr5qQ0GDIF7NQ4UJY2VTlbK3sJZiMTkBEzl2wmWrzS0at8AqFfPw7kqj3Q5Rp6lfCJ5mTduYn1Jm
lJ1E5h+yIt+HGPd96D5e3R0SKGVuHslzasTyRpsiWudhjJhjLQZMMwKe1c4TXvS4xsSOvWHM+CPZ
XdXNWar5aHVBwdSqiD6H58pxy4NDcOCUR4ZBj4bjrr0mv8DnezHs8QcViz93vvWsCiaps0wIyWvI
gkmpAvBn2TLqa/MxzdKnscXo2lTJ0aHHbBqjq6gS1zjZoJ8PHOVVcoWN6sSDsWMHLDJz0TV3vQun
MHM4ipB95WEHUjA1QyhyFujj2X3p5p4rR2uqe0ZXnJBDLkZIdwaW4DXArbcIdRs4SeRc5/wlu9pr
8COWXrYKANKZ9nOdvXX6R3aIHQaXfiJmLEJz6v7pY++9BVrY+qDJSlsgYFUsfB07fMKIXZ7chg+s
Fd/Yw3yhheujNts3XKqUrUXNVnX4heMbiSWFycGbcOIkzi6LA5iAnDBDYZA7UIA7Gc8YG2Kxrfmx
bifuBwmIsOR1yChxi2Ko026Etd+86mNg8U3P3QGuU72GpcEBwnAobTK3rthpT+JDnA8hluZV19Tm
OjEhtXHsvynHUmwKV6B0peNptG2qMaCmPfmAQXjMiYTwht/dOp79pVA7hs7YLxLnYCQ5AYMo2cgE
my3w3Hc3q++z7KzzcVtmjbmZC4cDTFFfJK/Cec4FN3DhXQTlNnQF8MibTVquRI+c9lxz3bmD+eOZ
X9nQ6k+8fHLn+jk//M70MO13dRTewAy+b13aAnz7NmvYA+mmfM6tyAb6NzNxD3iqausw01UThuqj
5fqCLhnqZ5uFbAYDliQHmAArPsy9v+LL9uxUETUSB4WcR/vIfdwUDyZlFRg0cvj82RP1MPUq1faP
N+/o+LGilUMvwqZK4lerzXa6CFAWrfh+LhEbx1GcZDw/wAW8d8wE3RmJJC5/YsIAbLRB3Zmz3ruQ
Wg88am4lN3m/qcCouRup4JWFVDZVWXQV6/LKlhDy/Rk7sp+Xh6yyj2HDsxpaSPHFAyVeD6HT7Cqj
29cp2/VuwdaGlmQ/g4xnAqW85aOVg2ufHzgL0ZSFKEeNk7Pp8fhu6gKKr+XrCxtg1l2qOUQJYrD4
ZvA/lIkBNoizfeYX33Gnr4m0vTghvtfJDqEE3KEIrQeuZArFCPB09iae5LliKCxfCk2DBJ0L7IrY
qXkqpbqi2NlESbFVi4iiP7y7doEFmE+Z6ZlHx+tZPqZXYYNhQMSvuY+C34jmp6yxI0xU2/Q8QtYQ
4RapbGLp78bTyoI7WibiU+VefW2pFvhg51yZMXmLwsbLgH0urPT07pll+5LO/bDXBss/n6XQhpnx
0E/G2+jk2wp2+85x9QYfCMGibEZ/zU9O+V1k0U1fDeuQGBZNhZcEampg6sda1NvW6n/YdaJnmjhV
u2h6Ar6Yvquhups4rOqWBXUzbPPB4DgUyKug76+speRvfothADZBiXdArETh37O229uJs1dRul2c
MXhK15Hd7kfB8q72KV/jvLqzC32EIprs7anDw5eCggfBMQz8R9DfdA2P5pp+Jt+5RR44NpnYjbX9
BQSau1/bX1eDeW65x4fSYJ12P1gdcyaWjopyCLsCz2Q/lwB5Y4S/0Hmkt40EnnnCNsgo4OhozTOb
E6C5CSqeiIHxasgSXVnQ3eZr3D/TXthU8YjunNXRjqfsJhhUdxQWhSHDwQxKhkiuvTTY91PyRYMg
zt2G7dqCgYR/yD2uiP1Lxy4/r6Nirxx35zQ80sP8werkS0INU5/jMcyw8GP/xRItkh875i4b2+C7
vfzIGX/Vlt52nrE0xX18bL3puhMpnyxLr2Qev5jGcKL2CY7uPeOm3mWoxOT/jFWZfbi0d8bEzfqy
A1cdb5sIaXfm3ADHuWsFsoF1pVrn2MCx3MyGzRYXeG7Hr1labUkzh5ms3SE9VGTcbHLDQTeTQ+lO
ZYazavZWUVF+uIXzMvjTLTs3krbs9r0KiIM8VPjBZ1cm98Ax8Zbi1By3vjmxp8+a6Y8VcXSKJudn
TKp1QWSjcJsHM8wfZ/cUVv1mKqzHtBpuNKIJN/aWE1XTYclM+22W59gianzLS4foYHCODriyJ56P
20rmN3Yh56eO8ZQbZMLClXWKEzsnd6q2ARG8FZTlr47BCZv9Y1jMjxg1D6kK0MnL8DqbA3mWpspu
sCTNt/UwXo3WzKgTff8HV93f/YX/UvG6MAn+ZjtcTHU4TkmiC3vZk4JcMUkF/6tRrQmHOcorLg3o
Gu7tlEee3DuY/r8r0oQvctQsUtNq8s/j0AxMgMnUW1tdIPVu/z+/yb9hLzx/cd6RSgYDZi4w/H8L
p6b4NT2M2Di+Lbf7IEzDOy3YCVKAQtHaAwEq45u1fXApVN09Br2tdwiXXb+Bd5n/+f1l/tt3+T8X
7MB/brtc/QEl+h/xhMuX/910+RdvjcBwG9pB6C1Ipn+YLs2/fOK/BCtADcJ9dX8von+0G1h/2SFU
Q3LUwnIsLJv/NF16f1m2u+DzHBCif/Nq/hfohPYv8+v/Xck+fk7H8Vmg4eLEcmmH/5YRt7h2h4AD
kG4SdwT3ACuHXYewpah282TROQjcRfJ0nSWrVKEduo+GiISP/oVv5robv0jMYmSDfA+e027aGoVh
jBjsmclTjii/OE+NBp1gppSWu22DAEZ8VeJz2FhVIC49RpGb5BcNCuQNk3LziwxtxwUfyqkdlGiu
HVZB/GAQo+YvbpQoO+hRRDYwpD7gG1bIv3hS5xdV6nepldyRtcXW0vQZ9WbDL9rUN5KA/fpCPLV+
4afdLwi107+1be0CSNU90xyrx2E3gvfhvoiHBm/dCFN1RCEuV/jAQa3SIpL+IHlkDypzJ2/LtyCY
oKSlCKCIkRMYJhl5gVcOxFUuPNcoAUaK3WfBvBIOBflqdW33aDExGbQ49PC6HPqcUPybWn+kssWF
LSPR2tuRWBQpvXkmk5w6nfgBhNMqrCYLcpY6Y/CzpN2cejtmBrYNR6kxuCWelzlr4UYBeZPIzehI
aXz5Gf7CbSlhtKYVmF26Q41GNc/ARcp6z/EaIm7hDLGzdRdQbuVYGQgYoLR0PzkQV8GwBgTf/WKK
pq3VLrxd65e9y55eUMW7IHkzKiWu0wXTO5g0Hl65v/TepY+vo9eiRYLyoT9jx/ul/apf8q89I39u
qmghAruBg9SeKVBGS2PVQg1eAMLTL0t45BV9naAPuvfpkJTv9d+Yw+EvgLgxpT8+6bHLKY7MfDvd
9xalumvidn2+y9OONB6TSttxch3KO5eSbrASdZi9cbGj/vs5RB+OwIN2V37X2+81a+iPzHKFux9n
W945gkDVyuoZzxHkg5njrVqicjLIKedFv/DOwUB2cGN2w5KxYzGODwaqRMucQ2R9TV/XshNQvh3d
usrtv7ouLh7pkjUfqTYDUmn1Q/KE3V49qsGuaYkMKIumgiMH7FuMY/CdDZ3zkulaz2sLxZ61eTMl
n6ZQxo2MhyXHoYhrYV8dRmsd0h/2OtDM8JrLLElWEJ0D85oWVvvQizT60THdRs5QxBSroav1bmB9
kJGK8LdUVfSJq8L+SYumfbPUIE9d2jpPKHTVm8nMB8AIa41YNW0ST7valRbe1bAaT3gJjSlew/+D
QOyY8RSQu/ILLkw+kHo9oli++bU3GTsropJilbYW9TtBbKLR1MOAXc/QZZivfDPjcBqxgKblxyAY
tnRo0JUKop5NmwyzZu/HBRYMG3Fjk7miuEtbpLWNtkGubhrhJchiwfCKr7R/0txbHhMVQj+QSYtf
MQom9cf7fa97ITGzltq64+3FJdQJhIikoQ4yc/tyY43YVo1M8ke1rOngFXdEVlctC5RwHXS++ycG
FYzFuq35hCfNGHIkGlLx3tt1f9UzL+abJHc6TrgBCVp+4din6Ei4ebrWTP+X1OxLjGxgG6JzNbZJ
sOqQ8cINaytKOLlnkRrCLNhPt8h6djljkBDMVegEcAHWQ+en6V3lOjaiYJ3fkmzF/0tzzSQxMHXt
J7BA32O53HQONhjW77s5jsvrUFEvRnsk37x1GpI52iNNQwNBWIudC5Gg2Xt1YqijLWdG6bJuhL0l
LGYRcucIzZHaIWrJ+pJJadcOVkadVyw8XEpNHfJrYUKQTwHlThRJ+EFyREtLxmsWF2GyZzuH6bOM
pla8NIYlpq8pDKw3W7Zms6VPsVUHvJL1XVjjgaZ1puz8dU3CdF7nSaFuMYBTjJN3g9HwVDBYV6Ac
SJsd99BTMmZa1ZYB1mZC0xFrFx7gibmNdd48pRYZuzjKomeLIrA7LnU+LJElyh/tT8kNz9y0gJcx
+DAUk8G9+e8Z6e8QZwGm7z8fktb/53/3f/7H9/9CJU9bBss/Vf8P+vPyD/8Oc7b+coia+MvgYwob
AA//199hzsFfnikcBqbQdgEIw2L5Z0pFMEw5JjkQBALfcmAW/XNecsivQIMz+adMxxCAg/9KRoWp
6F8nf99jVLKY6Rj8idJY7r8BWrLCHqNC4oEuo7i/0IsckkNUM41LF/JaZpmupsajUM3DXM3ZG5HO
euhiZU3tkRW7KPuNDmP8zt8jo0kU7ZKmcetvyspDpdD+gup1jjB1r0MCpcYZsQgfTY9edaiisLob
rAHmAKmxTxNB8CVIqDpcD9goKDRN9cL7zADgrCNQERwHxTz+0AWzbFjofqg4GwqfApU8GNNz7pTE
0YJKqMug5ozOFCkUiHxdcoCA5J7fm3bSHps4sP/MsTkQdAG+xbDh+SK/RVDOsD0LQ+SvFsqcuolr
irnB3JbvblKSYiMYT6JynfR6+kkqYd0TPmO2mgOVvDsSi8byXBjOgaEjLONhz++LrxWo0ypPPHdA
nslochYeaM3NSDJhvp8Ip2Ga6WJskX4fKPFsqTRtzmljL8HlorHsxSIBsWHn4T5Wa1oRsNukwBiu
pjxxGqyQtvNcSJ9illrEuU2mv56xhsZuo48zscHkSHTK6K8JB0qimIIJ4tW2U4EWJROMDpS+UZxC
RXmCp8YbppAYjzOpLXkEd955MSaCtWjsHE6EcOMS0p+J/3uwhfyOKGhJd8oumjPRD41O0wkooV6H
QGcXMDPWhrD7C0p+WS4lC5K2wN6s5xvDyaaLj8253ETjaDpfPmIn+jh0gADRUcTxVRImrbd2YS+x
WGszChiQPJJun8HUZV3oAB8lm6EyXnNX8I2p8lC3vOn0C9e5yXMnHxm+EN4UddsV4xXl0kJVb21Q
WJgq5ybweOAhYWPdzMNn5oKemIaIoqPGBmkggvhkb5VWAWtfYl+E6sme5ntLcFGs3YSRhx4dI/gG
M8NFV4RF63M8ThQGJIfI4qpI+si/cpy8iknbz+FdFOv5oyEJ1a0nM2Jc1jUB2hU76wUk0Tjje4AU
/yBa0//omtGAkOfFS68Sa9d4p5WJxZjejhy1hInoIxMh85dHcPE5JTsg14E14t52Yr6HbIbuNTPK
6p4JBUdmWHf5n0xaqHI18K/PeEydx4kzMx3wQzseCnbNzqrtQraywfLE7VJ4pQdeneZHZy2VvSkH
9icjycpnvhKXopm2yRZ5vn+E04rHJcwqMpJYPC1E5gp7FgJxCarAcWK1aSD7vGW2x15/Fm2DHKML
trU6aawfIa36obL5cK/bzmGFZEJQ8VZTrvuXmI6Ree12vZvtCpEXvB+TLG4MUM90XGV995XPvkmT
UUxfM+tA+ApDMXs3esxivWspeUDEKTtC2nShkhhgsPwAdJYZWJJVy7DlYOPmIYk5yUBMLqDLpHrZ
VgMVWFtxNp08v5reTFYLn/bI6YtNnHJuUL1RySpmgHZt5lCiYCOY5dMsMiISGMGL4BizCzznhmF+
FmFFn82ofF8uwYbynh/qZEs7KFgAtxY+ZbVj+mJFgctFJ3p5xYHG+6wniRChJP8OH00yPXcqTG46
GTWPEm1YrurJr57iwewf0FTsq5GeFpR2Kxe72k/xivhlol7TUgfzqoqnSuIjSyXG465z36id9bNj
JI0IVpARsafLS2PkL8Y/sLJlQIShkaa89kOvqTd4ixjCbT/HbwZC4LGEVaSXqpr2UVXNwkJgmrzi
72YrnhoJsBZ+FAAeHKdGtg4y2ZbXrl/mb4rgyDNG95YGmo6N+SbUnqmxehRSI51k6bnpuWOtvZx7
0Tr2akonbOSVDkiGFX8aNhwZMvaJ7xNPM9qvvC2z6ewrn4Bf2GbFH2wcpB+8GUQqCTXupTNVJNhw
lb6z44b6G1XzW9PuU7N8HpMk+bL8EelY5wPiVfJbyOEpKRqKuBV17BZYEn9rV1Gwt7qoRT7RGa6F
sqV9yWo89QYaPy6gAHWUtzGfhaB/PNe+OLbDZIqpTS1un8G6Bi4lh3UR1MsJkFHgqafb54ErhYMO
xAv7O4xq3cImqJLXOC6AN42mxs/p1N0zveJsXf2O/JqVj9ihsgX/hJ+YrJTVAYXShTv5e+HUKDDK
/YVHpZ56bn+RUhluoKVS3mfZHS/Uqf6XP2UvKCrnF0sV/yKqSgAU+GZFV8ZbHHpgrPjfLkXRgU97
EtY5/J4YQfWpngwG3WxhYUF/B4sVEZXjbVloWdUvOKv7hWi1v0CtnNr5Q/+L2QptbukrVZox3gi7
AsXlNjwNR7cl/tP/wrp0EEwAIQNbXzVYqjEugDZy+bkL5qv7RX71Y0EAAkYUiH5SNd6r37XtqVhI
YeIXGlYJCo8OzS9SzHaiWm4DsaDGSlOXA3VK/Tzug18kWR/4TnetfoFl9LDaT4KD3J8OPDNuQpsV
y4z9Bdu8tbg5uDWB2/q/1J1Hc+RK2p3/ikJrYSITLhMR0kLlDb1pkr1BkGwS3gMJ8+v1VH93NHdu
SCONdlp2tGEXWZXI97znPId/kEpz2cPfOANbwyOGSgY3rSw766kgWct6ZS5YbuOcR9VAf4K6NlwA
bJZd4IsrHdt7D38T2tA3obVVc2Z/AC6D4QZmmRma77l9H7qN/IbEkT5Iyu++2t8MOFqfsm8ssSwa
0t+UuPoCjKvl0H6rGoic/s2TG2s/vTO/KXNcaihMX5YU+txQ9Gww4o6oZdTZ2SezO6Q643S0Mv7m
14Vp0Qa4WMeZKpkL4q6vBmqdSql5+5gLBM9VlkNVl+3DxmN0xN+nL8i8rhsBDYwOIL3RG7Kr/gLX
49mn0jPvfxo2o2Lpr+Oo7us9mb6gOAeDdod9m5XT/aiD5VdAwdGTqQPwGAlho1vHrrkxEbXBigky
i7FMeZ37VQet669aJ55uJYrStPE4/SDBzRelgmLugiCInNHsBj8Vjz2Jt+o0xLIO9hUz5jnB1+sR
eMvbW6CRM02JvIcczppI3qQwXq7rhAY6vlEKWFnhSyT2xGhM0XM8NhRWLiTfMCbpM1Xx5jmp1Uge
SJXpviyWcaBT1Mm4jBpV37UZF4gNxx4Vqfx6PHeDPbzh+tMNp2Y0njGJuXjofAKiK38MsCuBME7L
fQRC9IX4LB8NnPLWFQVvSFPuPFfvLdXj4tSWkqhhJpx31bftA7W+ob0xvZvwvhGdfmy8GQNIXKHA
rSrXin0+V+28rKKpZlWGPOWdYRWOz7J1g+9gLlnGBAmw560zwbfeu+5AqKiEUMKCeQAVRZdYwqMg
7KmSxpzzFs0zlZiNqMunhtPm0cOqmrCqcjUMmXyat/lYp4fcEltllYoEmW/5R9Hb+ZdDHvdpwLkg
DpnTWy8TrMCXsLGDM2xYiEt9Lpl5eaIPoBcifxRgqpbxFA0uc3I1RBcXfEoTMzVu1lda+9wQsMOU
wQanOc1GKs7jmLR40u5jP5ut9QTLPNpR1gXPDqTM8FBEsboERf3lSo9tNG1YdnRiE6eG5XMwLIKK
OT8Mi11XNO3OiTHZ7ryuqj1iBHZ210J5JNgylkatPDvh0h80yURdoomw0BaNpsrp35+p/3+rTLYv
M+r/flp+5MiI/9N//26TT3ja/5iVf/+1P1YL+m9COPDWNXOxUK4NWPs/RmXp/831KdjkPJVAHf7n
mGzZNsAGUChCeuy5tXdR+/8Oc3D9vwUM3h6jslDIx/xz/8ZiQVJ78c+Tsu9SxUQlA2gjccH5Xl7v
n2EOdM9iCDU2Z4MvCxtT1wh/wc47DD2ciMMbByOqjbHKTl3FDhVzzdppJhWvQtgq9Y0jF58m+wLr
+aat2wlHqOvO3JIcckw32NgGfT824LUCuFF9FD5krtuaqzIVebN1BEfggeRXus88N4pO9lhLhhtZ
MgNs+ByP5tFfhI2hfS5Lh1Zgy16GTdQ3c/eeS6lGe5UXRB+IvYZWdF8O3cIpCjXB/ykIDdR4tHjV
0T5LJ+15ELrCeboF/jbVzLilG5rt2BYZmqOqfcVQBP5mPel5yW8LeC7tnuJ0nT4K2/LYJidLXXzQ
Q6juvaj0xb03sEk6+VXDye1MlSo3tpwIThRs9ysGkNbop2FWlUdaDN9+tgnMWOYfMN04UnodjNgp
7D6sqATyExNcm6pv7Q12F0XFM31IJKg3faEAaQD9WvD8SPyBuNV4edX85vWBtZzGqenrL0jMQQMH
z1Rd8p7HFSEREg4jFzt3keSGVyxmO/vAJVtm97WM0/Zn7Kmku0l8S5Pa9+vROhYM6PpbDx0OcInx
o/uaMyUrCkO5ObBm537rWPYmFzxCok1O8JAJLW4ntMJN7y/VQsqfH8n3JACQ8dxbpLULMTzwY2sK
GGwT7MQ6IH07ukCJSZ9ifuYFGrYFyMb8ZxO+EQmYwcufb/PuNh9M5dyYoAyWV2tAwHHWMMswqh65
JcnupzvJLnwltTQ1PwjKVdUdFlLWt0Gzh/71hDLknrPRyX5EeOeP0Ugqn4joqzv79S9ZZUwKljGv
Qkf1BlJ1/PuNew/eFK+tP0UbLibjgt4SgcEqogjr8kQb710Kad15cSI3HN4a1gYk3W3u0ShRAAk3
XSLY0mnAIIPeKDwd3rTuaL5+yiegkPhc02qXmmW5D62+3vFDtQjuxvStrniW8TZ2ghhV28v470yS
jsl1kKT+G6Y/mR4DAhCQaYtgTMQNamgr7kYrCKNwHWm0rA1qcnJZ/tVoHVfJTFvsPmH8Xj5A+od9
uAVG59k3FFYSdM3tGlOworHyLSMvuW1cKyFkSB2Oswc1anZ8wsI3/qi9T+vBwU/o2kgSQJMuhcJA
b/2TkBTEroVoTf9gUVvDDpBuWDvHpFplfHD7jAf2a2LmznzMRRCMv7TbBfoofJBZB6vOQUQ2M7Sm
71aIrNpJi+rPk3+p/NniZIAyuCAP5f1ti+esPyxWVzwwhrDSg/CMySJmGnbWy0x+0B26VuC+QH9Z
uwTM4KXMVvWGj6eJ6bRxagBbsCGWmzrkMyOVn7hchfmmkg62KBEPiHcdyKJ5LMa4FFJwiDa2DlRf
BdtIVx6GroH9BVHzFMwone7YMmlnP4dLXywsaLhwgxKmMBLnTqTtLcCS4pV1GYiYuQ0yyi5ac1fN
hZVvHDYFlznBJayRO175yl11oYHE9c/STxbchcn4q7K12UbV6D8UsUZp9OYH4kUuTBZeNF67OLR2
o91l+yKDkEkZhLHXU8P5yX/E0vgZRXVUTSL3S4WDOfERcVaF1XVvE3BYD4ymlXxGyPEvJRvE255/
kzGiS0jOOjMznM73tfCdfRMO8xWLweIpSovx/sIWtk+h6jDa+UyXIT0Eu8Za6reaTo/nlPsj1cG9
tL+NfYkPtDThEGLFOHfBaI5b3EbyKXKWhRmsNNE3Op96VbmNvW0awCwmM02ZbV+k+WnwkZ7w/Hg/
XH+ciHXQ57uKi3wCBlPZXMlNoeKNscPmNg4stfWBWmdbKVoUj7Jzpq+hNc996xvwrCDpX3EyNk+c
AKQLpAv+clvA7j8OWrugJk1wk0AK22ivpNu6tOdr8szhzzGOKevJK4YDM+StWeEGSm9Vk6p7vs2w
Elh9/ezqQdIvSvHazmheFMqEcNsNyF1qASaG/HXZSFkfattvX0Ye9hHmXxsbikIOfsgtJLteqvi1
FMpcR6z4wUVK98lnG/TWinHAEOVTgzWRx69dgsZNPomDUdYJVij3Yqd+EtmEE9cNxvB27qzs0Kaz
JDtTjGY9tqSSelDP/Lo/JDbhZmZzfEPDXIqTMwrvGebCh9vU5UlO0RVNz7iZ8xEigaxrl3e9cK+V
O9xms86favxRG5ZNdHxQNwDwv+rXJgmvevbsa2/oW+DbFI6CpOQq4NR28ZaEHVR7m+43PAf0YpRV
dUtaNN7YmRW9BYkhZEWP4rYRnvWdL6hG66BJBzhqZMDvJ1E12bGeK1JDLt+FdTcZGMICUQWN+hvA
zG1AxXrZNICOpX2nRpzgbtNY25T150tjQbp0kvpG5f11S+SG4r06sQgxFOI7zPAHtBeIUcuyT0IH
/oGyRc991G2msoC8EhmuC113agKLdgFBFJWzR0AxnViCroJlDJ9wfXo7nny/bJjFZu2r6uLtGjBM
p9W5HssdtM8Uf1yH7+pY2y277qbmVj4k/SWYPJ255OgDB2pwVSyptS+KyPvBNcjyfzbAKaNfkz/L
YCXysnnIcnT+VY3takOBOiYDFmP9C7wpxzm1fTU9ebrqio2xWHPXGxW1AcOsx2XtUGByKB7ImI7q
LQ+k+Yg1hJINgPj5kBBM3Yy9L2ADyu8a6XveccgVXxmP/Bs9+C9gPIBFtDHHM5AvUsiC3q6wi5qz
U2NaC/tAboxICAZPCMhv04BlvVQIbflkZWyWk3qnSEKhIUzZVVHP+pVPhjVvU8vx9vznL77VOI9Q
+Prhx0QfvHXM68upPcgIc9YgE9qGVTvPnxMLTipzTVL1t64bNnvKW5tPOBD2FgVsXtNYlP80DP05
uQPfbELfBPyMgXft0k517ENZLYC/uCUxpKMt261w7cYgKQDpzlgsiBxfIZjz/4nSfs3W/gr9v4l2
RV2WV3OICheUc7mvbEMqB1Ox3FkStkGIJIp1rUCIRsjjPGX+RamdFnvYdsaBYBjCbKgT5tVVG2Xj
ryDNyscyS8o3DSz6dbaMS/ty3D9MAdopcAi8y0bM+oV4Q38wJit3JBJ/LYUShwbD5yZKhb6uZVlc
oxh1O6WX/BcbcbJjmSsOcTb6rNzpfLcrp7glaA52y0+HTRd1yYMZ3XJNJ5bchZA2nm1PLycP18RL
rOrnPBEMyI0We8REQ6LhwkrN1VfFu2FvghySoheQQYsVgLPMPHBN6HiYJm6xbpoAK3TX6DubhdcR
iS66bgPFW1azBUF+Dq/Jj30lOTwUgGV9sKEzonlo+Wk6pw5r3KYbhuLFdQpY9aize1Pl8QfEDP8Q
z5oPXGfL7PkiRO9dVLObahzcn2C286cuLdwJe3tNS7M1WdCap5rrKSJ3fOteoDi5TIl8hqqHzF2S
TlxnDG9UnQ+TGddean+XiTcc84X7xaqbhNqOCmPmOksUNFwvo8jZJmA9bJFw/CMsdC4NqAzcGSzb
PbakEGgHKTS7pyZqQ9pQ9AKALpz0sO/60H4u0jgLeHOSFyKhBNobgcN9tezW+/b8Of+wf3twWP9t
QHe2P2e7tDcLwhgMnlSQJei7sn4nXlScJECvixI80EcIc2ELJLvekN5ozH0BPBbFyl8irnTdXW6P
7g0E03YPfDTYFnmBpC5t76Yns9WTWsZgHeWVQesL4UCi5cCVzYcyOfn2AncpFy3vRKdVpQKznA7Z
dYNJaD3UgFAkpkm6ISxjrTQwBm8DfRKoEGyAK2qjlLiueG/DQ4W3y0uape2sROMwCfKOHW+CQWVP
bLFEuLHopK7Pk0fKJIYf/ECLy3zAHE9SxbSJCi9uhe55rC8O3zGd5Hru3NlbD9h37VUXZ3J6IQpx
3RIOwb5tkajmoi3iwxyXzpYrjIdlwFj7BuDep2eP8LnyrBruNMfw0Z2z9IoWvuhDdQXZduhVcAQy
TPDb0fVIzGfQOJBCkgorLRskaF9p3i5nr/LY2jldQjpeDdmblWougfSpPEVTx0ex4t64ipUnvl3d
F1vUl/Roccq9RIOXfOCzgMTXp+a1BUd1O7icTyi8cJUcWGUrOJsW6z74RGNvBC52u8p/hE7argwP
mHndNtgeINYPeJlBhKcwYdAK2cDfJE6mbuhSHN8lV8rt3Pjup2EvUBEH8KjowI2ORMiheGwhDFzh
WSyfSh2UbyCguE7Xbo+hZ0LOfKjrQOxoN8nPs+jFT6RE8CNpeJG8WtQsHj/hL7fu2fgW4fionXa8
X0qsOqD1u7HZV7isN8Lr5T7zk89ATNGPjGj9ekZPv+5RIiqM1uQMZ5gpD9ItlwMer4F6cpThqwan
yakHkr+vrdldjQJwbePjJtp4wn2JWWQCPDHzI/ay9MvvMcTNgTOcm4q34iD68NOLfPxiXhff+MWU
PUgORR48F1BLwLR0H9tBzhts6t7pdwzuk1CEOxsH0NaXpNF8MVzlfhGdysDD9ah5+RRZ5M2jhp76
sycFfel6ZeAeh+QqLiA+MLdl843Hu9iiyjEHi8sBkjgQXJPCc356SG9nnEL1VeoQwmmc6rFbLlS8
ScoK8mOa+DvOb9JfTTon+5HFyUlGQ04YLfFabrRt/sNdutEBhMkDGohFtVEFMyHndyHvASd0L2Wj
On/tVzN0Jwi4GTbCMFr4G6Mf3Eesm2oetPWiwHfHDNeoJ1yqo4QfNuEJkEoSpnYP7S3YqHYy701b
EXqcuvEZT0LB4nXCZLHFDqF/UJBEaLNMp+DYs5EJzvPSJOnHUuEROfwOx4zEg5wjy+Fmgkvh01DL
VflXjn68CemAvDPEvVgrNvpb6NS8dUkuuvOE0SC9raSHngS6A486wJR8lbbZR+e10/SUGpCTsOYS
7P3NGL0E4ewfusntHhE+wj2KJWIlWSnhHR2vyTCdYqk4jFPrwYyBI4CSiUUEZxiL161O57Y8kd2t
ytUIa+mqHEqRbhcUOKgyiwMfMQTcmVSN98uPRLMPswqeLkIsxXZg3cEbsKWjNSUXX/4lk0Iw28Yw
r4qRfk2TZTvG02Xc8h6XF8P/aHrc+vZ8hbDTA8CIwDNUPC7zdekZlu2XCouVEXVDfs0FDFX2yL9J
QGRIFUnxOfTSO1G70a8G5T+CZQJPNozWp+gKmoJmwP3F4kyPUEfdKy6ozgZ9Sq2nwhY3FnTre5kv
5d7GY0dXQ6muMZFNj4rN1Q2vlEEMNP+bz1HfbepoBu/TFQWtANLJbmZtxduiJfTIcxVesdb0RC3e
PF83RJwVGTNOlXWFsXbnVW36AIGefG5X5hDpaSUi+QXB686HDYGPNIRydS0V5JQ1IS5YqIuYHHUa
FhJcDy3t0OhuDZ7aM2pHpDcZfmAQfNPgDTQ6OJbz2NZdFd1ZIQC7dss7a8S8Y2MU8b9ghA3lB1J6
6u0yr236fNPrlqBU6xNN/5Fojo8DyMw4HVYa/xi5cW/QtH0YnC/W3i4MNkOIZcSx9vSOZ95dxzDu
HqkHzvo1hTgMMn1A1uoc22ZetlokfNW499SVN9UaH0GfBj8n3YUepNmew2lLnMlvr0xYqDsmBzd9
ztgI9yt3ThMQKpVO9S4eqlBfh8y14b0XOmG1y5kacLaMHJW7pc/4qklUQMBgVm42C5AmYvU8mVeJ
U1LusAZE0fqgEunECDazZ8MDC5Xi92HmC+c+Jj+XH1JprGHL1wa+g1VD0vNl+rMLuQEgacFj5qEZ
FUD7JIOZvhd8mrxr0+l+AbGRze6BlKcTH9CHCnXOK1cOe2daUCTBLCwEsSzt8cU7S1h6o3mh0R6l
cDbHKOiK/g60QzGT4WLLv0+1EtYug5FUHPrOtqy7NGEztl+4v4CHnDu7wkE4+eFVLoDPE4qsZvGM
lu5z7MLsdrhupS54f8WUeBcsE1936ReE2v/SqVk3Am8wm695vrLGBRYaWKGAHdmJbqpgobohiJaN
DrvqSkHvWdYQtubfziN/XlujFLTheIV/17ERJerrIzHjQ9zEDR9PppP8sLjgDUar5YLUk9bIuoWI
N63ShIrog5JF4X8kXR9tTSvCZ2QMwKGiVccB9fCIqUye/Xlpj+EQZpvQZorPjGcBPG8//d5O1noY
XrFkDas2sRsKU7R68grd3pqc6wVLSmVG+j/EeDv15a8mnJ4nXfR8Lf3aUk+6SpfglNTdye77cGV8
UCz4Kqstt658ZYCPsNjK7NWS2SkOLxQtdkov7cKNwxCAXLEb7tZjb7W73l2KbRNH0D2nzjoog6O9
d7mClX1AN9O47xzlb3sN1q+m/WEXFmJeyaAftgjj8s7DxLE2duQU28TUcXj0OkOTR0IxAaIKB/js
usEWE1vy3jmx3nkTp2yWdRJUrYqNI64XuiMPcU4trOmiQ+pUxZZl37zD3/PQae898XM20wVH/H2k
Q7k3IsqO/uh2x3iu7ac+8+vvWfvYSRjKgHHURX5HiRDProaMgK6r4VoOQ/PmCtgVorPzI3d8HOyY
iqKfoyuYm7zSAQ6YuucoaaZvXVK0UnodH2w/ycw+rKX/wWrtyixT/iM3ffRiwMhsmDbUpxOm6gNP
IZIl31j299w7TBcnjzRM48CapLmRlN4RqIBwgV4GpdoxSE3G4EoGtrYTlXZ3oo5f/Iqo+x6XM6aI
thm5OdlB9GANPhFNP/nCeeUfk2a+dRAU2dSpZ1niyJaZxVHdJCBkBuLOePu/XTOmRwno7aPyNF56
xPHGLn7NtQPdnyDDZlk8YmRUyEsFRiweua1bfROejWrrO1VAsFSxtaYaAsmDDx5crwwohsYi7uMa
7jdKDffcwT4KPrTsUwOePlN6l7O+WXFJGXdyifFIVllbgomU/bZO6uYxo7SnvBAf8oeFYlg5sM2n
M0FsF2usj6QILSL3JaHQUICrzBO5Lp3sMQWqD6MyaNtNyEd2n8Vd/W4y8bD0zsPcz89zlh1wRLPt
6KtXS7XVOS38A/iX6NBkvK9SZ3wr5bRcJ8MM/dIsWx/bw8qNaRqm7Lw/G+xXgJL0dJIecs/IvfbY
XCiADbUYK5l4ch8sZXSTjP0uarT8akBYP3ZK2xcJWLPzbvzhqJz2M4EwxqcO1LRqFAa2qTpUOXsS
mwKlnWi4bxE43zM2ukCtonlD2gWfROe/coaat6EeTy4wrGOStWbtDISSIcS6YIZU2h36oDqR2bM2
XlznqIuFc2F3SohbvW2cW60UlO/Y6b2CCcotaXOjnmoj+bwArID5cHaIBNw4bLA39ZJMh8Ap5ovj
5KUWKc/UNpTPIqffCX2Gaoc+KE8qLrilFHQGNV753Eb+a9TyzswAoxCULTm+lXy5dEmu+WFdJrYU
YnuSz6hhSacTQpD+i8zlZ+UTvMwKnxEN/PmeuwBZ8KT0rgjjWTiFJlgpuK+oD1XVeomr5zrjRzrh
FdNriY5HDKezT74hwwmiInpZMhB+zQT8MVE0qC1Z2qyT2C/eDPvDbWvN0yYyBa6tlGUbg2Pq3Tu4
OvZ9cjnIMU5dHgRz9ItBlLsGvTerCbd6zDlY8z6uovo0ov0SPCiv2PA3P2RbyzX2Qb2inosPpW7K
g5IJNkRHWdMWG4Z/GKLhUiMH4irue3fDgnAet+WYXA2FP+C6qzjD44E1ft7dz2nqnfkZll/ukuLL
y0qGFJHEzySCuqsR6sJTXHHZuJRylLy0FCfIRRz+tshnEBkdqmd7FhQCYhJGNGF1BE89HteLcAZe
r7RGly4I3rJH5Xo/JzRkAPd1RZGfiz9zOylK7YK4XLgYDvajz/IQmtf0EdsWNg+MhUBZQzMmDqQp
C/KYXbp+tR+V7ZzAf/YvIUrquZp5WCY6ru/ZbpdrSGCKKzpSGuCHkYBvnFjvCBhcoq1sz8gjr20H
+h5AuJlAN56jvkl+6RlqN6LUvSyD+x4zF8dROFF1s2QXv8kSbaQLW2/M3IBQStwbshyYUpCYgVnX
+jNJe0K4rCPCbZf4Dc1czPeXGBec9bVd17DH5ghBmBjQ2mOTxq22sG9B/44IQACcTDKgCk2OIVTs
Ywua23rczYvNGZTmNpideZ53scjFAUcImzyqRL4ozoHPPuUo72I+J520bjmv6ZOfeTRzWaXHXIfi
yXedfqXm0Vz/yWDwvwi1XpKi/0gCer5nKzdwXF+5rqArVv3F2d4U0YjXbPbphTMHJrRdNg+SBe/8
f2rZvUQK//GFtNQOSUNbSihZUPRshY//z8YA2DhjpkKSzq1TAt8oaNeZzrO3SLH516/on736mpfh
kyGQrudI4RG2vPz+n+okiPeMaV2UCZ2C+ai2kG36dMV2JXwzFXdHShDqDsePF8RPMvI9s//XX/4v
bdq/vz7NGY7t2ApbvOP/JVs5Nhqvoh8k26S03Iv3sWIs84gr37sxvVQ7bamgfsU/kZprMdAEI5Ya
peHiD9ywULfiqyioRXAt+6Hz/h88M08VY2HxXy/53s8K73oSxf1vz8c/fnVN1ULVVd/9v/xT+6/q
5r346v76h/7pX6aw5Y8k8aW35J9+sf2dBbkfvtr54atj9fp358nlT/7f/uYfLpmnuf76b//5sxrK
/vKvITr8UzRXev/Sd3NdtdXnZ/Vny83vv/FHPEViuRG+Rx2KTRNwwBvr756b32UogqQJqz3Plv+R
9P0jzutcmlcuIQzlEk1xLo6cP1w3tiAFLIQnCGBpWyOV/jumG/f3O+ofHy2POC+BA+E5PphFRX/w
Xzw3egkiq5yj93ZwreVc4JgsbmoCBNm6KIemOQJITF36y/qCmxpBMoJzq3ryg45VA/MglUH7PLF5
xKwHJyqH+W6c+rYOr5C2fWj7onWGS6CvaL+LaV4yDJuAKvunFAMHhtW6ciBHH8k0T3XEpRpfm8sN
pgual8jOuK5Qmyq9eGo3jZ1MeBDSCpIgV3YGZtqin1wrqthz4H0VfXnN7Gb3ZjeA3B8eW0bt/G6O
hsF7dagftLf1peP0zlcJHh4abETwnhRA9k+uR2p0nZcDO9+gwD0DlyXK8l1SREKcELfI106mF812
mt32O4ytCzTetU376DltUD8Ewyj629ov8jergbh0xAwEAFYURmDwJmfwzs56aOgVtfH9FX5JZlNF
GqcFUFIIJOGI2QYcddNtvK5s+JTnHKHoA6XZlbatq1tlKtFwy67Tiy1gzqxD3xZOfl+lXLzW2jSU
2cRt79X7xGu8Q0eTLbVLLoacFT5Rnwt6zuGAAsSap9MZnp6QKykTVzt9137YDZ8kCbISU8Ik5Fkm
XfRkIR+gk2gn/JTC6VKG7qRGjqOUlWkTx+HcZdtE6CV5L0TsuCf2D7n+akiWpq8BZPr2FnNz0J2F
4V/aDl1Fg3gM8tM5FaQJ7s2Y13rn6nb6KEiwRNu+DLOeMhhXPFgVKhyMW+Pius97GzbWUqL111GM
AM4yP0bZbGhhXC0gZ356ZPUe2VSQbG6nyDz1hOozKOCGwjyIGupOERoFcuD6HbhUnaFP8Vt5sYoq
LB/GBmuyzoQxj9RHEglZVOlRrBeL9hbrMFnaFazpsU+3Cup73UAQhrm2DjOHkEPcNFW5LxMGecAu
eXDq7WYmfCgSG65wR+30dV9quFZYx7RczZMlvW2clEF2Q61nne0M09hzPYj6Olbo0afC40ZISbRO
olsyEQgAkS4TxOTalz9zPeDNXIRcvoWptbMXncsHRjSW41/nLh69zUwn80NRjwjJ44gndW+A1dEj
ELlztPfxcO4SGj8xRcVV/pCrUaHVhFZgr6KktaqdD48c9z7MzwXGUIaHQQS4qNhq4YndVx68DBTD
WgFPYh2OpMU0+pYQwESDzis6YmnsCBvn2LVKcXO3GQwzlvfh1IHKGtJwK0aDiSknn0vGbHKb5DhC
Y2spG1nGZ0ImcUEg1UYijyuwgpoW8mZNx+p0KRKF0MhKw8caUYTTSAioyK2r3KaeAV2QbTiAlIQS
KFlGOJcyPXf0D041JBWUQvnEcRs9cstXE7fpgdIEOwxH9ylDOR33yQAW4CaxxAB4Mcwg/rNWH4jb
gJaF627FXvxq6PGRvABag3k/ckNkzizkO9/lcbybKt+9T/teTKtxRFp6JKluDpd5YjuUpX6XuMrq
ozsW2KzR5Ej3ptpFJCZ9zBAecaFxdqZ0fAW9oEwgFtUyWyiF6Sg+PiQTLYMMGLjadzYecAJQNdnG
y3pO2/VPu6jKs3Axtt2xGuyqHXJG4a1clBp0l8lK3pfW8+4LTEnolZMPBL9a6hHaFF0w3wr3/cFw
ytcvaH90PmiZgARKGteTV1lPhfbKGaWM9sNgB69zGFZPLiyl/CYdCYVfuRjhmWKVQT0tTKlhwE4e
cYuloKx3nZg0woUW+AMbo9HUrn0NrEbN0P9q3/4x1Eq948XKhpcOUl2/c/jW4IGb8L49euEU0B5g
YWc7jLQSe0e0ucnsvAjq7k05VeIRgBbdel6Z+ukpdntqvxKt6PSNHbSWIGOG20pEROdWFPHIz85C
wN20TkbU253ZQXAsLQv39wHRbk3kenK/WG257KDGAiRduzYyi6YZdlmgyY+LOGvmuzilewlPEP0v
XNn9BTmcz+cyq8mmhSesMBK0eLwMXZEqwteRLUnSr3Gl9Yi1aWG1HzqKwshZB2HbMvDhmme1YnlF
VP+y+0nTyyO6yv0EPy2eOw37i2ZuzzDvrQOrCDlYDGk9ddtGA+oohbnUj6is6cVmhDEXH1IclhH4
PQ50lOO0GO4MQZN5D16G5+MGz+uAkg5bDmI+N5OUSmbbyeyHwteMbLU9LtkWf6GUm8iavOUm7WL6
WOgMl/NqxoMT7auB59lawSW8dzV+qmmVkcGJyKtai9x7rEWzVQ4azYMXreMBgTXS2WtWmcXGeBil
CSYxahmAGmGGi3VXr+kaj/uvJIJ7du4y7uZcvkMW6eUu9Czdv1PqXE4aDGdPZl6axNXkAcAPlD/S
PJ3gIxYLmhvBSH649TEnKydy+EfzGE5bTB/xfI2dX2E8jOPCnN1u6PQJ4sDo7127SPjBLXEr3HmN
3DSQUecp1zEMh2AYto6P67dbVULWFE8mgRhI+ytHTqwFgCVKs59ti2bMVTbkYjny1o04m+w5UPF1
XjgXC03vzd21gZMx3I5lO/osbvH+ty+17dTeVS+1bV/YX5Z/jq20z+40hsVLeeeoFKJfWy3mrvZL
a35qwlaYt54MJjYX9u0LXVfJRIXlbEeN4oGWFEQXvFCBT8L8EjnfVQsC/px3o1VuXa/NL03sHrkd
3HzqSdoyuOYbp5bNotzyf5B3Js1xI+vV/isO79GBeVh4U6iZxXnWBiFSEhJzYh5+/feALX+XLLJJ
y145vLkdN1qtLACJROb7nvOcJ0n4Ndz3qcS39a23UIsuckHg6sw0s819xG4guRlFJbrvmLqypzJv
ArmlfZ92h8HmNd4FatxHqxywTX+RZBIqHSdcx4aNSmvjZAwNM9sHUDkpWiT51DxkzHRmoQox+36g
eXJdZdhIbd3Q9Fs70+is5u5YmRs5qTLahgn4afJHIQiwpOiputQ7hBU77BORcpOmadFf9UihKNL1
GUnCW9cU2Ny6RtDuzpuyvwJ0FvSrl1Pb76PH73Pw/8nwSI4Frw6w89Hq95FpPrv9x79D2fi3m+99
lL4+/Lz8N7/9BuZfrPFUkgmKxARP7/I/zz6G8RduA9vGru9y2H1xIvw++uA44MSkYr13iJew0ZP8
6+yj/cXfw7803NnW7+jOn5x9yJp8XVWgRGQ5lo4SxFM5tbgcf94e9k02wzo9fZq6XldrTwF/BpUs
/FL2+BKTSr2IhVc5IPvowQFBtUJzoM42dajFPagsXRKCX+PLevXn8+l/mznF5ub9szdlFY6yeT1J
5j/+e47Yf7keW9+5vmPxwfhXxqhu/sV5mUB1ExfEXI/5ly3F0Igf1ZhReFK0l1P16znCWVvDk4B2
GuwVI/1naeDNmxz+LH7//9fYtrf1IMAQ/B32fDJ3qEHpfHXeThGXz5GGMY6TkgsODwJOVqT7ORwm
LvGkpPW6jG5e3ZgPRpwrPP86j/8e0TO0uR5g8PPnSfuqAiVZl0WFZo0zqHtiQPbMgujvQg41mY8v
SnvLonsZA/elw90Fi6Ryk96OMUL0xSEdhHi2nwXmBpqfwiZdyYbxOfc91LNML6hK//r80t6PCy2M
J22pNoM7VDfejktTahSJyrhk6i2JZ90olXZWhO6Jbazg24CiooKbWhvX/vb5yPNjenNT0RHNhb25
Vskt1Y8Gblxw4eOIgb0wUWgNHdY8w5Gke3U3hWFQgNWC39Wyf7zJ72YOQ2Jnmpc9is66efQcI7Zc
GRAPJDJyfKqHods7sdvM2v+LTnVu8QB7V/Ucr/j5lX4wrMeYnoeHCLCUfjSsOnSlU0Qx0VpTSJBd
r+lPCdvTVTAkO2hGNNz2Zu8oz5+P+m7SurSZ8YZRR9EdaCxH9xdVDojOMcR4r5i1gVS2Se/H1M2G
9efjzHXeo+fIBJoLaYY210ePXkebhDIsqzk0SlJvS4hDAxvNQs1PerZfnw/1trbNO+Ja4GTQWjmu
ZbMuHV2SHXZU5cBT+Tle3Gg6GzCEm9MXg7y/b/MgSNcNKtwaX7S3L4Sc2LFoCg41mjUg/pEB4/ft
/t6e/ONM/PBKLFtHujeDcI5vGlzkuGo7g+K5gGqqdINcDBNCzhg57p/fM07RrOZw2k2+qG8vJ4w9
tJntyDQQKt1k0vfIhefl++KCPrprpgU/zTDZBwKzfDuMQxK4qUu0fKEubhyrui5T+cUQ2odj8Bbp
fJgMPJNHl0Jvt5XqwJNhZ4ACNzB0Qtex0nVVcU1CMq6KnlzgUUMIRSETq4OHbkknW+NKrzoNC0xj
0dwCN/jFD/vgYep4hinlkGXJyePo/c5AvpBfRxt9AniqA+6rCfcyq+qLiTnzlI7eNCrVeN94l6FQ
UiN+e48ble55HTVEnwz9E/Jp0qKb+EYlc2ipJshGdLX46QFke+TUis60sGfyQ9nWewLukgNGgmhr
xoO1K03CfpzW+NW0RkXErSGWk9qqPz6fePPTeLsuWPRMqGkyyVUwmEczwsbyneKW4q6M1+nwwwnO
Ul+/HI3bz4c5as+8LApsVi0NlxoeWt6nt3cFJkyHfpOII6uz963s+jW6rOHMJccVgUKF1ATtGhvN
xagPaN+NoULzhfq+UsJwMypJYa/wmn6xKL5f8tk3OZ4274hcvLpHjyqTtY5FrebjBnSAakF4MXic
z5pta+2arFe22H4U//M78cE0NAxApHNjjs/pu9UR+A3LPWmCKAJWRe+mpDzl+6Bo9p+P88FryDeF
1cTl0uZco7c3nIpzDS8Gt19C/TdcQLzr11nhBld/NozNJoi/X5+/nBpQ3KP5E2vQ5FCXkf5Hi/bc
E0awbCnhf3Exx1+v41Hmi321tZuAQhtgNriYgp6xAOjnp8Vkn6CYKFdpVrVfTIzjh3Q83vzvX40n
VC8KqcrNSYGnpnYyIR746sZ9OITBO+dwgnIwcL8dwi7UtiKzKPa99GDTxM9I2SDF6avVaJ7Cr99v
roQWM7VnjTYaMLWjKa4nSZvEOSHylhX2h5qaCioSOTx2SLbOsH3WgDJqan9z2lU2XNQai+NUtFP9
xQ85Xmdefoemqs78utGdPbrcIR1xPoAu9Ql322CohaES0N4SqrVqdLVbYVL9Ys68zPB3l85GhMXY
U7HhH70BrtWjpMy7BDNpO2xMmQWXWYvOKbApbEyUV6+D2rOWQHnNJfkESxtjNChzcZFoofTV+GzK
gW46lxpgxRtUVX/DCf/Lm4uXO2K7fCY4IlnvYNLWhCQ9Mnt+XtDXzwr1oXXhIVGmdDbYX9z9Dyab
CcP4/481v1+v5jPOjIJqJasvEaZAvowf9uith6j44pKOP33Hl3R0x9GL96Kf2LmDKnMPRI3tE5jE
vW2ej150NeoCQWLRfkfblS7/eBlCfTifXtmrsXc/GnmKsPjgz53Nagq1xcpOTiqaU19NqXdvE18v
/JKUUJz5bh6rKfgGqw0NB7Y1BHPhwM22I8c+SB6qb82BsHF4W/QhvYt837ViA1b9i4Xp3UGQrbtO
VUiFJU2gGf3vt08SvXeF3N4kOicMfziNeQbO7lpFZgQhRpxrVXOjtjoGdrKcq2D3+U1+N4uOxj5a
FZui81QgoKjMjee+Sxe6Quq4634xVzX9eMk6GuZosmqyL8qeo7xf9uRYO+3WoQ3TUOZY2Lrc4+4g
VWHckau6QzOF9D6f9XGEdX1+sfOMebN6zL/CQUBDocsFgnk0oxKnrNWo5lE3SXxRim5PXs+K/Ihr
IyV4usj+eIFkvHkdcNmFqVROjm4uRsYxMYBO+YBiFiwZm2EgW5A5ZVvroSv+OzcZOAlX51E/4iD1
dh4JoAmwkHmWZe9tsdTuhdVd1l60RyV0qcXeqbTJH9Im5yCjQF/g+dTRVX21Rh9vwObZ7JhUJXXH
cShlHn2d6Dn2bd9oJXLB3GxvUJbPIZjAOc6VBIr3XW60vbymPVuQUpx28ne98B/X4ONN0nwQdql3
UUDjHP5OhpXXgzI1DXvPZOqJDwCT0dni2x9PJIcPkEXJlF6Re1zOwGCRFfqgYh8d0kfLagmuErQp
vCtbLYjAG7/YX354Sa+Gm9+uV0t9nwhjEmFc+aDQgC8k5X7o2uvPL2l+A4/ejTeXdLTpG+gNUGyY
qvnLamGVrZZ97kCq521kTfjigjQ+1cfjcTA22LxQ+kLDAL//7TXNfSyRkkgzW0JUf6hHXVtaZJNV
v9oJ+yUpKgBQlrUN5JWWVVBcFxw9wZfarWUs5BRIWFMp+lHbd91YnkOFbsW9CF2LvnWs5c5ejl1M
q7BBGHetT85wlvaa8oC/3jkxJhpG39AjkHNkN2Zx3hccWhaRDEgLQgJKXqNWu+02qcqKKOYxkz8J
ttXPA7WrkltPm7CNKWikDzDvr0CnuavaUZxbx1Wzy14XvXtA79C727H3lEfNi+piU9OIvqzUwvA1
rYbuak/dcKf2eseWZHLHczRB2W6wMQmiRQ5+RXxYH+Ccy1MdbOMZtkJcSmBztmaS/LKsGi9MnQxw
U2SnEXwZiikEb4ea128qU01WIyROhI86J1E/Zz+P2DM3OIjBvPiewrFaR56m73MqvjAULBUEdoCf
6UGVHgr5OsgPgU6WJUQ+OVX7DsDLRdLAxdQbcdLjn9ujruvWKUBujrmVfa8qyVRtrVFTD6qWm5ce
EujlGE/XNG2bszLKmx1Y3VpfJpW7rluxDiBOBjut9mgc6wWJTySqNlulAE2Ivywl8q5pi37dtWaz
hAFJd7dr9IsmSGS7yqzMQNXkDEttVCbiT4Ncv7Ua3HGUpCJpzboeL9tBfZhOtESqiF914sySbEWQ
Vkt6e0W6kUG6y0WfjXsyVuhG5y0AenxlmYRDYxdp/asCgrEau+pUq0N4uXJaCnUsL7JBZgtmZgr5
BzOCjTy7EAn+LGJjEUaV2UZa414nYYH4L9P+QQAqrilEGotkDk1Wot5eOZNDUJluhsZZmQH80hxF
nU2BzfkAGkY79crpyVIRnqg8NOQ2Ycp9NnOicRN21IaX/zI6wsTV2L0o5roSzDki3UUG5NWcsRaq
eY8b5gl4v/0Ibzk/aHWPwz6ff2BEP7gjEG0XFc6k+Xao7HTIqNIwKwzYPbDPDD2HDFGmEQWtpMlt
PICdhM25c5GfU7E1rwLx00NNki8A0ysPg1WcjwXPmIWJWIbRuJmMqiBjbJR7R2adzx9SthmC2301
f/CVKXBPJH/Uwjimn0cewUEkQMIJwJqzylFcrbFIncOO1v0azsK2zyghQPNJh3I1peoNqv2OZhSs
AHpQc9mr6xYlcqxvec3mpbYytNxB+WyoGMBL0PunnqZNe7ZOyXnKG/ajx9cw+RBizX1QfZvS+ITC
nNb7HoFU3oODvoF80vO0mW4z60EGq77V+tuC6ZFf6q4YipWLJmWdp1G7FbWHcUBJ8uS6BzzgLshi
1K9bXMaTToKB2y6RcC/dVDxOuv4daSH7WFgoIIXgwfHom5uEs/5JHdcp4Z9mtNRKpNDUyEWyb1ja
yo6Es1Yp161i6891pNhrwKreLgtZFVYh+ZxqoiEoN1dhCjFU9OmCpImfThedwLbYY59bg/hbTU3N
C5SYK+GSt7nqUtJiF6o+4WTQiswnlvgu7FK5tHUNYgKRsBog3lWU1RknWZf/vp82phBb0sZX+eTt
SJJDxOh9s1qyqGO8fXwg0iladzAMuri9H0h4gwbCcPGSrPfmR5uFdcEhZVuDRkbLv7KHditb/ESY
OCzkJSrUyy5Y8iFY4I/uwStI27gve21Ywrt8YB1belgiu706hnsOuxBU1emX7Ta+GUkJfsO5a1BF
ncU2y0JoW/GiRF0p1xq1vCdNhT3c2fq5wrzYm5U5naqJYZfrCP+JDviTgxP6yfq5jstnN7QuJzVN
t8R1A3tsUOCc48MOVp0Sa7h/c/ca1zAkZ8sU53E7QdZ1+2lak1VWXg0J/rela6BrBL+qXkDbSX1z
NJMnQp2hY43BD7fWYqhVnX2n5iEuNvzXZg6rRSh35A88xEXnS+ywi9B1L2wjJzaqNrYhpt4LK+lK
zPiOQQoemr0xV6Bgh+VQMp/C1tN2FhrAbF+Ng3mZedQhtSEgJAoPgYlQhe/DlAb3oF6wGuPtTVdZ
XvbDPuBgs/FIlUabBUJ8UtpfZiZx/uB9HsUNztfxwgBls1GUTDmQeBfYQLzwHuJXFcpydGHwRnVm
IrjT97xy4cF1iQ+vYCzLmnq3APPcE88KjVl7rtvhHkOsLfc0FMxV2/XBs+eMw5wOowITsqwLMp4k
J/YsWZI1gIG+GDdsa5fKAMvM0JaoNfeuaS3SSiKRzNF7ZKbfjQIGQj1so5dUc68KLKqMczYvdiL1
Pk7zwtxDa6lMUPKG8bPSSrY4socdgbJGrexTQxWnlEg2dVCvJgCpU4iv6Szq4A9ROZSe7SPRK3Yp
sQo486i7wNa1wWSMVbuHudWTPW9EQAN6N35wQzGm2IOHUVuYFnY7kUFHqkZvSHmheUWRBOrVrrJ2
cWhUdyRqW3uogsaiJesFZxLmdo+gHGvyMfWyU7BivDAN5PAFeAhcazaaOQhIW0HSz43btQUXKMvm
dqp6wLn4KDDC1K6drzyQJVviJIn97rXnUDXy5xrxTO0XmnxgpfpOrRt+WNaY9dIbvPEy1JV+O9lZ
eZYqXews6wBc9ByEZ5wBREYGpqH+InsOKVm6rBBHE63oFnIxagEI20EpSCUfVTKHjfhWSaqiX2Rd
DPEbuASw4qyHRaNaVbRFrgVLrgq98CyeSvdbibljA2VlgqkTWhDe9JqILdp10PWXXeSVlp9axT3J
KD6QrocaJuDSQDfXkxc4HBpd2Vl42AZXK75FyOY2qQmqRdpIzrl7fb/C3NafZXaGWC1HFkRW2r0R
N+Upws3tkBc9UmBhZRsH8prPnwrPNRhKke+wUisGej0NieIEtmWSa8yyt7UV0+0oe8IwRzJUTpsM
434chuFDqBdsUMBjsYZmJcmduYCLZU2PgFWR6NVuvLVDYzsnKClGGKU00bviound5oALOn7GhZ0v
1dyD94pGFzZvAI6KaGurKa8KEUbLkcP6shFmss1aIQ652+8aoUI+ySDnTFP2CGx8B8sQYHqZXGaB
e4Oesj73AucetBhZgLmxniwJdnYYLBreFCcVE+TSQzhxVxBGdclG8n3wWdOCM9j6ztacunMvE9dA
cYplNrbsD2HMqAuZ29mVoXUdtjPeJVINFYegwdS8muHvC8VW1L05FtUJlJj6IR2HqzDVLo1guFdG
Y9MDfwq3acqSkzYriwRkRJx5aH9P+skA3lMZRoZuWIsvDNxWrL+7Cs7BBSDdOljElkImQ+Lm1VMv
8vK+geRzJdn4npd13vh9PckbkoFPQPhk1bLo5VUUed0SM+7GSBp8WoVMfk1CJZ6xGh6kdDIkbGiM
cbOZd8KKIVWq+nenjX5mINwPQh9CufIiK9hXTjvnMvUbbeAiilxX1yKJ7gyD1MOKgKFlD11pERAH
tGj79CSES3IeprG+saykXZgd2/F6jM5Q0h+aSl95JKcuPafur8sJI14cDQi6FUkUTxF9tyvh2510
flWOTbGgkeF51oK1jJKVdCHGWo5v08s220LZNDH7gRSUxaHXjHzbFV63tl1Rb0FokM/kuoSIKg46
x55lAKbUNL+PfiHsi5Fcmi7B4+yk4N6mkZSjhTVkzcZLON/2MuXDDXBI704MqyO6c6iwXQ82ikWt
+TXEBQVfdaxQBxWDmm0SoyHix+FQ8tyG2L+xKum+WYr+WxWwE7Ki8MnWUS+3AdIhIgmuPK/4RnCS
WGEcnkiFr6oeb5Y6ouQLRLKrWq09LSWbLLx7w7lXoXZ20T/DavRw2tut2iFCTNSQPhz1woUXiG4l
NXtdmnSbTLzbvjNUVekPU5D/IuBC2VWD9FZdXJLm4ISOIFLRYFXNYHeunDIqVnqSkUI8IXBH+P+U
jzQ8myC6x1TeLeKeHdUYlSziiejkOsUnstWxRxAcm0QEribDXW4SvGQWyhkZUr8KdIyXMUROslJ7
Lz2PIj6T24ZlFC4DPokJwDdlmKWNHjrEV6fn36fe80psiUYQnqAQlfkBkhY53WzsoQxsEyvyrrxg
lmhwxAQu3Gpul/pR0GTJ1uvbavANaJslMAi+mc1pkjUO3TDEw80S3SK/DXRZYl+hSHeMNR2XTltG
o+rthsFI9T10uVG9MDU7D0hNykmH7MzMtRYVfr6lcGxt1c4swntAbjqUd6vnB8SKV+PdpCMlG5iC
iKTh54S2agT3ekFY2EY14VpvNKHF1cJoHfkdygPRnmRZ5myPLDW9BUXppKt+GMdb6vsJhEM5ej8x
vQDq6ExHHrrYEBdOnTbXnh22jy26enTi0yiGg4QHsedPasq3PnTDbBOLyr0T2YSSdyzSwXgi5cS7
4NhRsCqTu2LA8XGd/k60hBwFYYTcP4jAId6B/sgDkpHALSywojrRgQQQOzwrjFG1lixPkiUpkws+
Sc1BFkLbDhUSy7yYdkpeWlxL9bNqksHHs96QeZJx0FrQ+64weQCs9e6LvGvbE8rRaU5onOFtksTy
NiSdt812mKJmSYEnX+jSCpMVH+/AZjZ6Z6PZ9Kf04L/3WnySKxoJz3mp1wtNwcK1YGVLnsFMV7eR
1ouDrMaUI5eWswy20C+tojGH2wgCRd9tZHCjeNdRVO0jG108gJ+GpQDLC7pS7JXhuezEWUHKWWyi
Pi6vSUI2IH8iyD1wNA/3fE27ZQiRtFchWF1aCcfiIVTTAfum4WRbQdwz4X1zsEWq1NoygKfAJ7gF
v6pH7iEYMUys80ZbdS5O0yU3+gx78okRWSuJZdOo7k3n2ziB5QJ/uA6MsTjDiIGzp6p0O9jGmY/Q
eiJCD2KWsAqibi3oXBcMWDz0uibXfRd/S2K2+yEu4UE7nYL72T9PCJqJRbImJVjEFhW6uCrXCNef
KHhAqelGnACwww6yBiFUqg0uFT5g7ow7XNd2T8SFFlQRwR1Nj8da3XQAcX7WdA3aBck65JEh7K5u
Us4CVsKLN9KQ6qoT1KDGlaFr5V2vl7fyhBy+igiJIuVrKeeQl9ifc4OUxjzgwJWp6hd5vQwzdQWe
4swu4zBnObc9ZS2DXmjrVE2C88gG+gwVHMl+xTGnZbMnlCcdxqudAwkncwB3yxPdx3YR59IfMeU2
mrYC/GKzupM+EsG/VHt2h9whx0Bwj/0421neVKarqAIBS1ttjtRIwC1UsObF5aii28aSUojmNLOU
vdD1b940Ds9kxyXLQldkQho70nafCcnhxsnt73miUHTJC4oyFfX4/ODiTa/WypAKnCbsZDpPJ6tO
TUdi4wiZoKCDCR6CksoPZuNGNFvpmDfNOJzATxLuwsnlIzj6nVMByFtEZjv0qyJkxp8pI0r8shU3
JSIzueod82dNrAxw/Xtw1Lq6zbJGOJSsiB5yaFeeaRCrwYFaxSrhPblhTxpeNZ5cW6lthqtABNaO
OLXMx4SOeX+s62qdgghyF0aZERmN5dpcUPrC/o2Fv1/WMAzVOcvKzqX9RP5jcIgT16ECElm+wZfZ
1ydLN8xFVrPe5WvhEAm8ay3ldCZtrAtR7fuiO+vwT1F58/atIuVZq5qrHJH9cmzdOsH0P3UyxAFu
kbu0KHpDtEwcKzngOiC9uAmJJZFTbp3KsmppN3TyuxYAZ/NHdtp7J8906gkJijuKCYPiiy4dzrs8
YVV0o4lzmFP8SlORxpckzajXXkBfyNdqYM1ALpX7IonFAYSfmp8nuYpbxWtgPROBXZGbDq6e/Gkn
IFpj31m1ejCQWLkrjDFkKpDExyxLIb0kHRvcdUL1Ap79lOQ30PdA6whb3BfCiPNDLfRC8d0kLSFb
2aD9zsegC+PNpI/OuNdkeMP2aVRWHjQZuD3DYP5SkzHrV3XC+bBT9HjZUjDdeSQCPQfQaW9qPvo/
4CglygaLfnY5pQ4MCKULYHJJoFULHdbnvNRkCFcnJCsiTDceuQbPSd+oJ54Wh9tgwvSMu60pCMtO
EdzsXNfVsM1ptB9mfuVQ5mtq1zKzrmTjiGBg0zR5fO/m9HVdbR5x65ucvBRzgJZMXdlhjV+obYjY
SFuLYOKvoG8LrBJjiA1DcCOkpDCAi09csIcyb6mJXxj1lG9xlRjg32rrHKNVS7CnocBQTvp4HzZp
CpGLmUVdQitq2Fqda3I+w0OwwoJHFX5LmInsiaVMKn0qle99j0hHUU1SrBfd0FspQVdAArZ/1lVg
+r0Ip2xIcMiznKOWlKabE9a1vvIxzEEeJ6aBNdz2boLh6vOBjrtO80A09WzN1lUo/OZRg1EHk+SZ
He0LugqN78S69PFL3JOFds+hlfwWwcHA6szii07GcWvmZVwLzTZtahXg+/y7XrVmBKLsEH8q1qgs
SzcwzpIzgo3kF03q48blPIqF4MeeXcn8z9FtDBulESLlNgLX8o1c88NML9eT467zDHggVML8i2bi
cV/4ZcS5d+kANUBzdNTFa0Q3GkVPLzHPzhUcL7Xp28L6YpDjntM8CI1Rj1A4umj6S7byq5vHzhKy
dzRLBSOQTBGnrpXXGQtykr54Sh8N5NEWpS8KzOBdSLNMdTPTZyGGSQ2ZFKpNnCfVWdLm5VUECfLz
qfjBYLg+NHqgmob08lgWFw+Kqbtpw2Adp0O2Huyz66LyeXu/uH/vPBvcQIu+skmoIgp2BGhvZ5/q
xGOIxJzZ9+Cd58Harm6DbCX5OOQV9fJo7Vq4yb+a8x9cIIscl4jUCWX+8QVGlUf+VMC5KCXfiaCf
Ur2Hndr7OebRZVDEyhc39IN3DN0lhgPb4lCB9OftVQqKtBX4ksr3khCE/6TWi9bUVp8/tY8HwaoC
VJfbeez8t1T2C33EK0ayQrRoSgCqhjDHL57YB7cOJw9SD7SC9qycenspLR1WwJHcutw9z7qrvP9h
Clh7d59fy7tQcuYFw7AK4ggh6fy4uaraQZbIeIBulNIqi5O7Ouq/8/VDt5PuAd1fIOpZ4wksgMuS
aFO52yS2D7rT+pSebvWc26zU+P+8wrtw+vrP30ZeRHSptM8dpIZHa4tosrqc0bbUn7RsK3NK9t0o
812FSsc30BltP78dxxKmucFMaqLjMFnRMFtHq6fWgyLSJW+Ji2/fC4EbuO5ZXIHCaSFSjs0aD99T
k6QPnw/7XjU822U8G4wEKzf+rPl3vVreAAOSoeHRppLLeDe1fso5/1ewj7bR4nxY/MRCQ37Uc7XY
Y/j84pV5P89MlNouJzNINChCjoaO2HnA3KxYdGS24au1BHHkW7V9FTTuFy/Oh0OZFgYLVgTvJRLn
9VWCQYJ3M1dJCFygE7pQ56SLiiP+F9/A+S1/LVBwZsEOqlQ+ssDumTlv72ZOq82rJWu4UcZLWsTL
ppX0tqdVXwl8/tq8O//ibX2ncJ55I4b5oheykA29hNm+eoIu2WyV4rCrICcaWN6gbfBOJvPxiza9
eltryWNd1NuQnkqpclZOqBgazVUc00f9fDK9u3rTZomfDWGYL+x3X7BO0QD1z4oTK+JqjcuiB+YJ
ucOoOCKmW8I4Px/v3Tszj4e5EE8gdSD2Nm/vtkWPDda0TsdilV40J9MCTJg/3jebz4d5t7FhmHll
n7X1nuE5R0tBblO8sDmz+JTi8wUWEwfM43glLeWGDTAYRr1b/s9G1N9emJcbbqbTQPTt9EeV4mhI
FXo3NECUBvvil1/o+T69mrVIF6F88bHEYebO35b5ub6aQcikyoagEi6waPeQM88MwgAk52NKM0W4
1SdvHUqFFGPz7wnzRzbc/wKf6H8ReWjWF/+zqdLHg0sU6xtW0fxf/O2rJNFLm0VhLwFdDmJlJuLf
WV8ugdlkVOCP5u3i/DC7JX57bzXjLxZR3jfgEUC97HkB/80dwnHJpt9F7o8GGwuubv6Jr/Jos83B
Aa09roVZMoz9SZv//atJUlAGCOgZk9fQ5lv4M9NJaZBgECvTuH51Ty7+nnivHZxHi/XvkRiIu6HD
VDpaRBsa+26Qp8s0pyvjixIAA538CDyMoz7ZSK7/0IH3MiBANbzNKmZlRz2a/xOpjML04qWgPr6p
mgHKZ9wMI0zQmVhSRxXakk436cBVnnL3+cV+dFuJQIUahdOL23t0W4OeHCRhR4TKkp+wrKVZjRtT
q0EmkIMUpl/c2o9Gm5PkjNmHZWne0cIyiKDJTSJsJR0X/Z4omzxahr1L6HMv27K7+Pzajr4HL/fV
dZmWnm6zLZ59wq+nDPAJ0RdstysnzoA2TMqymRO0ktjaBUR4+y517gvwssYX4x4t2PO4mEeBE1pY
SGlCHH0XOpuab+IWy87WQsgIpU8QA81x23gOSAaDJ0/n/I+vFH+sqs/GZkuHsvf2SvXcrSu3ypb0
tcgXjjTH21IvlKeJM9XLFMrtQUMrBUe8b78A+uEk4+9+vXrjLOMUh6CVgw47duhib+4yW5LCHBJ9
3TVKTSD2AAx3weOn/dOynPwAvBicioJm5BY4sVWutUbYOxG06o0ykD3r9wR8wuEhT+JqVGZAAxmn
xk+NYt6tFRuA7GVE2K3fjIlKXl7eFgdomCGWGA18dk/fzyNOWzcvFM+uhs2g11p2a6YJZE0372vs
bvUQFivLBQLq20MAgnJsc8SEfdxdiaYABoo4MidyObbURVulVrCiRCb3CkxPPMdxGmjQLR0DlrEJ
Rnw1VDUpn1PitLqvRAUqta7UiuLEDaNkitdDNTYZyB3LEtHSIWWJQCOyOWOYH5LoAkw81J2ADMGG
X4A4tbsFmOTsR5PSZY0rJbI3EZj8K2wStX3ZedJa92ZV0gdAHw0gFZuBn5Y5zEvDKKEOtoFDl0MA
La22Uk8b3mTSdO9md228VlJn+tYR+yB8dnGaQRSFNB4BA5HjRgpXaoHQLJJvoW2z0GBaBw/klbl2
C4fURPBS1xTgyeiiMRe7NE5Xtd5ZzGgKuWcWYBiTw61r7tTJbn6KumvGVeN68Q+j0MZyUQZ1PK3Y
ett0ROKOxgTYNfPOECFJcu0QJvkuY68qFtBz6/GRZu6IxmnsLO2BZGISU7BM1E52BrkX8VvVKxrO
SAitubhLsrpQwwXfiyBg0y5DeUlMtaqckNGdElknWnJVAthn4PwfFNgqzppOiBBnHXX4AJEomLqk
R2sA7uycjbkgIs8szHjNqSuylmnE8dnXisHuWQsxaMIpVxs3uVKtKBJ7gotH81SIrpgWNRacgkq7
lSiOCTkXYutBy9iZPcCMaWhxYAhtShqzme0W0dIdNWt81BE1jAfXqfT00JfGTHaNu678QYZgiVoJ
XhltXiS/TWfkPCCey5lG1En4rLZKoV2D8gyMtZtGESdvidaJFF1cGf3DpCIBW0hPrci1tSozeOT9
wueZtCpMsBHuerLImsL51dJfLQl3Tch2GbWJZBhkzS3Er8ZJkCJC/r/JnLJBWxkaqCCMKGwIFbHN
8UF0Xn8zIotAPYOvqJ81n/QdoiBXrkO37x+kEZVXrcmX2ucUT1278jq4Mm6aBKepU9mPeFGDTTaR
A+urbUHsL2mbJuGEmWeeqbJu1UVaDAhCgMEpdCJt5LoHuHfIZFKiwa4FQcC3YOzGZwUy9XePPJRH
g1XkudS9AX0qv6lZFbGaXoS5UJ+q2vV+JGMgv/d6YHW+SjO6WQ9u2dF8a8dAXVAbVC7tUgA0KHCs
PYcUF/UFnCPzmhhPWaJZ9bifUxz3dyDJWHdcnayARVAjMjZ0YUk/xRj+nar5FNJzUygsU9Mas29l
ZFij4TtWYKv5Dtlf/Ki1/cTfSDnxxzgA8l2UdjwJoluCaOkhWAHhkGfW4+SViAjKlkSzRWbFgeJP
gyrvJJbE0bcb/rEQtQDF1Ecyu0vCAtgbBxyFtC5CyNFS5Sjw4DJMdD4VMyCXQjEIDSYCLuHBeZmu
1asxMIp9780tWMr00Y1i5ZNLdrjgDF6BIniQboIQ1SMuyV4SDQTcrS4956qJwiH3BZH0zHfTzL7V
XVx7KySWUbYmHzJswSoLZZarTIi9sjrPihOouSSQkC3NYaxXBOWUSgvH06DO6NNRBwqvwHkl6LK4
rP/H3pnt1o1kXfpVGnXPBGcybnl4ZkmWbFmSfUNIss15Cg5B8un7o51dvyW7rM6+a6BQQAKFTJuH
U3DH3mt96+h7TZO8S8kyJ3SvE+SBhvw5uEIwI+f5upGDTI8WZmt5msrBBLtmTx7k6bo03H1nKuHu
Jt62KKzJsAb9p61jJbMt0ksLOl10KxCcLzsM00XJ6l5Z44cytQtmm61LuAL4ZVSipeqsOLQzRTSX
1roTU7/EsfutQnDfIe5hWB9/Fc0Yi49x48XxBbrnXO1IhRDF3vNqZziDF1+AD2N+SL4YNu6hC9n6
c7lqaOz5aLRtI8LJmlV7nZNdY59Zc8mDS0TdgKpEqoiKIde65lnMTX6hsa5p24h6ED48mW7wC2aM
ffYl57UsD92wkiHJpyXEIKAuSfv3eQaL7t3oOWTg+GB+SVNyPTkS74z194QwNCtIPxQpGjPGku06
DTVB1bEQ2F0TdMPsqOOoRqsOh7EjCbxJVfqhJtPcOjQsfaQ4j+ZHIte6b0mTJO+VStNz78k1kKnW
tC80r7qDAc5hREpBsM4+mxLb2xizu755xPaCWAKzCEYMzNuaf+EwnKMNJM+176AtMYySAWK35PDB
x6iduj32hlqGRmp7z6PfNqhVIEXujbTXnO1UOv0n+HL2XYomgxGrkv5zN1fkQMm0axFA8Snf5qJr
AdjFRlweYt3vieCequjOLZihIc2JURjsFMi0B8u1mBIb2CrOVjYwEOx0tRTHRk+a7h3xusuJr3/a
rI7KiPxNF1jChRjqbrlUWWUYH6wp8e+6eIJW6jcknG27xPO7TUVGhrmFme32oXIYx3/AVWD7x8XG
9BbGwErRaOeGBwDds0cC0iqjc4KhdfoSKQk5Og8s3gQr5FqNQt9o1mg2RX7LF6S2zgNgL/Ho9C6a
mlUTuE1617iCfVw8RG3uzgcgnA14cnDI7jZx3Nra9WR0EjHkTn2LLJ3ghpCZK/2Emg8T2m/GKd/V
ZQ6GClZ5VNO8PgrFPoAbXhNUeZvOXXEXcT3Gn4Emzai+tIUbO1L8BJaTaJ9NiH2XHSFmPQVeQtQZ
HDLia6yI3EEb/OZFnSeledlWQ6o2xMZ62s7FpVButDL25b3Shl7bdWlnuU8EG4tq72lzVByilpuz
74cFMaTmdm1/glA65adJ81k4KTCYlRNv1BG42NskTaLObJ1zKzu3vk2dxB8uZD6NyVlPJ5aZwHaB
N20B+FeUZAmlxCaGbdrBoiCyHWaCynKevDa1HwBNx1FQEismNhbj7YLKwKu6reqKKKFQ6+LTOoKw
Nr1Imicwh7O3iT1zpiAV8+Uyj77cyohPEZVOmYudoeY5Ccs+ZxnOMDYYEj6cNWth0xPn8WVFGBKD
nNe2xF7hWXH0jXQJgidNJOppCHM9ze5LYTU5oY5cPv+Z+HhUywWP2B29q/pJEw4ZWbGJSYNoD6+G
zsBO/rGO9Xk5VV3vpWGWJBBNpyK96pGSfwKWUr5fEkdY6n1aprIO4aqXwKuqlP1Tr3pseRXJKAzW
XMI2IP1dAZ/MPrsIse/pSRJ9mtoWcNkhHflq+2Ocfp7HycQ9Yxfg9tDWNVe4J/1vpC4XN0Jbkaai
lvJTa86ZvSF9V9cC1+5JNIT9N79L5EgByPqL4XSec3RkeTPxunc2Ka2mMbbzNh3mvN8D2qhA2CHl
1igiOvNxSbPlvqD/i5Bo9uC1t9lobw10QdxD3VGXoFg7VLd56z8OSMA/CLvVCJcbOv1ALG5Wb/si
Wq7TsiJoJSKk97DoNc0AQo4UQXSRoT0lymmPY1OtydtKd1cmowc7ld9ZPA7dIK5tZTqavbHKeWy1
Pd/y5Gh1ud+FRAJaNSVXm1lkNMjy41Klqt0KKkYSYdlcoKt3244MZXCD14iMBekLUWc91BAa7pu5
re7tIspJmOZ131GIxpeRzOQnxAyCLmtq5BcOyPpbF6cMomtbOfMmm+jm8U2iSxykSos/s1xZqDat
MXlQkVH2gQm9DMcnMUZBZ0bMhRF33XRo9297+MZpAGi6J8M7Jn4wmIfZPDtl5SS7Rhp9HiRZYt2S
ppHkQQNfvDpnyWR7odtGub/pUjGAFjWZxOCzmueboonIeLNtvoylaWPKGSxyJtCcFKiIbEqn214N
bAMEBfWVLuayIsXTZRNXWUV/Afqhqnmxs2n+0fz8R03B/zsi+f9vxDWwGz+1FX5h852/VvPjz8i1
7//9j96gbfwldFoaTBdg6NA/+HdvEC4fDTkwXS77/7/Ban/3Bp2/YJUzieCWClpbSKz/3RvU7L+Y
/dLP9mgPwvaCXfVPmoOvhxAWvRa8nz5MF0HXDj7kyyYEgO2UB8R4IlGVXLiHycgmVm4LQayCLF1g
oEWvQ0y8BsgUY9aMz69CKq9dRHQmVDjY/qKJPZ3+AWluHiE4/fTTpfxNU/F152v9gT5Qd8iYHjb2
11oBM/bqJsqHLxM7mHpraRG5o05ZVEiIJpC2+z8f7eWgloLdc1fiFYwohmqgol51FIn5YdtIRwNf
nEEd2y3FXTPlzc0/P4ql+9DZ6JOCVXp10ZME53Zisp2P55arVmbdsai88Q24wssu3o9zsRhKmgxZ
4KN5r3pbvl7j0TBRXDdGme3GRulXYkqGQ+U68Rl7DZuPpPnKp3d+4/Re3rK/D4x2gLkLzW1UES+f
KVJhx07ZNQGPCs0TAjp1lGRU7wyk3G9Mkl62nP8+lI0Xmzal4fAhfnmopZoap10kqnIjqzZDj3gr
WdpHpUHttkrjjW7hLycGbYt3e83h8AXomldPhyhTKjKd5G8AbPf0QPQtRf/Xma31G6e1/uz/aQ1y
WswDOQScD6ZWqzzn5Wllep5LhO0pOT+GFpo4wreVrext65Kg4iCwPGNDmt/9w6fSBwSK7dw3UH2w
Hrzq+kb2uEY0AWXPaQ6W+PKa4ZsxEGT7xlX85R1bj4Myx1nDPzwQLy9PDm0mxjlSBNl/JvUDWXg1
LN0me/rz2Ri/PBocZiXHrP9jRv4djPHT3MPJstns8VRC3kZim9DjCzIx2vs0zm+xc1wWcR0Wmb3v
ZEQUoTzwuBxy9E6UKpezGPj0y5rYpOWNHvfvzn5V7jgm41Yf5Oars0+dqia8HhX04lRHw8GNl4/R
Ww/Qb55UwaAAdg5nbv1CWWKXWvqjzTUulVSrc7SeCDfpEAluCmvGLfLni/27aw1ZllLVWz8nr6Fg
tiAP28+iJNBAkFPO+5+N0T8T4XZCCBu/sUb//mBkdbAfMH3O8OUVdADMezbu+kAh8TqUi97fMIvB
t5ZrlrmNzLZ961H69XU0eQtp1fOhXOGkr45ICngmobWnATVje5Ul/kNn+CdRK/ZeKDcxF2r9Qyrm
YMKFDj1gCa0cvvXIBKOguc/WmV87V9ldotVv4eN+fZ5MJgjr7ILbvUKbXl4Nd/1u8ptx8sbA0PlJ
+sakaD7++Qb/+jxxFJurwFAG+dLriZARpYnPkZIAyIk7n6cmwRwy0uJX+zhKM/HG8/RKe7YugByP
IRC3l9WAC//yrCwV6W3lxNi2dBJKT+Po4h+qlyT/hlLcVgEI0/ghw6GdbTQJpG/bWr52r6O692m6
qfqNYc3vLjJa+rXgQiOBB/Llz+nXIJVScvrsPenPYIUcpgMmLZyaf77Obx3o1feszobEUQkHqujI
H4hgT7aGId9aHdbn9eXnxaTEQdrnkwxDF+/VM2P2ijkc+8ugqsbECGVlEaXQR5Z7p6ZsSA9kVKr5
aPeZJL+Blupby8XvnqYVNGzqBhNU4/XdrY3Cm+k/8R31tCWcWQ93ZeytFqJRO/z5glq6+fpk168A
9ww5MMfk/7y8dzoIswp/T8YGSXXtocBviVlOkljK4ljFOvttX9ya9lSyV2VyMm5MzLWwp4ETii9G
ZPgf05I+PQp9VY1IgZKmxp8Q1Nro10/U9231LEl+IYtbNkOUBgxMcJ5TbwEFg8vQRp/6Zh6Mk4bb
DUOEnquVPWqSTY3tpig3jM5m/X0ypXx4KtV2En9Tj6MMwW+DZhGztso1cBQOWvyo1perpJliezNk
/CZyJUfZ74Q5tASETow+QiUn/Amks2qbZsjSL7EW484CXxC7Z6sWhKv5bFjJ5FPMMfadaKwem27F
BMS0ZotWf1pHMuz1qS/3UviyPfGeO58piKzyIpeFNPclwT7DKomidxXYFrZjF2KFR85dMpZsKeik
Y19R0aXsaPIWN8CDgIOc9Tq2ZfYpayojJnujSPIReyADH2EfZmFMGqIBKdewyTUek2TFOuof7dbq
r5uySG88eoJ0D7qyHsNM6rrY0Flq5jAvjOUD3rM23utZo3u4tav889iX5RcpNdJSrDw3mrCbmWZv
MIWL6xy//Ke0zAy+/sTyYqfkbUtPZoJx5mgU0s+3/iRTN0wnAu1CW4kxObmRlX4aNVeXZ7wQvpFs
CKG0UMdSB8oHXdnYFLO40D51VuEvXuhz2ciWG4XDPAZXbXuKVEzUGG4Gzb6ORQpGpi1l3DObpcwK
h2bKXJJKomKPlQbjc1b1jHmQT8WPLZM7zKw27XxsgBrBISIu0uaMTXC+s8mOHYCe2OUYDlNkHyCC
EtcTE6cKt86oVcsrnhOuEjRWY8De8N0aS3EyTO8TdAT0DI3Zf5f5rcDZ7xEtt6yRB+Sh2DFRMlIR
pEQ0tWrS6TLzas0RwbJoEi5eRt+548BFVayOGCUJvDdECXK6b260uhi1zby6kug4iTSkHjK828pi
JPNewcntyKCiebRvbGNhSCH6eKzupqkbEDnEPXkj/uTKLT0ojRjOqQA8erJxPlb+uRpdYBzHjE9V
SgYEs+ADSR/kF6hkKMo9tnH9GupJ9oSlrU8u6ykVtGjHAks0Id7+VWJ0BUZQNgl4lmtC6Dcs/W2x
6eKlasjUU5EWpHOXfHXmgsELwaOT2BbIyfzV2AxcIzMzA6e9Y9NGxQxrRQHrgxthQ8EzthFmrw+7
pF3I+3GrakoDaDfrX4mYUgVZnXHphtYgu9e0JnsKG0Vu/cH1eyKF8KYvF5k2dXXQCuEk+BOFIwnu
FN079nK12DYe+Yhkc8mVh+IZPBCdHkOERO0eBUBGiA6LmqLJw66y1MTmEjXHJkqqGff5lPrkJqb9
8ghe1bkHsWir7YRf55jGqIjCsWqyPDR0rfmUKKXEp3xpl+7ejuAThERD5c9tQWLNJ6wQrrl3Y7sS
ZyLbHOvkS6/xthgMSgmArGMDLcnj+DxGfWHs2mbhW2OJqdVCZnrZc+KLYtwDr9EPJruOattkElVw
6+WuQ8fNxDXcyaxtd1QBHvnFNFbcwOOFnvEMAzYP/KwrLayFaXvVGaTXAwHIvtU9U4XVmMgkLm5b
UBZJaZQPudDp46nSbBJU8hWrhJVYXbId1DiSWQU8Md9ofY0pGdaO8z4mcsTdFK6VO+TNkAwMYSKD
rDTOJB2dqwLX1wcmBJjoNn7Zt/beNJOqwXLfJ9LYdbnUJZanAjiUUlP6Tls8tCwx79mS3ylXEM5y
oOiniAUfM8gVVSM9a+j7r14WOfJTmTT48YECSCMhC2eWvGEDtfxwPY2xedS6pcaImhlrxDpZPCGq
xjw/JbVjV6w4xTRvqxS4X7ORiIa1CfJeqVwnZCOiYnsvTDz+7Y/a8L99v3+Bf/6p2vil7/c5LZ8e
n9TXn1t/3//I33ELKPxc36JHB7SVTs9aNP+QBZrOX6ZFGw9BM8NDm0bQv2WBZJL9xdYGfLi5qq9Q
IlO8/a0L1MjrWD0Kuu/oQAYRzFn/pPeHTvRFaQTVfe0vwOCFzYZEhZ7Dy9Ko9Ql8EaNiakh/eDjM
9YDM7EPcVGMXXU7Lkmn7RAI8u6R/juvdsOqzKwx5C9aCNxTMVmBh2oYalBFhEDGYOxJgJs9pMzhh
BTJn2ECcej97/j2q67PXmdO+Yx66b/F8Cy9ij02WGDHVxPOe8ceNB9WQ+DkI59mu7DoEZHXrQTze
DQM4M115GxnpiXbjZ3GNS8NrGZLiKK+gMQ3FcUZsdZAuum1m8dUx4+cfGv6TDw1hZMNWWbV/xgTo
7s3INoIqQla92jRZnOEDFXR1wtpuHgitfhqc5Gy55Q23VA/GgaDnws+j1XJXknITjWcOej1kxg4v
7g3+hqsW18PGShPc16Ca0UlhjG33S2JG6Tdr0pGzlHGCtbKrCTG3YRkcKeO6/iT13L1IB8N5BN2y
DrKAykw6Agoo0kfFYHzfA4NhzuyLbVWiJkqIpCV2jbTmwRm8nTTmaifRgYXKGkmFM9N0Ny3jc+n3
6qYx5+ZdSzRVoJeZuHJt5QK4WRCX+xWVdxd9JKQTWUTTZHBaascNtDqJ4Ml314vom2OvWdPR0Amt
YILXsbWFFaJpcKOGKW83htXHx0zrh7CtYuN2RPhZw4ur+mepjGWnmJw/LOVon2c3sT4X6C/3fPMx
cXP9jn4/gMMc0l7fEi/L3hWWCYmXduTCWLDJCPOci6FXBCqSDsf6G8ldzva7DXSl5gNCHdRPfYbk
csPijvOuGZdbRRzTCpvqTjNAu5vSTxiyNTJFKzBgAE+a/IzbVg/03rH3cTFwDYFFdBuSl7znGqHM
g5+BZ82RGmyWZjIJQLMybI/g2MulJhCSHOogLvP6lMSmPIvINY6WAFvTctZXfuqj5kGQA5Wi6UW5
nUiI3Q2JYV+oGoGVmwmjCwFVgSovZsfYI2isH2eFbX4me3zfDousAxNJ0cFqfXRuVtZTIguJVExE
8YUl++VoJq3iufbzc93NlGFJulATjgkJV6P1nIzakzGLvVeRGxdkpFDdicKowroX0z4aavHIlK/9
qNmJ/YEHZ+FJgaTVOfl0Yxs1w0m0YUT+9d1zvNjaSc/i8b3Mca4C1bmvSgCjTkUMV60zkdeTqQjU
MibosAwCkiOgeQ15ZFs2CXLnxLq2hdxm9IGud+sw3Eq8b61q270QlX3GWHYTlzA6zKpKbypnwvKu
vZNrMSjL+tBpTnkFkffU9KW8QCF96FVbffAWs9nzGFxhYvyQieqxNqkhsZETWNdnbGKb9YKNn2dT
aOCW4veo5p4WAuyCIbPlPmkpqjfCyj8YGjR9xFnGlS8NkGy2e0ezl9FfpQ8HU9qH0Ssf8wj6iokQ
4moqCgs25vKMW2N8AmP7Lo/EbV3X+2Y2ypBtduhH8btkQV+FsAJ9E9ToGd1U/DCPHpY5SSmmlTu/
r5zAq+W2czvmlPreceU33FXxudadB6MYnxF8xmz8VbSdiviJRtY7ZCPJ55T05KDGXxws5pR8jdzm
Peqiq64uW2x4GKhTY7d0OgwPqrSOwPdySo9uoj1oo/KuTVtjzpu292Psb9zUZhPQEVkCUjTx2pOF
NWJXVfpJG6pmRwPowvXJsezQdfRWs4PqA+aO2Ka887xNi8r5g9ub3R5JGUsjY/r0dmod5xtTy2Kn
efEHy44ofOgQ+URh7hIVVYB3xFXcM1qeKwRQ3uKQdukpZ2sbUKsrqsLtMvhbv/xiEye3s9i7bFgz
Lv15qAPSMovT7NbmqbTNKxEnHtQEP2JzLZYDitMLSpyFPMDiORPTV2zWe0czZ4bgyaXI2lOaZVUw
2VqD+SN5JlXhtLQxVCt08LqkPLSnbepHl1bdSgSifFN66X2NInfdkrk3lMC3yKfO7EnY/4ym+TBo
vE9DmuGu87rDlBiICxLzRpnWVhfqumCm9C2PEe+tumVEkaioaqldZSlfz8xFpebxF+wWcgxgh9V7
j4A7WBIQK3obyRPyI3QsY0XS2uKds2kciRFZPuIdbKA5sJcPQLTw0eq7D0mLEX+2ls9DZ8AzQmT6
1S+64r1Ar7azJH92Y9akmXdZ3+8Ns4Q8JwX8aUkXOCpy+WXpxiWsOVNKQq3dg1fyUdKMKsnOCgWj
uBk8st+bZUFGnNi9UDvTE9FVPS9TAn4idYxNW6jiaejH9EPT8s9Q6lUx4JCGu3YY5jrbUbrfDElU
b7VBkHaEknQzQNtiQKNXJ7Mg9A9d0biF4oXwwcwvyp4seXuJtDAXdrpxHczv3Gzniq3p3tR44eCg
wLQx23znzpLtRj9Nj61ORHmY9ZYOa438xiDuWhRG7tyY06nrKYLDMe0gK4DoysQprQFCbM3SBdMR
AArUmuspS00oRcu2bNpmoxSOfdRtwzaNSMFDbJwO9aMzwLySsMNEHfJlQb6Zf9JbCAYJaCE4GPY9
jbP+yIW51kkD99ohFAD7YbW0WwVTKRriq8jOQ1FAqUlSvgDQfUcdwKBxBlPx1IzzBUNQGjyTftNk
c72hF3GNvlBtyNyBzxQh+F7GlnNsgYKSmvrN1xFIE0CUB65RTSG3EIgbdACYOTPgnLYoHjN3tqEh
uf7GrgskrxM6YAn4uzJvZbW+mxDsWVXqYuco7Wmup+ydW3dyjzLmoa6JNR06EW9Mp4ohigHGmGv3
Y9rOl0kR9QcBECqo0fBtCg27YwS7ZhsVPKXIMUWg8nkJI2cej7mfkuWV6mSW6k5Eu8aO1WWukdZp
0NiC3ybz/UiO/Ubvqk/IgpmFeAq+F824NN02qo8uatuPrmxZFOCZtOxOteVyHkfRfxg957OHGGXX
Evx7MY/9t7bMd23LT9F5JLVSMc9JTPdz1oGwEpmNXAiSXcdWDw2RhJzrLTxGfmi70z1y13ZXqDze
yriFoDT3Z6G5D45drgiOObstS154WesRj0ANv9YlNh4ZS/o0tFF6msuWtALX65pNm8vxsc3oouE5
pLjp8y0ftqaaty5j38KH8YOWJHA8bqrWo5vaw6UcSG6MuR84c6Ahbk015cQhVwBO2xujpZrGj1eU
fG1sVGXI/frJAlQ3G5Mc6VZAV9jkPfSohXZXPflI9BKyShFEPsSwFoetlmiWDIk80xCUahWSuRHd
QXz04DPd6MRy6BvycqGRlPqSFtdaPFvG547G8LFF0oRgSyIUqO+SrMt0wCNlnlwZja6ndP7s2fsK
v0hNGGzJ82hOgrDjft/mnfpS97E3aiEBkpkgPRnpwL0u3fjbZMQW7ZeJJGRaGAnIrKCITZpw1kDI
QigHs2tOHTpBylJ0AedK15P2qen9QYWTRqDOYUkX4LdkgC/px4bi9tS4A/0OjfUsmCyGp4coszpE
9519khEsuKGYpuHcyTFyttXcqeizywHOqe5PfgwDdhzlFSOlvDvLPEluOwJRQrvq021nq2o4z/OY
TqeBETCkY4g8BzPRnPoYk2vOGQ92yme/rmhqLxzi0ffmvB03IO1gNLqtm6sLg24C3CY6pOYVpg0y
sBtTk+PR0qPyVqDkfCKZNdb5+hl+Q8vHzYatNbdI1Ipl7sBbDPYCWnVNjTavCZuNkyMdDJ4yNTU+
3y6AWp+rWWO3X7t+qiFawo1wmAf8ug8q7jTvVEnXZT2qsJiGFqOkHPlzl8nmEE9y0t7npOGpTTm1
fve+St1W3Btex4Jt0a3Xd3qBi3HPO4aQKXAHNWDfTGuYJ1AT6RY2qPM1umwStVaFla6iBOhj95IW
VWqdJsNMim2M6rRAFpe7VMGsHPKLNfaKr0+iAXWKism5yC2gKOzzRHxn95Xx2Pssv0FdRfKjj/q/
DPk0lOoQyei93hu6G6IUpDGpnKU7EN28GF98a/S7vT7N+hhvoBOxZQEcPMxnwiTrK63nI7jnFXPV
qe4jD6OBr2UAaKU/3mldr2OnziDpX+utavjYljPbYytLKQn6Bs2brQEdmkk9ockTPdSl775P9bw8
pkXpbPr1myO7tGQ3CwhJjlMekkAvtsyipwNSM7Z3pjkc/cWiQ9nq+bWpy3FTKJqfgWyi0gt63Ww/
CTRl1+S625+iJPnIvonn0xhIpQeahkrX5OXDNCzKBzW62TsjJToCQZxWUGJJJgAYxhGtJ/OkPwqo
QzOsYN0KaMX34tBSi9+z4wO4JtvJ605N4Xt6mCzzcG6nyg1is2t3ZGn39AtbIyKWPpK9OI0Cdwze
0jG/daf4sc9N9zKthdy1kSE2g29fLeY4bAtuQBUPl2YGPzNLspuOSQWk3oa0dW+AURoz8iBNOfuG
5aQLvbhGzDkzTdwoDODbFrIeMliT7hndjOFRs+3hh7Tiv92qfxkuSor/7GG9fETf36NL/7ld9f3P
/GhXudZfWLJ91LA8Dcgy1knyj3aV4/7F4HvVK1i0d1CfMWL7W6mmGfpfmB8J6SHAjX8iuP6pXaX/
5ZgOZBScr7ZDzKzzT9pVr2fCpiloexGwwRyaA2FnfdmtWjIGDXnuTaBAPKZprTd9BGOGP78aED4v
iB53UPcZobR9jwa0XrJH0M9sPNvkrXH4y8aZv/4UXK7rWRlMFhFzvPwplZg7CuYUFX4ddweG80tI
5shAw4Flje9o0t/khAY8t5P9Vo7hK/UDQ0xEFoi51hvhMZB+pdJxW2hcnbXUeMqTO783aAFU01da
Rzuqlrcc5q/G0evBVh4C0bC0Iy1M9C/Ps5ml62g5XyPCJudwToZHq9HyN/Qcvz8IluE1uhhNzKuD
JGMlY1waTUg6uHHU6mwkIduyPvz0sP9GR7g+HT/NvAkb4O/nTiGYpHWK0vHVqWCzwxcw9Axp6huH
oiGY4vZWeMvX2FgYdDQg6MtrGlXbPx/XfjV/Xg8MJ8VCqUIDEpf++u9/0iHVriCSrncH7KS1xlIJ
zH7e5cpv7yM/t/tdZDIR26S1/sinb7kEdCxu6ZLlFnvBOiohYJYZlTSweSauAFTmWRPMPkox3afW
SMPUNjUd5U1paBiBWnO0oZkTVu53E0pgfFy3iUS6ooYRzKfM3Tw6ttW8XM2T45lHc1gKbFtmtwLz
sPx4NDxjXxzhGTG+shBDMtAqU/jhmXUnuWTxwZLDSuHoB8/YMsmgirOarhLBvDoQgjeu3i93Dd0N
4lii4hDQGt/XhJ8vntPUWg4+PSyrLr/U9Aj0diq8N47yyzu14j9IvUNoh1gK3efLW9SnU1caPehL
haw8FL0ko16PJoBOQJbApFabP5/VKz0Rj8R3msmq/GTBdV6DelwNp+OQyD6kM8+dGyAGElRvh3GT
6ThZaodpP0TAPx/0NycJkNxi9QaKASzilexO0DPCCh31oZcP1x2Tp0OfYMlSlriu5rR44xR/eanX
z4ijo0hiFM6n45XqYuHhYIRFRoGXZMOmpCkcDmJ6S/z0Sr7s8yYzLOHesQaDwkDo8erOGQ1SFRau
UDl59RmJksnkwYdES2Rt6tPqaS60gf1GuIB7LUkz88pdldpyCEzP9G6pwp13uGR8/8fp/7fK+Ncq
Vv7PRcbmsfn6v+6+yi8vhmLrn/lRZKwjLJd1npkY4JdV4sqn80eVoTEVQ6lJpDEBui6PDH/o/7Ay
vL+QhMKcMleVr46I599FhmH/RbmyasRAsJkeFs5/UmN8V5P/z1eC15HEpbVeYfJGziIJUy+fp7h0
TeUgiYYlrznHnK0/rP5OuJ9YiOwTTSLrczPPzGQKidawSdp+k4rcsnarQOyxNrITBn32WJpGqMSU
FR2UxEIv3rlNbz/afm2eB59GSeCnygflvZjs13Fn+g+RMDQSH3KVhvlcl/ciUsMFkRLk7tD4bUek
eQdpCO1+aIkTYv4/70lLcZ4y3dYebdDuETJvtSWeZ9k47mIFRUHmGcuPCnPXTD/+dFN/8zH9/tF6
cZ3wCqAe481awUyUBi+vE778os0r6xuYH/OjBVR50xXtpPbOgJrWjknYDCqjTA6xU9GvStzh2ZkF
iUIFkuc6IKJ1+qAxWNSDzDPHO6hOJVb1EbxlpiHYQP1S0AbRAcH3ZD1EbH6GdFvl9nLx/3AeHj4L
VKvkmgn31TJljV3sOar+1q5ezDKKviYoN/dFkw1B4Wp8+uL6i2wme+NVsbWPx8R9L0ricXoKQNrY
DfHYfWw8RUU0niKntwNR6uCklXkkqEGe82q0ry04/ccY8NsbzKqXC/r66UAdSUKjudLeqERfTW8l
iDWL/ty3qozKiwoZ/oUfxz2qpNG8WD1S4Z+v1XfB9Mt7zrSaspt7uoKbvhPJfvoWL6pIZ2F6Xwer
AA7gfEzY7G2dJusPVFbFOVLslIc6hQ0NqGTKpnL35x+wul5+KuHWE2ZUzaCaOs5zAY+9ulnYJCYg
LzV9fsa1SI2dEtMssSpfakKavhFA0uokTY1HV+uddNuO+vzE2CBpNrByGcgYhPKBki79i2Iy3zmV
h12O6qdFpTIW2yWfPbDHOnv4YCHO4DxSsFZbonC0uzrVtqNLGPMutvqkD2JpvV8Q2A2HspDxfVVV
8Xst8pnwDiTanP982t/VxS+u+2rQIWMe3BuVuPP6U2pbqo6TpH+2Rjm2QW2682nWPPUgp1bRbUKv
t6utVP+W6JM5BnY02etaEEG/9gsX438CcnvCmmcg7K/nq6GvMvDQczPc02Xtr5K1obSbHP/G9Tvn
boKIwLAYLFmSkO3CMlQfqyaRl0TpMO3x/Rtc+N4PCcl/jNX75VFG5ssT7PESwtJDqvlyOeHlqONR
Ok9NCw3CiYplW+R00ozYYH6U4Zj/8yW1fnc8DmmwgFGDOa/JYG1GtUlrjfGFmHAgxM52hvAfou4p
s+NQCvPRyoV3GLXlnPSkwdEE6d6byKNkYI6sR7hZx4u6oXcZegL5WWdUeRxK29b2BRq6o6b7LWFs
HoPuzZCLFDi22d2k4BNuqTtMLYDbpW6NiaG35/ZnI9I91JGeJQmnpPEiNWu0AkfIk7DS4dvqinrn
uCMmyUyKt6JeX+5leatQ0AMxYVsPwRQu8Fqs/vRal3YK7rhcnhUZBGEeS3JHuGKEr8jkDGUi6Pi6
vHH9+ca/fJHXQ7qIf1nCAFW+tgskaer15Cw8Q5Xwj4JYo9Bk3xw6DFbfWrR+WTN4Z1gkuc30Jnh5
/jd757YctZJu63dZ95ohpaSUFLH3ulCdXAUGG9tgc6PANuh8SKXOT78/Qe/VuGDh4L6jI2ZETyaW
S6VD5j/G+MbZp+NVXRroxE/4XO5lWzOMbTpdPFg0EGRLQKxXxuNC7sP1xzD1veJz2mb55QzheXrl
V4Hadf6pv19wWHcIpwNsO/tV8qBktS+Cx9qZzAfkEVKjfeC0VyJDjAmnoYEhQq+Pd5dFI/M6w4mh
oVCScC8YsCLujuo9XgaacC2zX7hKp+qrizzmhwXCYYdCGfUXg2oQxb22rd5gPrGbkAbajCQ2oiaH
LL3XFuDrcu3sq2R/traSo+yD8z3f3Zop0P3CkPT+MQoJJR1oz6bGsN5yq78f5q6rQ7g6rHKIE1u7
hrvn69T6uIdS3OnM/4jBq9Zivd6kkGWWeupoxkhSf+tWVvVlTGNoXqAP1p7IBSdlsogb0uP6XR7P
zv0y2cNHVUeUbxn9QGsSCZ5Ipdd50tVQw2d29GFa+5wAWng9nHZRXV0IZsEPRWMIZ9cYxk2BGfhk
LMJ9A1+rf4s1vST6Q7MQllQ3oxYvtpzsmp1HB8avHNzXWMji1ysUCy/ZRjJlINO4Nl7ef0zA9ahj
8aUVifngsFmpNlbiYAcyk5K9ta6QOrcWpYdvYLpMRy+ZDNpHs+KUYR4GVolLSWGmxrlTFp880bkf
kNA1YBCozpsGtR9UQSz7N8EU93FodLq+/v40/c9e57/Ybvz0YvnF//fuS5k+pl9+nqd+/xs/tjqr
yQ9QM+FeBj8sXNbJ6I+djmX9wwCArxojn+UATGHX+j/zVPlPwLPYwtuHc2SFS/3PVscQPn+2plKZ
qbJJWsm7//1/Xrxj9dn//5nW9/LOJeRnr/9jC0bIBnuidz4QE/zSJOS4admoX+up+4yqUe9k7otX
Fm6kPl88JTgWVkPmiAxYeMGQLTm7xuGUkf2k8gHgf+sz8BjVnlELJS1FydXcVdHkhm4BC1g5vXxn
DvQ4NHIabzyCF1+azq7e1eYYrz0M5dEv3fxicDyQE4I3U5GIr8i0zkXTMBCrA/uke21cpb3oUHUD
cZUXkfNgg7K+YeOE99tAeJ3cYKfd4evc0n1ECMR+Sg0LQ28UsxGjtJH+NroxJWJgHHYpEIzQMfxU
bqJBDu912V0NQnVfIzvK25AFxqPvJvqQBg5+JL3mvabsxPbL3kQ1M7zN4oGBgL7jUJPZV8+zT9KE
ULi9KYe2oWsP1famVd6cbRsC4TiT58jToSy7+OsS58u0tac43SdC19vcdlGIwrQEDN92N6URGLm1
80ow8eZNkEg7sfyLmsqwCG24d51CnczAEEu3H6Ya283JQ+4a72dRkJlNRjxeYTAyHXvf8ni/GkDD
PRVT7PV8RywMNoVZ2V/0hMdrF5s9xDLfyRLMBN2MI0l3xkMQzRKGWFQ/97JOP1j9HPgb+AQMIQeL
kesmG2f3c7coGRwLagx4qCaCc26NhJNPbmJ793NdBUYIGWQZwmo0kVgNBjao83SyLABm7nQ9gsUd
W5nKk7NohUMdYBjBE+RKFihB5yN8WWZKHxB+l5Oh8xlbTTFwucWq9IJT3fDwDTHB5lCNih47ID4+
SlkCDlxvq9ZVigQMOL59o+Lk5PVY2QBf8BoOaZ6tPgJ9gePMZ+huM+gXQegw/zdpeuvlN7Tjeqb8
cCg4WjdSz2P5CfgxYuo8wq2FiRsMTC2ckJofZK469+xPmjYFvGgWVs6wLyvj6wAkowS5U4hnhlfG
cqC2K/jU2R5RmlwECeSXjNDoBhXOoAgqaYPTMqaECkvPIc1k4zvR2DDWK7e2Rf2Ulahsjhnha8q0
P6m9N3qlAgZXW+t/3annJZfkmAcvyvHnVB6yyZgXfbsV5I6H/dAGcxdf626ceS7wUJob/TVvqXHe
ml0yPjiFQWtWVRrTiVwt1hkKTwMV+loyK02MwlK7irFmclI42OsLD0Hmi8zs/H5ukxZAqG1NgLGt
gZOD18RUOz/XmEb8KMeLa8iUuUcbefG17Wb+E9dE6hybtS9wg00u5yni0c/KA2OaH9vESJxdJ3IB
a8+p2nSXw3QiRdDKkqm+adwgReb+lkyq836xnDnlFiWgs3GyaRGHoOaagSkTj9d0SUkvTFNJ6y5Q
QZP4umN3Hykh6+90VQnvCIOnW8shfVeHGqDOEFJtkZKnH2t4u5Opv1bSatJwTkE4V1XQzxddOUhk
25qqxp1tImxemfRhPHu2pkorqQeE8wRxGwQIpo+rGKftvTlhFrq3s8B+niy3f6LitPhAwRmlx/UI
BAkT2YDxk6BTxI5uKGNnr1w7ITMSemzJRbk69qS+ippxkai+faJ2llumy0Xdx+0H2KL+igRgIBLm
QRN/y+0yTndZaTjNaWlVg38ogrG4azvWjjuznOr+venMCCZMPjClDlXE+N9nY5LsERZaSs1GlWAT
gxApCMXSAHhUtsVFMSQpPo2gc2u1tbIM/1zBSGkzimA4xLhGTBBh1XojCceM385qTq3QC8ZZ7pbK
REpYWNkYt8Ju46eVoCRC6ftA8+QUDG/ytKQ2tY7t8d5PqQS8sPDckM/xlyjfpIIJE5GPUvufdO7i
6MWoL9+6/ZoSTvhlKbYyi+HjKjxhrzZppb0sAreMP9dUY3Zf8YVW5TeseMv0yOoyg3dGqtiFomlZ
Y/shyCbHv9Y1KpK7uqOoD8DBQiE5zdiNOd5QIhOn7+YqZRkZjl7EKq4qtcg6trZJNTQb8PVEXcjS
1oZ96DGtje85z3i+S9+oKeU15YCZ1ebnRxdJauT9G1o/HT7S5DDWwykh4sj+lhk5hvTOlpI8t+4G
GE74sdzZ29fKNkbyWTP+Wtz1vbWoLTUf0bqo9JS+GwNz1mxK6RvzP3rzvPInmjhTHxrljDa0RSGW
C/pAa4gz2l6702w18CjpIvg3DmG09BSnViMvXLovvCsDZBs2kVHUvEN50fb3pZXk9cGkAtzGepzl
dIpEqcMdpdiObiQx14poOmFH50OuuTsuaMzo2TazeWY8WM65BQ2TgU3wadYSl3jVBkwFtk3dquxp
GTrR3TY9aN9LtjRTeem6jUVDeenMUBunET8JZVt8oYdoALZ4Z+ZiGbaBiVX6IIjelPz27FF2Of6w
9zjKbcBeYCGTS56/4/i1WzDMb4c8Lt3rMTfttySkUvfNuCj6yXSe2IIzJKfqQx7giDklSSSfcNrE
8xbpDs8OjLbK23ZQHPurfrbFo2uNcf+tncmsf3Ecq+wvnb5Q8dtaMv085rR+IvvUZkAoc+QxalKl
Xs1KHrhUoJ3ugBW0s4sNE1/2yVzm58ktHZJoFGMFkCHeScNgucAqpRRbxjoBJVmkuy76gqqOTVbq
wtnWc0rIDRcXVbgZK47IjS9cZ7rNGHE9jLliWxyVbrNjspbuCKsX71gzTN9cKrR26zwxC7k69d6p
zIU72Z8pgp2q94QKk73oQSdumgFymWXQFT0Mozo6xLUPk2nP5CwULWoEGfEq1cvHirInK+wtZBq/
w2QnNPij2e3SKowdSqsqa/IPrSAhJ9Ng3Aa++w5QcYi327uwGxsTlaVpbtfeczPnw0XSwQf2TJ4k
eRw1e4XZap910/PSY1XCcyZwP+YQ2Ma6/6TI3WGqycdN5lGu10onu6/GBNhnXgL45LNS4UWvO12e
ugDntE7necmJmUUmxFda3zxP7WXmXjg41XaMKLt5qwEpckE3pg0BkdolQJBBsTe9xXgiIfDIZaKv
JscycMx5kEORUy9bux+xARmCTIVftLvE7pcrqgTpJJ5lc1JSuQfL7Yyn2GGim0zdVhl5uS0X23gf
ScDajVL5KfPm9maQfR1vUq/HvBdTj3zwdfKtrxzMp3ZAZsGsnGxL0pRCu6k1NsIpPhLgJaIA7w3n
12h+aCJj2HoOAz3crWsotCpvmmgCMWn56rIjAX6sKPTeLyVWK/pg8HTjdOZxyvKpq7H6zZorxjYd
7NSyMNO3Vidupi6Id8ALm60dY/qNjKbaKd2SoZiq+J6bt2Xj33cPpqgQvo1JXE6t23yr6jm6jmaN
x9sm9oxUe5UE1R0lleQScGxdFF30zZnd8mIMcEqzMqZrtErblcXbY6Y2549FNFHOmwTOZ5clLlI2
G2b62GLW72bRjVt/4aamUdyXX3pqa6/side6F2j3UvLiPKCgfPSmtnxAFuT9kff2qaBunEeVqp9V
IIhl6K4+iaUojlVS3ASKbGVCRSN9EREw3IVAOY2fTAChdjnGuIE7fRekCsOc0yT1V6uuZLazM4z/
CO7psXZEtBW9W1PrHY/ULOk8WB/yNlTTZs3WsLfPc267rPu6EPJd68oNBtssT7Hc3Ge567HHKdyt
QdXj0WWYSeeiPZo70c39t4x5d/wfXTPt5uPz//0vYbMB/t+Fzdsv1fKlOtvsr3/lx2bfMf9hO24z
nGdPidPEZeL8r6xf8A/eDzw0VFBZVAGs6Pb/v9k3/1mtUfy7gAoHpHIEjn/v9tcpgWQsjrgtBKYf
dIGz3f2fdvsvh4/+D7AVUweMFOhcuLHYof805R3SXLACYH/Qx6DfdllUkiRT1fQanOV8qkDE9zvM
jFwh2vwvk/U5kDMsYVzgKZ4/tuj22D+hL9SfhCfH7U/fwG9UyF8/E3AkTraHXOsAnjkT/3PR8pCr
xwwPZ1Jse/qLga/0xSsa4UutYD1z8GRMeD0IwgQ5z7WJRJPyMgNegSmU9WsXzGMfBiJN3uf+kqDk
arN85XP9cg5XAhIXzHqxMLj+TrT46bvKhaNpP+T1njkatQkk0wT9POORm2bxdPHnk/jawc5OooJn
yQpI56Gy/Hk6FKK27/Chm+lW4fZ5ZRL0yzeG/WnVWRnE8+rG1/PyKkw6ALy9S6bCbpRxnTVeRYuB
275ylN98JOgxSAyoCzAA/PXPfzp/VjnLTiQAX/1mztgp2N2hBei/0YRqfzwPXwzVfh6i/e4DwTGB
1uUhIhPXPTtUWtj9PI3s37rGOrp8mA039Hj483f0u6NQFEStFV05XOpnN29R9lQSESrFI+xYBza4
xYaK5uwVPfm77PJvoZErnW8HkRF9FTeFxAHx8sMIwyuhDuZrOysl8ttWT5Ksgg9VujuU7tCjMVA6
pS9Z7KkvcWtk89u15c46TMjnrDqXsm1vBblhomgaLMo+mvqIWORQFZcz5QQDprGot8KhRqjedFMn
3QObF2LCcLtZHkSeydgeq1D8bdSpHW07fI4FxYpZ8EUWnprDpbLTZVO5pWYTZip1TNMF+jbdBt4D
60eGG38+8esnPj8jXKgmXzBGz+BcsuFpEOuEDntad3MCnu4sIXt70Fdrmpg/oEsATO16Yv+TSTTS
NdLgb5lsULxADuH1hNS4XmAvv5JOD6gGeJtWP4ofCtguoWmPxitX8W9umNXxC4ZyxRGiUr08SgzP
Y/BMJqq96vG0DoghdmcOW2q+5NOfz+gvT1MeafjCmIuvYu8v9tUMj2BKw0NBSqitnr1pnYBUIM+b
ULZ2elO5VF28wkH8zd3jMJiESsbmCovf2Tk0minFC8YhLYs3Uo+pb5+m/vzKa+L8KPiVHAdnMval
1UJ4LjSmNrMn22KS0zaGlW97N9UTaIdx8Ld/PoO/HghDHW+F9YUk1svi5ZeFg1PXiQFNN7NkcrIW
oPaeo6ebvz+KFOuCAd4Zl976Pf70DK1pXksSg9IzP5jssO+bbGv7ZBr++ijfzbFofUDMuAJfHqUc
LUIeAg7APMryTV1LsEt0Zl39+SjrF/zzXSwsLGO8bvBs46Ow3LMzlgFrV3FKfW2gl+Y6tcpya/Ri
frbKZ9GzC6sSsfvzERFjzo/Jms1HxsGVxhHlOTKummTsjhC2mUK1htxos6oI/jHr7Xd+Y6XV0e8D
+ckZBpo4RKTIdfKk6ShacQXkgLLpndAyC+ZazNC6fjeYlva3CpCMwS5S9eUuxRfi7/SYdcRl+nJ+
1IEFIcEqRVtucvAw35hXsPUfJHbWrQ8JO9tLe8mmMEDKbLd0K8TFyQV+zTatycASW/bi02ueCeM9
HHPqvavFc/AT2fZ445JG+RxrvqA9/BWxhrUiJtZTYI8XragkJRBdW9LSabRRu0OqBotpMYCEKI9f
ZYM3CPDd3FAJzth7oDRl4qVpwjCxFN3SUZHcF76SZPGCBpSC4yssRIWy2n6n/aSc2Jha9RzOYowB
drdMF09LH4/Bhpyu9D4Xk4VCXg9+Y+4p0XYV5JYk2fdp1JqX/uJ4j3CiDHUXmL3v0d8B2cgmXlh5
NY5oq8qcYhtXkoppaMmgkZSLF+OTSLDO8BsSjeK9V4FUSWkhaQ4JCW1U4WIabxdeROXGKSXtI3KA
GwSMZ6RSiD2d78O6aZgibwEETd5FrO2k2gRNZT/ZXATF1vAH+QgpPhk/GnUZffHqYYETRUyPnK/r
zx+I7hjPU255EJvKUt0C4HWMx0aay63DkiTddFr55UUtrZEKEXeIj0020qmCQlMuu9YIlHEH4YNZ
uG+k1n0ndfLZmBty4mCsmwcVV2k0MDf0dLzNxtFjnylyGDmqIsIIS6IcnQ3CT+wz80gKtGTBeMU+
5cM8ZHunN4bPXTWYzWcvLztnZwwOIHeIV0zd+qWx570hC2rolB6odzcQuIFg6CVilpKNmSBwhacx
DEzD+0w3i6ZTlkYPBupJzHW+Oio/FGaC4lZlUnXPTkqs+40uI9s4+ljhyUmbBV43IzC7gt7vfLni
vFPJjOZqmU/MOIruDuVB6wtISxTxicaoqDuPZu+eGg7EsXhoMuSzObWPFf1CxmMVFGo4lnOUO2FW
Dkw64Kzm9oZQZwmskzSg902WZplzzmwne9Ie2XuKcczMo7IRA9bJD1SXvVV9H1sgSBjhPqIFlhnD
X9rLFaQzmSwXLnd886zMhokXy8VWUqq0TEyIpZU213MwJhUqIf6zNUUv3HBwE7ff5taKEqt6pwU/
p3pHbxVx0ztLxI6irrIpAcJOMDhCcvFeTIVI6mDxwjdPAN1p0vKSgbPQlxhv8rLawZ1dYUD6BxpI
/wAF1SQQuMaD7wyh9AdP6DtbiEAF49CYrR6NFx34oXkFEZWZN/VXPHISvRcIyMCKqh/oIjigcIz0
D6hR+y/GkfiBPJp+AJBW7Bg4pMzPYSNNKyZp+E5MssAtLVAoPMrR42C3LLkax3AQ9LzTEinLeAIz
txRf6D/BwubRaDLtmkYEt0FMcTcU2X6CATF36uPkD8w0AWuBf1hqu6j29VgMVjg6ss03bekYNCiz
TWCcbdiYzBy3ZaUaJC2hB00WdqQrnu3ChdGt+K2+KGT/PC7tXGzsQfX6TZevpPeKVap5mCEzRZdO
zDp11+RkuzeNwruxTZdSgaoasOheTFjt0p1JgdQ7Y6p5Zbv26I67rItRS1JfexVJVr8pN2L14xeM
eput6ix++4xVyxQ2OitvOkx64wdTxmxjcL2o6SDdCOpcL5yO5zSt83AFmsa8RgxeolNDxJumHLOJ
rzJZlO/ZkRsVq+koveFnSLgq/cQ8N6fpA6JI4fNstmYQNWg7cgSklfmJdQQsMcGPb2r/hjMlyCAb
Y3lfz7EX0fQki6+dUh4gSWj97FSXCK8bD52KHG/tR4+EpGZ4buwkbBRMT4IkHIzm0RA9ymcHWvjW
BtHW76d0UOaRsCalDZFrDJcG6XRx6HSKQJ1DT1tvlpLJqsdT5WPnrTFNM2vFLUlN9pCNNSRD2KqY
rQTVOI61W+ZFfml4dTYUFogUdYpWss9lTTtBuNiWOgZkV1UoNDuh0DN6ntaeZS0fDYw69l5gnRk3
qexGeEeey+DWrJpLJ/MA6ra92Zu7RUTE/BNTxQjhjW/nG8aGmg8JsOeuz7TrbpA3wF2bU+0kX9Oa
e+SOX5PAcAs8ouACwr96vySMfN90pen1b1LdlWuvvKeKXd/2FTjrSiTRZ4e/1m8trbzmaGmkhA2M
xIXZuMT/vRmSlauQKZqqbvrJcZMdcp4PZ6MVY71BNMnNS50jEGzTQdr+pkZA1lyg2LVOflHVxO4b
CpN2tVBGfwiYqJi08aTRcpyzIBjeVnltZ298HjzpbhLOnO3qKEDSd0WaOyb6o5uPx7Llnbz3AhS8
j70Jm3enOsE/Ceq70bsG2RCDuJ1Xrfk20GCbeIdXk/av3Ri72mOU1AxEKZDpu0MFdo2SGd4OADZ5
MKcXi4ZOyCy2ESJcGcMIioFK7loG/opvlaqxzaJ9KBMFJSqreTQwig22sZRH6pjMXbjMHb4n5Uhy
5kbauvqUFQ1vI68TTLKTPsXP6VL8xAuVtZN9m5p2b8MArQhVATYU1kWFK4NxtzEsWDaE24tjNpqY
8InGoQgpOCEHv7aBraWK3eCukjnvMDbJNWsYeBPDyQ2wRYfpxKJsJjS+bJIqGN0QQIb1rk3dKNsN
LFuQrhbeW4c+r7OU9LZXf5t5zPobP03iO88yWq5JnhTRG9/2Wrnn3oezZ5gN42PedMFlPEjaQhSD
IrWBYhE5xIhkdpeYFqLeYmtk665AvNuBI13Pb6GMj2W5cI/4RYEbIHOxEGAViDH/FqnhHpy2U29x
mlD7HiTzYO/qcbL7zeDa88deD8Z7rZQvgWK0GCH40swQGHtB+4eUkbkb6GtJQSMyNJi+rbXoD5GB
snmLw3gyDmbE+nNjJD7i6RC7bbsbWfp9svPIfUpds6ne5iBPfPzNlb/iUuxpPgFgpTvQqYgg1oju
PSVfaaU3OI/8fOMWiTtu+kYHd1lbYJkoArTTUMNVvc96j+idx6uU9efUinJPlZ3HxCGq7RunLO32
GJMvQkalNNzbFq3Hpt4rC0xAgFKQtjpNigDka8+d7taJe1vIrH50vGjMDiqOFiZMPFFN7B0LIQAo
FdLbkTOZcEtXzHX2Mkazegewz1vJUNRi2X1KiLsqhDotKQxLfBu1dSu7eq0hW/Lqy9B5Feeno75k
y5IH+QYNuhV8HodhXdtSxBOyJ0BHZRpjP/eq9URYpYVThRbcQ/Lefd3ctzhSoFAWC6aGtMqDeZP6
LW09llxcqpDMhFcR2//c21U0LV33kKQw4w49ihqUMCvbFtrC2DFwTaLISO18bHozDjas1oo31C+2
/t7VjVmEnTNA98EDNP9wF/6vE7Yzr/YaHmMkQQrQlJIIkOuf7RFNl8WptZDopRBwLk/0CtDKaHZR
NL+t4zaS+zTpqKCYm8ghhUsVDICTfJmvFvAwrOVzihr3c8rDZJtUxeIefHTiOHRI5NRXBXmiClCU
HvxNwo5t2fuxkYljPGTiAQ9pNewA3qQR/k+IttAcKkAAdi3lA8j5xLvF32Oju1QS3GvfgCwQ2fQx
W+woeD8XqWUeKECK5cGIABlh8XAwThCF64eHP283z4cqjO1IQ7gA0YlVMV2xX26jcTQ0UVxhTfVp
0bozJLaBKMio23VRlu8KZ+5v/3zA84HR9wP6NqNx3wQgvaodP08HBhBrZj5L4EqEm56gwZZbNh2s
k2toRq/MCH5zLIeZ0VpyzSD+l0hWLvErUXxWh25rOjsF6WVPdVt8XGRevbJt/3XTTs8I6W5XEjX1
TXE2KQqqKNW4QJow8pv7IM3ny9lP21fO3a8HIcKCBZKVw6r6eOuf/zRZyVRQKjlMLEwSoKVlJpKr
tmzG45+/od8dhQQjghT3jPTO5zeUkrG1YZMTJqBWLyhGTTcWRoPDn4/yvTz6xWhFrD+fkQruOSKl
3tmF4BKKCVzdginmS6p3mgHyxBLRkvUGloxrbPze1OoqSq1F3OWTYQw3GVs58h2ThTVczLMjqKV1
lTyCyJ69Y2LFubeJvHJ6LQrwuzPiW2SHLBtJzTqPrNkoqg6bac67132wG9w2OE+8V9SU3x6EbBRR
eXQ9ZoIvv1xrCAbRNWCbpWYbwrq2af3t3DRYJv585n+5K1YWA1cpIhuCG56tlwfKqYtRbRfjLZNd
tzfGBB9FqnwaL51R1X97CzI5RW73mNWR1xDnghTVlgyu3KXFtbq0u6UwMBv2/sdW1Ob2zx/rl1Ed
zy9M8K5lOjQgMfB++bGE03opklQfcvFCaZ/r8cjbLHufJjU1XXhCwq4PzL+97deHpjDJMZqrhOOe
nUsK86AN+YgHadlEW/gy9R6rRP3jKP+xySOdcxv8QTrHzKXPlXP+xg/lHJmbFxd+FEp1CEI4HpfE
D+Xcgx6y5nq56HwTvYC32r+Ec5s/IiRmISNwiZiuw9/5FyPXNv9ZFUbSPlZALNJ2xd+o5i/1H49Q
LY9o2zTp4CJcjE3+5eWIzw82A/1YIRds+bnIxuS0OGmwJeQ73IwGQLK5XaYrrzLHN6zP9eGn8/Qb
gfvlTb4enjz0yjwRlkQyPb8wndnuwD44DboMO4W6WvrHVEfTTeclf6eZciju8FXzc7FCBzahhZef
tKRXa9IjM3K7yopb3NhyUxd9tGV6FrzyqX45qWt7kgmii1fsCglYP/VPL0C7rSjZmoIiNF0Aep1l
sErPgwHcXLLgwV445K0c/NLag9wOvpKOme1X3o7Wy+f0+nElJSY8pCng4cIjNf7id9Ap02MT/1qI
wzyrMRQxx9rg5ARc7C+pE4QWO9M9brrlpL25eHBjR8AChlD50S4oxtiDn1meJXNusWOf35SvPN5/
/f14JK3aH2qxBwx0PYc/naN09ik1kFgAKoroLxsjG05GqcpXFN/vnJp/v77X00CUjzWu6ZCqRZU/
e/KpPmvwMNHwlBtMg/HXTjO4L0AhnIxWmA8ewYP3ZY+lnl1XOS4HE/ImczWvdJ7HMmqT65TY0jWL
siHfKLIOxs6PUxzePQvPm0zXHjsyfnS6GYmx71m26Xe4ozo7BBBntMjys7D3c2JjlFUAfZ/+fP+8
XBd7K3YC161LaBldE3GOJ8jPZ5EkSjlzk5Wh6LFRyZyNmOJ2Y0RYjjuNkf0Vocn6zQED93sHEgek
3uTsgDH2z9Gvwc1biXlw3CIPcfZsCeah8eSf/aglg+IeMmZ2Qe08jKY8mX4EsILBh6zYv3MStTG8
crHzMPxJ/vp+FgLOAYlpSrBWV8TLs+DBF2akRoNy0rrAOnmS7cpo/rrQpvlmcgZYBkr/Hf6DY2LK
wd/BTcEdzt1+dn8tQ4K1yMGKGuR+fUywse2rQg9/Vcvz4yikwjkQiite4rOj9Knr60wA8lRFU23s
sSNxI7V85fyd34vrZ+EtgIDMgp2149lLYAYQHGF65yhDEdPY1Uk0Ha/4K5X6+2fhHefzXmMljXx8
dumoYE1TsFcN81R9KRH3PluqdZ7/fEPwlZ9fDMASOQxBftbtiCHrh/3pwYJQRgnN4D61Qc/D3qSG
leqJdAmar9IqGCc2ZvyJBmY449hPDbFd45HkZawhNrYQ8YqR/Lhdi3duuvq5ezP3KEkr3U5faIk/
dDMtXa2OndNBGwY2SucpkO0UEwh6CVTuYVLFG4GtxH4br9WO75xezQ3QDBdmKwkZmvRgz2c9sLys
IpDd4qsh1lCR3VDxgDqMwb7cRn2SXcR5GwQHVa18wIEvRIUzJpV8SyhyeuxcK4cJ3Y1VhSuzzRiL
aQp53jdDbFPc1E7FJyCSQEc7uKn6bZGU/fKht9Vi3kU1gO/D0EPc3o3Q7p8Cti3xvm3LxWfuILPy
wsP2Q5tu2ibDtpqpfmGUB2R329XoTNu1drfcq8b148NMkP6T2RgDHCczirt9GTXu+0q1ubmbW9/v
T9ECvXybV+Cytx1Q3PnSabRKtqMgsLV1U4fRrRNZya0vlx4ehpsE1t7AZ+eHpFmikXmfWPm4dFR5
1APhMA5NWyE5o6q51g7cXh9v9AA+BAnZbPcxAzr7SBSV84PEsRz9nPl3aOrY/FxD+Mx3TepQNN/k
rqH25HRQMuJmPYMuAdNuN0s3vu5wnxOt5Z39bhYAFSmyhA0VZvA5NV/GbOThgpz3MCFKfG1HMBs7
L87yYAd31bprh5aLoHCcD1Y3gz3hh7XJWh4qy11LomU6iGZqoFbn0fIpFwBKL6c6S0gGM5QNoO6j
SMx0v0VHoXkIn4Q/dxQmt3YOt3QgbLi3cpGnWxeBgWSX1Rv3FoPteWc0ihRUU+Dw9e2hfKTVbICq
5TDXv5yxu4F5zuSUvbPqRT2Y01D425IO+PSiTf1MbHH6qefBZly+GgCHC6qCi3kbK/qYNxRZ6yMF
ZVXGiXeracO1NFu7yKGsZzP4OKs2A0heRml2Cfhpbl3b3lT0Cz0yJvYNWse7wAyn0kiojvEmq3jT
WDmivIdaehqNPn9UM28tOtBisOqNdDTDF0jNdFTXBvUkUaV5SafweL/MnqJQSarCaXclnsVHf8oB
3UMIr3GklJMBaMosu3clvEfvSNCxak9ZpObhyiUzwZ1iQgjdkKiKMCWolumrmRWWvfUGOhv2w0y1
9y6uGkETpZuvDvkFr/I7l7LD6VChZnpX/aDFgzRU01xFeo6jO6vTbnpCfY7gpVLgzJiWeN6m1ENF
EVU+CblJx0RCidbG9JCNCKebfJiGGh6yZw17Hejq8xyk47WNFC0gx0ewFXb+qFCdNCNjFGnN1HnX
DI0lEcfmfDkkeUNDQMpEtjgIql3qLaWuODJac/DsC7/q0duD2Ud/i3VevV1cb2IJxDMz2JAz0g6F
DzHtftMSeIBYq9Z/oxqNaC1IqVSbpQf7D3M7qeE+1LiLprF0livh94B9fKGcZzOz17qHaU4TJPQp
+WQVdW2SjsybZ5Qp7xKrZUqlbWPyHu6nIKNhO9AGkjcMEWkpib/Aiy4jEnyE6OuK8u02L7S9nQql
LtKiHbhtYQfgc0e/uEmBtR0NvyU2Ic3CucxxV46hYpQyhrJq4FOkRTYsG1TegKqrom4vsSuzGqJ8
urWPwmyiG8db+MQD6dLngC6nd4azeIpUUj2PmDIKqo/wK/fLIS8CBErbbUZ1RcfPIo+ubJx4U7lj
IDdS0psUlrhfvrQ4Gd6Y1PDQTE308f+xdybLcSPZtv2VspqjDH0zBaJhG+wlUhM3USLR9w44gK9/
C0zdV2IkS7S64ztJK8tSKhABwP34OXuvbUTjmBRfjKkM6m3DarVf0sqwwa0nVrtLA78fIocYhigm
6T6U3mJc4fpPY5z6Ts+wZmFfg1Dq0G4cbOOMd7O0LlxILOeIMsyFHyJobgogePmuAXaLJbNUqsCA
axL4ZGZGDCncz6QbdhgwXnkX+sfZNtzvNZi5Dnh2a4HoL1fdxzhJSS4KWW8xzlHRjqGaYvjOCaYh
mCRuHOiRHpSrfKgBQh3YOWzoBBdYv6u9URJI+ybn0eJSu55HDdCErjRsGgufSbqJ6sWutSH3h9qS
+EwtSa/QtyprlLmVlkW2IZtTdWbHZmIwZ6qxV3W1q13FogyCDfkC9R3dEEbQGbQEHpxiSO9zOfkP
wdSI15Ik8x5zXWvqF5ymJqLr8jmtSCTB79f7Y2KfOtj+vsxUcEFoxj0Sg2SqgKe7qbDATWkxakch
uu5yAMcMQo3HIExzr7l2G1dRMYrRfChEIn18J6X/tMi2AapYVA913tsGo4rExBqnm03LuKRCSugI
d563qxeekUiTFdOJwbgy389q7rT9+oMcLPQ46izpiQ/eJPRkmLQ4rfpBiAgGEECmYN9LvCQl96Ad
AEaAHrQwkY0hGHta0SUzNJ/PDFhGTGi52olF1c82NfD4IvfR4N5FjCV5rQKmcqE3Vm15sBejSjdu
gDUFs1Da2RMGz1kzdhMGy/jaIuNqutNAQBRdRJaP9M5q/t2AydOImUtmlTfzlpmFG8/FZkIT4Z9i
63PoDNSmJVhl5956HRJcX5upZTBbbvs8dd1fkvH/ay79E/DbbzXu3xgM+yGtXr4Tntb334ffSQxv
/90v6Jxh/estBhhTAn0+FnBaDr+gc4b7L6YKdLFptazjhd+6TAaoOh96IZiGAPLkasD4ny4T1Fu0
0pDigIlyovqvOAzvj2cOEksmDavIkvYqaLw3bMzvFXkr5tEQ2VWsayjl3F5aaKBxRu0F/9G2mbTu
AWqCoX3SYfgbzmv9XPTxq9yb/gcwnvcnAV4c4ARNepXEW/JfLkemw0kpK/TXF25avtiFue0F0FEi
Ux5/u0MftLU++mjUkeaqL9VX6NrRR4M3IDyi7a5G9qzzMmtIgSDQZdlhZzRkZLdeEiPbg2u1xLzH
2GFdknb5s2a8++RK1lPVvxsgbz8+TV/sNyb1lsX1vP8RlNHHALKTq7SKE3Z2ptQF7j+b0b+i0Bpw
dyxGtyncynhGwdizWZYtugMjKPKGTcpPzk1CkGToun3TfnKHPngwOL/ZPK/0MNYO6ftrq4Jccyk+
DgA0DRXahV91G3vsygc8+eS8GYxM63PGDUQn/flXWf/i4x+FXQ8EFtNXhOFHDQNn9u2Sfjuu78J8
rnFNP091gLXRnNKzwiiNr9T9uH4R7UPu42Dw509fb/7fPt1bXVH05zwOqe+/dqnbvev0wSGLu+RL
6k7yGbNHsoul+ZlX6f3B/q+bbwMyhCvprgij9Qb89uZZSTK1iyYOIrH0B5/S8ARvrrH/778OMW+B
A7SOfudKlPn9Q8baiWvc2odYkMyIsGt6mGJd30og1Q9//qSPvo7Pe8wsGF/g3walBbJ9mVr51WC4
w33bu+2VRwjOJ82Qj+4O1E6WK4O5IliX919nyCn5sXxeVUYAFaV1ALIg+LFvM5ggn4DvPvo+yKeh
j7BMYEk5ejdrBQVfpPmV3RFaNsok7qIyJgruk+ftw4+hx8oyzvAB/8v7b0S2zewh5+PHypf7rGzi
iz6la/Dne3MEL3971gCGo2PgbWY4eMwuBIkYN7OfXNWpbtJJ8YAL7CrIohEt2u6xskp5RwHr6JsK
8j4rb+aXftQ1puHtXWEgn/vz9XzwpR1Uwp63tkjXlv/7L70Ubu2URKH2supO83jRYd3l0/bPH/K+
G/rXd6bFvo7UVwvxG2z1t/eL0F6rE61xME3m0NkAqISAjK9JkT9PoO3+/FkffCFE9jgV4MrBbdWP
1ix4chTGznRQIifTZCBnRrdi57PtYv1bjtYmzkQ8JrZNODnAwvc/W1bhfkaVfwjm0Twr+7Xq7Jpk
w8NVgy7S4RcJsGJmPWOHoi/pPIJi1badnVkXWNLpV6SFuG+RCUMlASbKURQMiKVl2a0zBNUnK896
MccXyygVBwejVIbRR91Re6D6xo53cM1Ou1pq9MgoXIiSmqn5S6zcJ7rSnds/34YPtg72jX9/pvn+
B5IwKIdM2ofM5Jo402dQTqALnjf+uISJ1QB8AbJIxraBo+2CXq128+cL+Og58CyTqQZ0RQtj6PsL
WOVfKYvKwRNy2o6M5C6nJPmMvHqEnX57stfqidMm43DPfXN//PZk00JtjUrqB+oKy9oOU23S4Sfs
b43wAzSILSB50pq+vxuCmYpmsSrMb53rV1s707V4QzCzC3xUK2mU/fn7H022/ro0Xjr4YMilKFyP
XoTFMNeZjn3gOfY3oqsTmmxp8VwnmQnjtEu/tKjokJP2pDexj0+PU0WbMEnHlP8VBNepmIzXopTq
k2X2SCry68IoZLBiraoX/+jRQEYXqD7QD+SnGWdeUkP+K/JxPOvH3j6pnSm9G7q+fnKrqT7vOpV+
xWvvxYga+tkAvOKZWzfuzNOJcO8zeuXN/Z9/uI8eHLxOVsAz49tscO8fHLcZemZk+kHrnGoPzr4L
s9wfPhlYfLAirvMYKoF12I365/2HxBwa0zweDyWa3hyBt508lHrmhukipL2rYOZ+sl1/tO8A6zX5
RjyqPkb095/YLCMeK6M/TPoAZ5TYFtptmf2t4xR/rZjEBpA9Elg0dLGNS9LIphO84+OdQCT9v9hz
eCUR4jP3xcjqHRV2qFpri3P9oYg1CD9wTXVzKj6pGT78vj6V4zp/czgDHn1f3GRA2RKmjB0NCOUT
Cp50JJoNdWLdpnOn2HrpMFBIkC4WQiuTKGZmmUCY6fRPfvsPNgtUUZzvVts4Rr2j9beTndelGplS
NCLRDRtPzTK8KF9/FjXIkGXZ95712Qb1wVO8gtAtNkB4Ngz83t/uvPHd3qmbg6WYzmjNaqrNUInb
RiBxghindtXATJ7NC3wUTEBYJ63hxpnlFmH8NxDmvzj4/1G9+eH1rAsRjzw5B8cypcXyW3LaqkOw
xN0pj3e1QTzuffKt//4hAfIF9p23CoCR9vsvrVVxp0C7HsrJTB5SPe3vDSTln6xfH3wIkgVUJawO
sM+d42rUmOkrOupQYsL5YSkXB5pDXuWfF6H1St9v2YyPfRvVCkBVJoFH60OlBTVxVeogdWXeNXKR
p0SCkL6XjQ5U0j9/1tGwel2QOZRYXkB/wwZ7fwxBxsucKRh6B68gkSSEjxbfJJOTfrH6aWL0NdH4
N5vMeiCebDidOLl8n0nxAklsXsZ94TQbjYkA2FE5rTZHOef5treYsm0+uc51Xfj9R+HnRpal43aF
iMAFH68bDqmBFplpdTYJK5QKnNVGD8b0nMk/tHGg1WkZ4cktQdAwOeCfcp4x3NGF+y+fgfVKOCfw
hiFKWlVG7x+03JoKnxzZg7vSBChD8w30bf2T+3L8DKwnUgb1kEFZw+hYHZXms48EWcbDQVWrU0ll
6tJFU0nMdfbJxPnN1n30w/p4/sH2rrUCopz3X2foSkbmPAD4M7qbRQNtFPlMps9SFVg7xl6ANWbX
23cquemqMbmmu6+9yKANzhqvXe4/uc3rC/SHqznWWqXkwblmLQ+p3feXbCLVdWuq4VrX1WWLcnrb
xnPyULhAKYd5OWvietzN/mScePihiqgmVW7+5Hav3/9PV3S0mE4w7zLsrIdFaSB2WWx/CgY+N0q5
fSjy1cFEQNQ2zxO8s5DLP1kLjhec9TlACEnipYkjnx7F0d2pUh+BQ3/wSgM3GoYazB/OZ0z94zPC
24ew1CAgJeMJ/vf7DxGj1nbkwVKQSPO2lq7YqXa+NInI4/HuNrOqpk988n/bodePRBzLcu2tTYRj
PX+hVYC3ZXvoe18HTaxM86Ls5+XOh8XIYM9gkE0Xv44pD/z0Fg1Bamw4NNsIk4zaCD552z58CRAw
80pzFPYoS97/AsgM0AoAlM7MODhfxpJmHvRSt4lEpj2yvhmMBA3vlNxq7MoBjfsh9fUdB4PquiYw
9vsnb8H6gx8/c9QtyEyokmD+Hy0xcmTYBmv6IMdZ0zZmnfRPBtoJnxxL28uwhAXqsm7nvt1OtIJS
3DWN+9LEiI3PtCYNgM3a/uiEmhiGfZbO1gS7TDfGM7ts85dPrnV9/o+vlYWZJZHFkDLnaP1g19Dr
qS4PI+EYIEBzm7kZidU+90uBQw6LHNJW1GFsb4n61eX14MTei7UoTr7cydL9ZKf46I1Zj2U+dxOg
8fHuCdoV0PXYHAytXdIIo4raI2oZxv/NI7PqUlesMWXHcWgI4pUqMwHvMUYmmtdkNc+iPLAKiqq8
8iPCeYlMaGuLeSSm8jZakpzxT9NaxSEVcVsyrFeIMv58Nz7YNqBOcPJDPASG4viifNnF5uIHl70/
BxdxZRc3o5EQHr406u7Pn/TBz4zaCrAOTVNOS8cLtZcQZCwK7bKevekU85S7nfJW+2SZ+OA9oMu4
8qJZ/WiZrbvFbydsj6JcDKZ/icfXPhGAZDZEhVs3DPQ63IMQZU7+/KX+NpMgSAUONoMeCjCTYvXo
AyuEoFhzxss+NftHvSOvJ1oqVTWh8gc8VX2CEnjXLwTFQ10cC2Qjhpp/Vky/P4NisO4cv1jUZMyb
IEBxTg6Ykbz/8pyekgnkxqWV2AvCGIWXGWqcJh+nbgkeHUuqB2o7phFJTvX1w7ZHtbJUW9lfT7Su
rDDGjOdcZgTa9MAgvapF55oEw2kZxEu+N9G3aF91jfDjM4KD1/B3izibYJD8tkPnDND6lzImQ9yV
08FYmvyuzZz2B/MAeBDAXfCp9osPaxMugl1u7EkjWcUpPe15qIb8Zkw7dDcJe+IP2evxAdfg/APz
WGxv6xZDWajSwkOF5cwWchC0KZcSQ4zatYNT/pilVYAEpxkKOsEqh1vmyWQKBSQHoXgaTDHsGMyC
qVlMM//pVebq8x4N7bZdxrqKRrNnIqxTvJzmWa2eAC7M+QYgLBqdOs+LFhmLZX0zrNhswlFzGHDh
f/Ov0pQU+IgPNwFJrJSqsykLBkhfGB5PJKTS1XmfJbiFIXOWNHomgyVtHzSB0WyVDzYi3UhkQimo
Wh35Tx+vDOykw5kdmmqeq52V+9ocEZnql/tyJPc0zBBD5Az219wJKAGcmgkW16zBP+ls7JKXwocY
AOB6SqedGLRgug6q0d9bouePkxwhV5mcMF6rLNUVsCQUCuGId3B5iwtvQ31dnuE3qRK8p98th9Ii
tCkypdvm0BsN0990JDZwA/OidkKBy7t4kJkqhk1m2/m9OTodKMmxTzE5g8soNkJx8AzbxV1xxpJM
7HDsuTubJYi7G6202DYR95k3ripM4wCVBjs96TpuGZVObxCy0w9Dd2Jwc5/yrEciCKcL/rIGGIU8
DlMyftSKIYFkHKTGS6/RyxWLNn2rB4gkZ5WOsmwf26L7UeOxXQ5tOldlhAlPFgBAZX0ni7juN7Pt
ZzYgRKzzkZsazvUMH/o2XlqeIH1G7YqevvFhdAeTF0Q10rB4wyiUpzoQTU+6de9D+FCOlU27eq6M
mC6vhfCHSHazQxmCtS8clDEH2zgQJQRP2MnWhUn2OV73Oou/24QE6WQFVd5d7c7TvYXQotzZaZaM
OwZe+J+JR8rvdTzQ7I96vhoayahHSqPGG6NmMBcObP1AXqbA/AkhqzF23RiY23JJx3Mwdc3eKmre
UjX2JzCQE+tUOPw1UQt0NFQYaR9cbzbKUAxdcg/mz7hA36qdw4/BF+v1xgI53G8G9xSLo7zHUpNe
TVIgKSN6o0U0RLPoi9T9avVBYyDbDouyWUPiFlZIg9PzF2fr/+QL/1wPVf/ZGrNPvldUiC+kiP9F
oVz/+C9fDJF3gcvav/YLfQoa6v9fmgXrX0Q4cnKjkbbav/S1s/TLGYObBk/MGqqjs0u82V/+R7Ng
/4uln8EgQEP+NpsK879xxthH3gHmLKsl1+Jv46iK8/TYO0Dzg5iG4DsKKXjiCYj9OXRr14wyw0q1
h641Ner6AJgxfu9GQITTGQHMQQtZdZ7r5rRMLIdVq/WymUGXbj2ZIBGyky4p7RasVZeRYJ64FFgD
GegSwCqQlWtBD4aWsYZgGSprNkxGaMk0q877bJryizmesf9WbZ6P50iUinTTuES+4h6j5TZA36lX
f0umnxbQ78YzJkR9NPFv5D3gB+MG4o8lN73UX0w4GvGFBjrAiABtJNk+mGT7Nc8sNLg2aR/y3Exq
MjSXrOmd78W8zPphaRezOfGDkQgIN2Y92UwGgT0sbMb46ne6125ROIz6KRbm3joZBD/Mxqtp0WBk
L9z8lFon2ddBUsDkDTp733gjmdo+6xtG5qLq+pOsTyr4LgUEg7AxBiIOTFz/FxMhmH0I2sN5ITZH
ozNSueASCmt26YxkvNKevjgPfk8eGvn0RnNWE50McL8Zg/rEydsJuz6g+G8L0o/vemaOBRpIENQx
xmXAdvFc3gYLAJQwxVVP8l1i5w+sr9mLHZdxDfi6SS8b3S9vPK8ZmlDntFLAWHeS7gK4DULiuJrF
y4B2QosKpj4PmmCgy9/mMzQLlN7x3JAB5eyTuk0dlHWi22uukRsMSQPRbl0U5c92Zgv0k3Xm3elA
UeJQT00BZgmijxsFIDbKLVEbnjgZZ5pJoVX6ckOYY2WHdmx3z0Q8mOAguC8yMsnNeJqXuvzWeBQv
YWtJhCbsJ1Y0arCpQugPoDdLNAhoL2FC7yrNUKfQs9W8sSoHxHKaV4CynG7RIiSKsA8ASWXnKo9T
yMOwi5JT9Kcp3aiRY0mYaT2/npFomhm2Q43s2JVwOWCwV2gjYaYn18sSZM9EOaQ9MALDexmZwy/R
7Jjy2RVz9dhZ7tBvSfxAka30ROTbKWnVedMv9XPp1Zm1lVVa3+holT3iK5z0ZUCtx4wKyv2WE8jE
5lza07KZR78bN3YXlz81rGRzNM7QgbgZ5QSmw1Leg0eJjxCuGPuE44wv63MHdMrXwsH2UNtQGdfW
B37/LqbeozYY8rumI1CF/cOt2ZwGce4iKHomug7KQZzb4lHPYuUC/Xbnhd2vSUl8l531qut9hm9d
T7yBsA2yyMKJ/nYW5m42JHulp93PNBhzri4gHzLsUZayBedSoqcWfdwgDBziV/ZQqB8xoHIytfCh
cyF6314I4Sz6PraCJTlVqMlJqYSbwy2Jg3GGMkVi2L5GjX631PUgQ0S/pr8To62nYStdmW/tfCVW
EeD2s8gqCEydTYTerpMNBM68s9W2a2tyF9QotDPDVtWriIFqRVpemT+FZ2X5XZp46tUDS/CatPpb
xa7VauMEtkg5zPvGIxnQ3qMzKHJiutzAVJt2o7NVOlFktpPV127dUS8sysheUXqa6U4sZvAddFGV
IFWtIEcEmMgu3VjEL1ZvN9OtaEx+F5dHEn6E5ZRnZasvy3aIJw0VJLfl1MwHFhtG1+BRlBNo3xbN
0W4a3wzmL3Fp+4+AjtBsLmPngrGxk4xyXwBaj71YWRFK9STdFwFz3ZOqbNzulqrZJVNrFHl75lu6
d8qqIVKQ6t7oov+sLdAZC0g1T5h+cbC8Qfd2WiH817yXfLlqkM4c0u62Lo081ca9n6fBs2Eqv9rF
bjKvyDfVXRlYz+DvBBlg0aRZvXsj1HEeR5RbC/4JwjsWYDvsLpq8JgcitiLPweUUxo6cZZQP01xt
dCf3p5O+G+lTU5669049iToiEiW+Sqm//MiaRHdbacXshUvXOss2awG0RTC/7ZsmWydmpAGYiH1J
tUEA6vT4LmgJeQ0wugI8O0EVCJizqiMtxvdyxORun9vh3BvxoXAEqDjue30xuH6f8ihhKWAzAGJE
oRqX/FpZPrPgdnkPsL+CSEGjeB6IQ2JRC2XjxQxySFFxyX+Hv86fSY2e8WifeY+mr7Wskp6tSYIR
cpWcxjyf6rRvcA3gwCszK8qBziBxq1r7Sys0s9kOhJXm58qex6+eyWEnSka98He5YaBpL/Qm+wHd
Lq4NQid43S5GMfXGF5D5mRlNZZ2CRikSa7lpOpHpYGjYvIHejPLrksHF3aPzXhQknsDRoOhBdYIU
oJOdGOctyzJC5+RbBgeh5hs05k0s1fw6+fD4AahBSRAcZ9ryW5wV5olhwBI7VAZwzceJy7LuCwLP
c54KrKabypmGmTgQ33ppG5B3nnLcPeKx7MZdvAUii3KGfsO7dlF+raSFpdYjDP4ebyeLCiezKb3o
WHObTVC0lMhC+iKgR0UGgigg+wDVU5zEmS1ORThQZgWnOM8EwKxKJF9rPS6eeyQfepFo3zx/rq7X
4V9z0qIavhNJ22gXGtBH7oHwq8c2VhOnUTBq4Dw2BHUO6jUzl/kpsFrnZxmXdbVXre1exAgXdRTO
AfAgpk7iF1nj/6ruf9r0rP5z1b15Kesf3XeZ/vjH7UszPBf8j/r1HzJ5+UdUV3H9e0G+/k1/FeSW
8a+158U9oR3PdNX9/wU5QuG1AkZfZOF6ZEj173qcSGtmwDirIWS4BlJKhsS/nOoaquQ1dxjFwdvA
57+0qgN9eD+vQKuJ2xUpF1plwwDGceztI7ti1LQpSMKUV09sAvwKZdgP6dzUr7XeDwnbZ1NUoIZK
jEiwBg2xofIynxoXhy87qSJipiwCNlEYM7lAPuImp6MMqrWLRNTtRpTLku7XqO5rmzi37y6wwzss
EZpO+zfVvK2iU7dAKC0SVmpBkwu/U6OfYhSiJkl9l7N39jacBfPnW5uYteXCjjOJLyoY8PcB0za/
anbFwt7VRfHQe6gnt7WlN3bkCqq4yBqnRdvN2tIlp+yatFcIhTOXKHYX9wdZLNMTP7r0z+vczYkV
q+rip+i8nAC0uk4uBz0DDCZzt2BTWbwONX8Ge7ib3aWIOo7987Yi2wu3R9eKh9RKqx+O7SwEazo+
8zA4QoFBd0kW96SSCY2QznQAlddr1bfBXmYyv3vD3OvSlFQ5c1PtOiKTOpIkpbpDYNfMIbsnXorK
U+3X1gq6ZltJ6G0h3jyHfxJ1F2+loLUIE9uZ531dLmzjppyaIWyxqT/izQLUjHtvGkM00sU3365L
YzOaqA1Crxjt15kM8KvSnHN8Krkd305QvewTmQbNq6f5GitKno7TadssWnWiCSI8sdSBA2XEMPgy
hHKMTyyTnWMyBGQf3FZmNtyBAdQp7OEY3gP2d76l3lig6sul/8UZk37cm1SgX2rR9z9yDqgy1L1J
P1+6InshwGn8MgLwYrvsxNKHCKvMm6S27Z/eMLYGoVuxPlD4gS4NO2c05GZoLFBzdPQ6hHTD4Luh
MRKvcEMab9t3oV3ZqOlK5TtNHuWpSuVl3q+h0HbJorop61b34Y+tg5pSb6w9QiftW4tq+oDaxlvE
3miqpDpxOyYnYSFkdtZZcYAOZ9RnXV4ygYU31A9LDBkSCgKyb45ZhPN6CnN7KN7gdeIvkp39hrVr
/2LcTW/Au+4NfjeiixVboKBA8cgvApBXvMHySGNfyXnNG0ZvNlekHr088Hr1G2pvecPucX4AwSfe
cHzNG5qPbiqYvuAN2UcADPi+5g3ll40r1g+cID5R9w33p5HcZD5aUOviO5RnHKfEGyqwf8MGcuos
9Aca2C5W2zfAIGE3afkFxISpDvobkHB4gxNWdRoU55Wa8oXDJi2z4HmJSXW4LTymwbsJ17d9q5fm
BIdPNaLd6xyc1KFpBm88byiBiWTKBw/QA0w+xvLj4Ctrq/pZ6Xd2a3HENLMsW8IqE91Vxk3kYwxv
IK1VSMt5KjQk+NuhbI1+A2jTfS7tEq2lbi2V+xQT10TeK73KL0ozXQUJtiMeNtacLlq6cvYviEBT
pMtLR49KVRjy1Kh6+WKPeelfArudCRwqYQZQxteTdhVoTJxDwTIjd2StWcN3jrjLnchSj8OiS4Qs
rjt6DpdGW9pi644tCHod0p+Kitq3bzxV+znBM2K8cSfTLLjvCYsSSh2V8XUcdZEKTAyvzGjkziSW
CtgMRwoF54ZbGgZypdkJRzPv2J9AfTpZmt6meWdOEf3c+ETNdOO6qBtjpjqYgBexA1rv3OT93P9Y
mBQ/2nnS/CBQUB92ypnUM9RMnQw7qYBLgdpMk+mpNZHUhfEEPfXEyl2TQNvA6tADIaMg3kgWHlpV
evP9TUCsDtSRasr1sBgqKSI5p/xYGjM1zvLCAMdmV+18xTPQ2/t0sOEy561dXhJwPKcbjca1F1Wx
SV0bDEV9JZnZ5bkVNm0wv5pNUub7DEYyyMRYTD4GWbzFux5Me7MfqT/P8iZrK9hVwhaHvJL5A8aM
qttOLgf+MBC6e13krsfRvJiste2poTaNwds+yna0ngpvNvn/XKN5st3M5Tg1V3D1wJX27S1s1ubC
WVx6xoZRuhM30KwY9sxLEiDQz6svRkt03xamaIdG00zVUxXTctCk2/VrDocxXxpNnB9SssVe6z7F
Qln58XJfx7JX+9bgwTsBWlaSIOUnMUxEYyjvRexV9AzweXZhx57DHMEzJg9lFieRsLLGeo+xGJWW
l62Xis+zSKMkk+m8s5ma8nAw+cVVyMmDhEXRFOM2F1ZRQI7055ukLOantmeh3iY5GMdNIGuLh8vW
9JgTmUhwPJY4VLCsTLS8kmTwHiYrGTg/zN6YQuwi1z7iybVOaq3HwrlMMDtDYQ2q3CbZLPmnVusX
ZaNLj2KY5MyoMtPepYG/dO5Jrqam3aSNPlYEVSkNAPLYu/S/usLbT+uwdiOzxr8365z7N6g5uMVk
I0VYZGn2jC0WNrZaMsikpVjq6940hIhmOokPY4OGjOD6or/imdC/Za3TU8g3KW2Enl/jmYrG0XbK
k9NTUanyGVGVR45abyp+YqsN1sfY0u7x8yaP8ISDn4WZq2otAXIOt1bMRTjtXMvII+aFbTPxT8ln
4nrywm6dCx2qrB4OxpCP9NBcEHeBrxae+wkqeY+rpNqWqaE5yBeqVG30ymBko8VMKTletn154RUV
x7quNLSXPO5dMkalymzsLFpzusS+MlddXuxGvjIC9AZZfTVMMFBX/nDaR1lQd1dmXOTQFNiu0605
ZcO18EQr91Nj1Wk0SYqrMIP/F2xNWjhrFBprU0c6FzOapB4s4C4GcAL8yiCI7cbij4t08ceoqonm
Q2DbUKfk05SIXUxY2oVC0N+c9PlAgaZcfuj9Ei+iOiypNj9x5C7HvTOOy6vVAbQIbegO0xajpigv
+sl3p/XZWy7czmp+IurVvuakFd7Hc9y4oS9V8EwTluMwa+T8AvcWNMrCg/kkJi0od2rRrItODP0Y
ytnu7JB/mZ6MU798t7rBdzBaaowgOzjgPKO+Tuuon/Xmy2B43J/ZhLFZjEMzROnEYhKpgmMf2JMu
O7cmFDTbNm3Fme6MrbVtu1HeVJSzP1WMHDdc8BLf9V3RfgvGKfsZyynINzjFS6Dko5V+a1WsirBM
u+phSKr5pYbydp0Rwiojf9GD+w7/yBm46uE75avg/hmq+8Gu3N3URBnTs6oNb6T+abIvqZMar2aH
5oX8ouVEaWXNFbea+W3UtfJ20AyyAowabiONVg4vNqFj1GUkpD63xRh/nUFpfPcGgt2iaeir52bp
uiIacgb/0nKpr0QiEjp5jBqfSp6Uy8kbDDtCAk7+E4lMsowqWdCOnHSGVtTBjX+hvLmkPQ87o90g
QlREZpYejoG2VV004yVHedcNzX2sTeqkRNMPmiie/OsO7M5A9GM3kLFGB/NuJi8ujbx+mU8Nlnw6
n36uvrKm0V+FK9LBCWfhjiNtIQOT5ns/1lsA/E6H1ZGnxcxHH2q8mxY5scadm4a93zlqRTHJl8bs
u2+2lvWQRlUNNlclbZ2Ftim1r2Iq1Q8GEPo9/E2/oT0jgainFPkPMxROMAFLNtS7QLrLybIIi2Kh
IIM4suJeExFuAXfeOo4cvRAIfgoCUugk1zbOsjqkCYiNo9ToIE4Cn5XBCcF4FgVzm1n05kiII4Mh
y13WenDrWSSYQJYh9bF2L3qBlN5Yw1X5T8SXFkpxEZrUWdoGTvZMFHLux9Y2Bm5qX04F7PeTLmDA
igm7UElou6P71TVspuaWg10TnjgVO/2qkglAjp+YKXaZ1S/TNLrBVijq3Y3pdzYl6xyws2iulX2X
PCUlqXoTm08jR/3bpKkVRZE0vcvqUPZkBAgPM3ej86HbFMrvI/e5uaYd5zx1vmbFEYNbddC0oHgU
0hxMRv+B9LfS9pMvSRm3/o7Mw2Q552xZl/Q3Ja3ritDWl0XPABEjktGzqOlbGe94XYYTNNDkMAt8
+Wuqj9Ogo4l1mtAdR7164082B8hGOHMVlYXBrLZoCzfZ2UAWZnhKLQfL3ix7HiNZrDMXvYQgUjsS
RRlYUGJ57IG1Ztc7RcaIJI0nbk0Sa8mmcFAv7Pt5Yp5vGNLfZZk9T6GD0oFTRzwHwBtsrSXq1VyG
7qBBtmnpdfblpUcWp7nLYt/A6zNpgpxSh6VsIwd0MGExTka6I3uRetMbEZRtcxfCMbARYqvvCosW
1sbSYo6knlrS+ATcL9vUhHUdhUntjtm+XHJ6plNdG80GSIhbnRJs7VdRXOUcETLixBVzFRJXwwbM
+rChF19ZoWNNVbWnmOnvNTev8zOBGBtxStEQrAOUoHE3RdOwysJYdpBhlxZxSbHSbqeS0nbfd0NW
h7M75MHl/2PvPHYkR7Y0/S6zZ4GaRqAxQDvpMpSHjswNESqphVEZaU8/n2e1qKoBLtD73lygcCsr
I9xJs3N+SajASsMyaestF24YfhW90c2RDC77MIX1XbKjJ8RHUY+WYz2R1yLzA4qQ+VlW5WTsO78L
KacOB9smX8IM02eTRgSTPJlSyQ2ZEFjo+8wrKAKp0LTFvC9ZCBu1CkQZC9B6FKZcQ5tBomPbE18i
KBj255yOpVkUjJ1OxfML3JtZeHStyohZCWUSz14COtBP80y8REYw5b62hio5Zc5ANPpQY9U9VNCM
2dHGWHyp4lhke5soKtAPWsDT3dh1kucH7n+SJhrmvGxLM9s6Hgk2RlJCJk9AGIW8/L8E3zTZTlg5
X7PtGcN4ZsxWBA74oQTyd4Ku23VUq9S3SHB0E2H2qeTtkmHF21hVrYt94ak6O3SUQVhbfsCy3RER
3DtbukRY9MfJG/ttOQxJR3Hn6v0qTKWtfXC53okXMqi3z/jRUHjo1hN3QJEtXa1BPup40ZKwA6TP
fX4MvRWGKpXrkm8NvcIauGomUX62efrvh9mm3q2syE3ZdZBFVkyPRtLuKQxPAgQfDcMgpcyScOfZ
mQZ1VAtBbndrt5rzbTW2U31lcUZU92Hb9fnTxc3dRSPEh/pBbybP44a4Vx08zJpl8xphnAf8rcph
2c0rR/zazT2ZNjzVVaTszvN2TpgnydMlE8YSzNJTwXU8yWbdEWg696zpICdbHihKNBZ60G2CmMkk
vS5HibmqlvBR5Mm6yEnY4SkqkrU/Zge7IDl/a1djh2Kr0pmMhwysfOv7DTxbSeLHG7E8tTx1LWKm
GMyvXeKVj7jeibwZx+veIcOVG5Xev/24ps661XJS3d4n76pHKa0L0KhubqzIhnKHzHRzjL1KOXwZ
traLjIi5oaMZRi4+ITMlYSFHLviJJ83re/9BOjArD8RwWZKzHV5yH5SOtHaeoscimikJsmNLzyk3
N5F8095Bi3RtCIDuGDkBCbukkOSEp9tO/0DBQ/GumtQzNt3QVVO0Tj2jbz9oo960E5hD7HeoXIXf
BGdzSWsql+Zq+ilGiwyWZUBWZPNGIeXrdd9iQvW7dtvSxrVLs5ZnXTXu+kigNSUZCR1Cbky9quSb
0aJ78s02xOanrNHcAD8267YAEMyJciL7nEgiS7Rbl2bhM/DA+Lu23T8CvbUqWtvCT6OVbosfYllo
njBUiAAcWpb6GBbdt7wX4Qtqv7XbaOqezSih6e2nlbvlx2qtGsa2EBQLJbCdXBFzPsPCWTTCljaf
M6clGCLXOUQXIoQJ0ZTbV2sX21hFf1bGaJFSRfAmycgMW1wlBYk1mz5ohy9efqOPw6CX62lG4rS+
9jn7wXEN0+VlmqiK58Pve7bGVCyMoiQ1TS1oWFpOxQ0vU9M3fL7LqG6rbsqnap8THsAg1Zpszg4E
UEZVsG/UeYU+t/PZ26jJtpb+MPKUqFvQrSJ9qimzDcpzT5iyczsYFrqClGBFF9dJGUJi70x/8sBq
DS8dukeCmHW18QCU/C2NAqX6nIRGTc115pGTjhTNhFnzEvQ9BYzbYjZPVluj4xLO4k+x9Es3j+FP
KDpC9NSb8J7DJZyNSqPM7lxjRwoeUGdG00a+mzE2TdwAdBQdqsChmnuWLeXF7IKzhjVlgcs2zgQq
TrSL5Yl+X1zCfN7nag3nh+qSGXNwCX1z+bL9NHhoSnNdvgc6hJhQ0fGyVV6pPPDaPcCAyQpTy9Tj
5mFBzjguyg5R5mcWZrO6ManHzuDGA3OmCK0l6jIDp6tTNFQKbTkNCZOsV/mRFP2a/Bxtv5yeSoJZ
AC9zM2FLwJTs06dBwtIwFiu8UOi5bwzU2fDkpVoUF6GhyL7snJBlSs6Zff3HoAsZvkP4r44muzHM
bTBMdybEg0ejfeBCSmgNIXeu62KuyXHr6kqeCiddn+myWYr9LJyWkCAxBbdmfwF4i8AGvSRv6cDq
L/0Y+czkRXxx9TFptS9PkzGNWTxmCyoaRd/pt7km8rsjQuhltAqQHpLvzWbrYEPOWSb8rONwhWjf
pyOd23FoNdo4uiXW9riH9b8OurG3TlUXIhFUnUgGKiNc6DzkMGLZC2hFFxlpx5xsXRQ9kW906+Ng
iLymOVqq8eToqaJ7mc+bGVYS80gAaIPOGZVtSU3Bag02TVOgScBDpnxDJ5l9GUXlhWBJpfFIH3JI
4bTV1fZ2BWHSUVjyYh+xf2bn2ea/BJMKkQlMlKqNksrgf9sx3wJoLt65sVtiwID/RbrpSYtaNtgw
qq+WwqsXVLrKIO1KdGIzG0hpOVeGTvNqJ/kvCxSUXyHIsN7WvbcAApBQaMewFyn9GK2YPxGD0BAA
Wkb+qkhGy9oWq+rf2sbp+IXJWXgo1LjM8SW97pM1Ld3lQVU+lM2SKTyH6GM0Estn0RZFHU2EeM3x
OKJLBUi/cCvWTLVObHYi3amB3ugNTzPb+OJY9PfoTgc/20Vh1A5Su/+eg8mnAdycy/s1MMf0ogbi
MZtN3R1Knv+H5FLcQJZgOj8glC3bmCUvo8M+CR+AQ/h05rFXj2O40snLoUZBIfIk72zkKZGZVE8l
nLoFb3LE9FDku64XE0KuJicUtkKq8FoTMc+O0bn6JiSbGw3EohkwDUrboN3ngq0Rg6N045rrrySz
rwLuKItevNOGqRaOvK7+1abV+D07xG8lgETxKjkoro3E4/rOe+qCNxlNN1xl6DmNTV2L8ofLNLzG
sk1B+5WxqifkX2F2DCsjVdBQ+SJi25IFsWRGoG6W0PDRpBRu8c0elXt8uq24rstCGdsmMb24mAXS
tL7pjAUTPv1yURVW+S+vMTEUFWMDXeN1HviK6xTMyYWyaEYqiIDiTKlKWtRz15e0nIGSWNue0y87
UffeMiKPAEiIeSsWTJPYK0JCeyxhWhrWU5pWs7lB7GWOu7AWQ7Khp8pxN52RMunDhTXlBaGBDvJF
z8rZ9QbAB0uv/5gox3wRYxLqHcXv2b3Tm5KnqNBFQa9Jk39RPmwDhygx0tPXzqzjwBiueeo7VNfh
IpdnizfJRX2L+bebaltGgd8a95VOKTEqgpaM9XQYYb2myk6eIL+TCcDWodDc6Q2WeRlCgtwyEor7
bmknN15aiojBsgf6QEg/s4IDjVy+STmWzN5C0hONqJ4d/6ATV3U7QVLJEJk2ocCb0UeNEI1zMdVH
dj/7kc0tOCUpI/J2cAtvic2kqwOeLHi5jT0XpIAWfqPRrkmnL34gcBppM5/rcmPW1fwVuLouH9BP
jWFsmxcAGBgGIkiIdnoYOx0aV37QOLd0d9EHJolrfqP8x7xX7F/j3u3cPr/GfGRdS1FgU1FTol9c
aCdU7Rm+B/CepvvlIpqYCG2zmTIGg5yGDUk52cNcD+2779CMFq+mHF4k4mE6Wbuq/fxNSf8vOf9/
/qUi9t/hN6q/SWL/SxFru38AFMNmXaxq/xFa8qciFtXrxU6GioQo74vzhz/znx3r7h8k98LN46LD
UIK9A9r+vxh48cclnxizBe7Hy//l/E8ksb+95f/thxIQ1vw1JolJyHbJeflnnlCbmShL3GAXoGQ3
932l4cw39Z8DIO1q5rlOZu9xxZvAgURQ7hHM0zMiG07kC098wAuYifpdrpdtcSIW863XGXuXNxs/
x9y129hWmXrti0C6EcOKunXZVcUV8xKdn244+5SGUjf6ObtGBulsFOGlO7Ihk1QagRdu+mJlU2NZ
Dx956yb4YhofFlaZdp23yA09Z48CKg1fzdxokD9Zk/vUeiWpsbBLya+0NNM6Bl6+pE9VE/WbJizF
y7oWst3mRs7fEORd8RR4DU2koeERuQmJX/FGYUcr4rk3lyJeUGC5kefY+C1Ex80W5Y01vriojJZT
p9BDbochyCkkT1twpE0AqZjeGGVf7QOT0LIlVqvoLne4YRf5tu6w8P36ixzk/OdX9i9avS+J0h5e
chNfJOZ9xHh/99+ortP26vvH3GyCu9IM1CsOpLCL/vXf8nfHFv91wgEEShILvze93r/lHH+xOMH7
jRML+Z2aS8dBQutKoL92GrLDnOo8P//rv813/+6jBmBDQ04aT8BfeLE7/jMtu7kATEk+fZAMQkK7
JC33rQmD+j0Pw6E9gO63mLuJGZXbYPBhmWw/46jHBdurbUaTyRUnnUOcMrnpP7jf3SzO+NJoeqX0
DFDsLQU9a/ZdZaVneF/4zDEdhbkX45qIK4ccFHJIB5A3wBJ8CYDBcOIbTvhq3RAhvJycfmngYOsK
JVVDC89NiFx2PDtEE7wKlzobsM/RUbHGCUQ3JBrZqDIkPTG4E7x6kyrQgycuzg7nYe86FzGwdvqd
KTpy06Z8QJHBzAsW1DtqPQU5VsGYOEmHjbtopy+zzoI34igvVWK9uPDSqztnhyE3/cOkwZ8PKJMN
sfe8yvseReadGNIUQc2IKZG8lEZO0sFWDote1tiWJBjPE7bktWjQsVveXR+sANK9ZtpEl6Hrj1Jq
lGmpHBmpqVo3kOQ63RLsQ7P2zqAoQ3jK/RzUz9F8BMS0luXHSAh2swMTznGEIgQxY9p5CKTzEIGQ
9WA69ruVpaS1TmW94n4xehS1Q0aD265CEGI/aE2lTCQqZKl8HO10OzjAv9f+WEO+mbNKToOXpJRV
VUCCV71dCTvSoTu9Zk7I/bsia2soEeTnPEEl6SLyePuvtcqq+gheOD31wP8pDBgWwp2uSudVY8kC
Negn3E92gTIEv8wQtFF5CZnjtxIlRMTvjQK3KB+FT9fwY5cmNNxmv/cPzCgmANLvvWT5vaOouWBf
kUIqQqh7uihPTlMG1+1YETAB1rYYR/pw2Hqo0cw78vYv21BAeBOz3u8tafq9McnL8kQci/xWSKW+
M1egXZp/71nG752ru6xf/e9NrBQDUCpHnz6MphdcizCfFQJRdrdBe7d2YTfNqcv7wtoJdL8nLRcM
w/iavVdH6OVZGaI71aYaoTlG9b0E9vSa8ynacUAzcxfRMJ23MfJadifMd1MddZ7rDtvKnvuzL8oV
lRGlzM1WEdOKTmIixTUe8YncjZZ2PyHzxWtFTrl3JX7vpnYPrxCt6zob0Hc9O4knkdlGCWHHAnAb
z1lsgkqAEdmNelzNoZ52nSMgOF2yYuGjUjbFxJxALSqx5uVuVIE4wp7IXxUHTLMp2kZZZNh4/bMW
xmJtG8fuSd4ol2/kzI69UY4/HL3FMtI9McO9F63ch99slyVB5WuqKEEojazbinVu3ViufnLfoiUt
DiiycAiHtSYFul0rCuxSPx97NE6t+BD2VN0Y67pYVxPE1a+FdrI7Zabdd6aBI7cGGb7IfPuqgm+S
fZ7hkqoaHdEgWD6DGvY3QYesc6o59DaLUSdvXT3Lgr0/y0WcWtCzXHzKfgzdoXsA8+Rf4yWiCdDG
JrXGa94FZHWWdhpXqeqDHXFWRrMTa5d+NqnbvTpZiWIZuINs7t6wqzDWAsdmhDuD508LCM3B0bO1
a8HNHhCEmjT7BjjckZEvaPSq1TVlzNYinxOux3JjIJ//9rXnE89LFCJevLAy18gFFb8ebXpWp89m
aUrakKUs8HwBHPDvqKEW15ntYwgYFnijTC4AduGfcEqaahfBQduUAC0JmhSAnWmk+lqbnjGf5GR5
SHINhEcx1RqeveF4COB68ZJekXnOSKzdvru3107Ru8AxMENm2fkdXQGqowXQSG8WhHbBtgs9/2f5
G+8x1qr5zv3U8WhDzABCpIFZzRIGYePEAuW4LAccaI5fFk3cpqTa9/tmcLpL2NoUxP7Q5PQM9utq
7asS1D6i5wrIKXOYBWL4Tkx8Cl4bDWEmzBc2a+ub9Dnx5dUenyoAbnaHBNN4W+j24yFPjPxXka6Y
tBO/khN4dB168JYS1lVilKG4QEzeFNVtNv1qMCmTmm7QNbATrFnQECurINIx1E9bhAIUWIscox2C
5YvATbGAFQD+uJvZwHBvIG8ML3TkqpsnQpiNz74I3R+hHsc77WfBa0v80GeTJImkhHjomHocTWdY
ZVPweOlgVGNkkVvuxfCocr14Oum9DNBcvxaBYaCNDFMvj915pvTVgXEzN/ZvcA/RjvOR+bVNe6O9
oj+icIXdzjDHu4TjF3apGpmxAKJd88qrW+8lNcf8ceR576ExvfK+L23O/a4yEyyCYUXv7DhhHzTy
xbBi/MdYbNOZpJWJIOuWwIhEZzFCrfrk0fJZb9BBuWnMJVieVYHSmXkibD1S2bPxbGlmSXpsreqz
dhqwFYsx6Zecp+atpFL5S5RmhZMKyu1NzBNfPtYm06d8qUYEbwet/0XlJ2FOAl0lYnJyhuxtVS4E
PPeV/06GSvqjHnnp6GkeIaLNEvqRVu+CdFc71RniI3BqZ5Pjs8nieW7mN2yo/tsIM+/twqwMAwOP
Jeao6qrEVIknFKEiSd7ebLa/agsBD5fYYN8uvGU/WyjyT49aG3LuuG9Ri9BBT7P6xXMbw0EF83WH
z7fnTldZfx5EWLwhZUVlAz9WHGpLEyDtKjnJY0B7CtQ4dSPDDoFEWW1pUSG5fSB0pNlmiSBPCnwR
6t7ucm1dwwHqYI8J1hivQtQU3StsReJGC81K88NC2ewcpUo1j55xydFRBgTYoTf0hSBvXHvp2TZa
1nZIB88drfmCbXvWR5NQuYGo3U5B1yPScEwGM1+ujTftS1onyP+cyC1BS2/TGkJTA+Gj1Ul6HSXq
3OgCMQkaAQV5PzVwDQrdaa/zj9zLMvewppUDONRi0bmuyOy3AWBrO6AtnREnqc9kIatuRdbnYrWA
QfJQ5VdVCaKDI4Uvxon8Clf3edWTLq/FFBoJ5SPmoEFqe3psd/hWiuBcQjj6Xw1iVuuDFmlA2m21
cjIeTTGb4aUqFYnbFGnVwCphyG9BwBK77+JWLvwWXi5WVhn4/TUgrmuS+fOAmQiBVQF2ML1okKz2
Ob8okHfVUJqQWEVNjNSmdHTu7xhF7P6QhkMhMdFRlmrf5xmhhXCBgQcDlGuWD4QF2cLsvVFUqltb
o+GnRTip0fMR4+G3w/OK0zuUgBMQixvqeHWwtczUHW6MDOHUNW0i4OCoUS82wc6gzwM/5sLie0zc
Xpp3k3S9kmJpz1H3XUcr76M9kBN2U+MLs6PVWeeX0NCcaVaZuOgB1prxBpETzmrCw5xXlS3rL2ze
A5qQsp8pXs+lXR0Ai9QbVsIp2XpLOGMuXnNxKWNA0mQh+f1sGjEYTwaz9YLG09T+Nk9qqD3fI8r3
uvDhlTkoV01rblhiFbHIUow6oey3DB+ljPuBjP+DzNxKbylVoig9pPzEPllKZmYks7xvt4HDh8/z
ldCs2o0BBivtEttD5wuY1Z0cKydDTl3MJQgpI3mcY9VGieHUaU7kNGn45JBw82YCTpDC6aF/ML06
14d18MClsRsy2q9WNZ4X4fCTtVfFXKcuV3dwCYYx5pw1QcEEEvyZ1U5MCHD1oCxv+rSL0PkCXZ3S
N8KD8req69P7tG3AX0kugpv3nYHsT03uwZdtYlw7J60LG+PZGXggj/i08qu307ZGxchryqP93fNI
ZBvLWPIDbn5NM3ovSO3u8LSzeQuvX44zPrrnxXXGF49bEMG6piDnwoz5wabNB3Uv2hbDvbv4pr3P
BqcSkcG2m2+U2Xh3VhGUINNhmj6ZvV//0IxLPuJUUvJiqASn2snMyHiFslR/gEODLndQEXLTDgk4
wmwuAPi2V4hPaifSexoKlgQUVeNogsMF4aswtMhtXmDS5BWhXGb3e8n9X9CMGPy/rPv/Xwr+pkVa
+g8r+eVP/OlcsUNcKMBmYGDADESjkm3yH8BZ+McFssKfgr2Z4JhLQ9p/AmdW8EcAPuFiHzR908TX
8t/Ame3/gXPbNEP+0KUwk+if//tvfwsFHP7xz3+FWyznUtj41yghegcx0JB45jnE6vJj/hNxEWNq
9miaNvhpYVZ6px/KDyMrL1aHyiLdhOrkdIiDhPSWO4PcIT/EVDGI6UzYQU7VjzRWK24trGJxyodg
3vCmX3p6UpXSWQMs4rF2ona7Zioow5M5DpXYiGUexueAWCfzSLNp+ppDwg6w2oTP3IQqrd5RX5DX
g9yd4KnamMW749Q1x2uICHMR7nuAAAwh7lC+5UHLYKt8GIAyg7+Y6WOm9aL+CEMsf7SYiJjrv7hl
M87fkoXjI4Awj6nccV6Nxqt+5kNFPKycqnNPIF8UWBa0ITJTPoEV0wFAeHZmVcI3uvKV5oh2DCPi
WytxZQAtbKbJcJ9sdLh3PW2OdVxBntxjPRZXdZh7e+3r5TaAKmBfLcaKPOaBaySbnVuGy2EmYWzx
v0C0f4R2akUgbeMmUb11HlKFzjpQSbtrUbRs16RgT4AZXvZsOPUcjTKx0FRO40wtSivuBli2D6vB
jJEE1RO9XtmxyZb0KUw7yFJDivTg+EpsV66L53w2+XNok4utJ5Jfveh+1H1ZIl+AkeWrnU6D5buR
WnG7OFnoHTGFV3vAIRThjqL3to3xkbBKOsT171oDURCZAd4OS7K8Gru83vOFGbF2huH5Ihe5yxLr
Jm9LrD3IYMdV9FAIS55yk/fJFXMlA3tLEtBXP2fI2MFwD5ZT4ywwaPq58ZUBmWj7fRsFRVARceO7
XIqW390Nw7ychoBvi2RNYJ22g62aEhTkTDDGY+jPGRlYLBFUiVCx1fjtPswyzYE6yWhaTe8EnzYi
lpxX+G3m2DnH1Esrip+y/04OcrilLPZp0FnHgW6YWMzOTYP5PPZpdb8OpX/ryca5wheOyrRajSgb
enuPOo7eXFt1T1TP17cJpPOXdhG/40eFjanGfN4vzppTVJXJF7+pzAfdyC6Socg+hwHZ8KCdYt80
rRePjVncSt/iATRsoKElP+eOGI4Dc1uUGVqemrXMd31dX+uy7hgQELaAqRQm2BwXF4XklEuVdseX
UHPJCZscvcLD3Or32DGg84cngiqtB2koe18UKa1m+fps52hrXA4ONoE2W2M0caep9qwr9IZd3NjW
T+W4xRFdRfqQFKS5b1LkpBGq2zJWVbfcQQln8GxOEaOA8CD+zL3WZn03Gl6zY/V3bhLLCO+GtNG3
jSFTRPLecKVzkzWnq0P3q01dJwIhwUkrl/xK4uneWcHwZvUW3jSob7T8a3NTWCkqcsd/SQmyXK7S
NERUomB8xW7hqz+hgIVNxw/UHdfUfWK87jmgMiAEpoTlDUVXggp5pbNL8pVjAMLbtRBtmBT8sbGn
/QHP/XhpAOPdWqwSdMa7E9kCBgb3HTe9nUboxIB3DBTPmId8iSMorV6VPzlIky33igbuMrKG0jm1
VrI1g/7LnsuP3OqCs1wZpGoCkaKhW8noGNBDvCx1odd9gHUdIZCLwhlms6wPBkojrFGYjtT0MVjw
0HsC8VKkw326XAWqSSzUa81tOCmAXqQb1mGcl/a9dNeUvFAASFm4/k0yz5UJX20ioiV3xnoIhjCA
BuUz7MttOQcWpVyUBG7wrbgDfh2+yPuFdkKCoFLUPI6ykCrN1c5pp5vlgtVCNh+Y3o9sCncG+gQc
GFNxYIGx9hbjWZmvL2yrJ0lXk8/fcW3m8zZMgg/3MhS62a4L3F0xmnYECnDAzXubIg1Eul09js64
QGNoWnFlbEoSHqpsP1jmrsZpacr2UPnLRgTrp5s/mgnnnPB+SG1FlD3srH7et7N9I+yejGcN+lpv
nTqHGRZXXYG30q2u6Ny6SpYWvx8/tEaTlcnjinojG5pb0SO37ZHPzuG2Th0iMfQdYzvFs1MUhhnH
x2xHBoEb1ghYBfDcQcwMJ/gXySTO9FgayQNhRhwO9qHkImJevlYVsR3uekYTsFkAWJ844PA2Gtac
bLjF3E2hbHKJgqZcgEUmf713akWNEs68rV1n95JqRTij5k46zjVwzWNZl7u+otPVKHokeKZ98Kgh
u60qD92HjTb8hA7Uurd6LlvEF5i6ROI/SzvtQ9IpyucA3wbYvOIQDBwLnsHHtD9zmO7wJNU7D+p/
O5bQvH1KI6U3hr9sCpyw9oW0apFw1LjpZ0cPCyk0ChiXlLpoZjs8hpihyO0Yb5KMrBFYL+dYyiy5
85e2iWXg9FHjtKcF/0a0ZOO0hRpi+y/cE8ditvEVWuC8G7B2sBVabXZIu/CuDfo1msYpi0tDtHAp
abdt0UGSBHZ5k8f5CxvLjZUvx0CU04dunLhvw7va0fYhUSEtjG776JkJG3lN1a403ilcvsRMzXJz
SYKJSAaKOEN3DNc7VRi31mLqmyoI1qio1D1M+in0SGeis4uHfUlfiRJL42UOTtM6nNJkuDdT55pK
NA7JuTqIyUnoRzTrV4VkKWaKUIeRKLAbNJbBu6KD+FSFstknZEDBGxI4tnMu8IIi/uZHRpJ053OI
D06eTojyQ0ahGeSV3c++9uu63noyL9+yyTR+qEDfcJNcArJYqTaovN3vnB/Jb0z7OMqp2XIGKnri
CNUKfPcnIT1ii/nT2nrKpKNtQtS8V5n4YS2pFxlB8qiq8GL04/SDdXVhIGZoG9R06UbBeZx9m/AA
GIJd4XAx5Z1+TUJqEmG47kqtN92M8XPUA2eg05Nt51zP+IxO1dAfZ2UQrZnvhCkJPaC3jTaYKioG
597TtX1LWMJ1PcGe1LZl7A3aLLchnXHkG7s3qVYP2iwfJurmmFIsnt/uaqz8nTG18ZKFJbJdrgyD
TN04cUZWvlzvi0vUTjnPQZwxppJhuPoMdSOhDhTePw+5RHVNRW7UrSidRsv5Iaz6F0o+eyfrQhzW
jlJAdGeRquWrX+DqTGckh5DB82YihWxHW7STx4SXSH6nrO9uOsIKTrparDjQ6sm2GaFIrntPhLVc
UvX1sWRhIw5PRmgtH7JB3BWF57DJSmu97rNgOA9B0O/KEckLEzGUYWL4+1KU7Rc2RhwnFi6GZ8uk
QSXy+yR9JwoDj6yowFRzPEjOpjHW6xYn2X3LJ7YJc1cSU7iYLzZs6sYTyokLbevjasz886SkNg4W
0sYW+sgtD8ngGajr26Db5nynOBHlvJqnCggqknWdkSOVSWQ/RdM69yDFBKYYKX8hMZh3CCD7m9ED
m5JqSW5TipTOY1dp51A3UqsIWX5zM4CF/jQXlV3wQOtYBibBd9UyH8EXeNDs5JKJZ4hrA/IcmgQ6
8SYwSmdPdJrcMXgHpyUo3op6xEFnW8i0h9m1rsj5cN+GVTLwYLLd5KMnd0teD1uR5WedweSBjH4s
arIOmLiX5pyOo9nFRCWJmWZEYRT7bsRyjKveVygq+4EwXkrKb/t1Wq8mC7MZsPmCFpte17YJhn2x
tNr6Wjw9HIwQMOnGGi1w0roVD4mb1+qACm8l5Q/v4TOoAC+MNzaIMUOZvVROogmsqRbvukMTpwD5
5xEwhjTm/ssxSp88uRKTRXzJ/q4wx7uFczKnOvdv2rZtmivOagr8OMZzIzZyaAjYEoi4DSVSOCz1
jCUjJ3XPTMZ979N+sbPB2D3ACF+Gr80C1P5QZT1fSbb0C7aEoYCidS0KFalWhFOYeNl9n7hbfDrB
SU95Z78hB7fcQ+eL3Ih6Lwm8GEvW8HNZOkF0YI1JKy7nIs2OKIW0fZ5dje641uvQTCxT7GeXCMNi
2mrfEpgUsxQ8KSk97wO5U/2E9LKfj77PSfOI6AjElEWTazpAI6uuaTglcTIM1lLOXLP9/N7QamNk
3IxujhETZe7JyQyvPeqe6KXDnFeo2dc5X07lXHbTlUoYt52+5veinh4KcUVUhw8xjfuG4DCnaPPv
tZnTo4NA+aMCvY3Bw+b7xBi9I9ki/jmrBZjZpPMd3w8pacFA6CyGArTELe2QgjjO80KE11OeirjC
ZsJjeRSeQc1wpv1LFJUZl4Hx3FTGHW6+nV1a/jFxhuAgoeYcatvvuDa6TdiwzdZZ/1Ygpdz6k5Tb
tubpKcNpR4igfJjyfGwp9gxvSzXXbxTZvuP/FwdMSy/N4lCzgP8tntzWOtuJzB7x7T5WCGg3fVc/
6ylrKSInmCeRp7BOw6iY1BmdS4z+wtqRAnpllX3Cj+s8oSeOChd7A8aOF+VjsljzpdzqUFqR2br3
a+v86OvwxJaQRIKkZ/SJ7d4ux++xRdPeri9KhbdqLV6TaXWpa54Wul+94oWv+scoszMid9Y9Q75X
7bkdy6PXjJ+F2R5qf73WuvYOczH8ICD9KJYwqhH4uxkBVL6ijbSTx0LiXyoy44Xavgc5mLtstu6m
EIvRWDenJFTfZoj9sUvD9tY2hkcQTdBssz6nrnootcRVjtF7oK4G/ed8syTDVRLY53ExMC2b46/Q
BhiRJYLrZb12nIwpdGaYbxdUN3imUjnf67Z6+3/sncly3Ui2Zf8l55ABDgccMKt6g9vyXnZiJzYT
GEVR6Psef1TfUT9WC4yIZ+Qli3zKcZrlICMUFIjOcfycvdceXeeB3XmPudvb2aU5LhUeXKx+S1sv
tvNHMAuP0vJ35DFlt73vicOnjPwa9Btgv1kGet1+SJrpGK38gACwWzHLkhvNi7YT2w0/cX5iL6Em
H3eOMO9HSCNZ14f3Y1APiHXD3Th594kTPUlUJMeGnj3Q/9jReF34LJIrMocmspHSH4Mv9HUruy0c
qEcNHsGK9jPkBzvsN53ez7P+nPlEzwVrztTMm8S4Mj02kscxzCJ+747pX9bKXUviw6LU7WVrTyb0
IX5lrHULtLb3wBExNrFxXThO8gvF5iYnnWhhsqAvhREdE3F+4iiN9iREX41JMllOpJwTnn3Zq+gm
i62LOuq2pWVVFyGT56VyuMqOvQNNSliuOHKQB078eyhvCpFLclVoNZQN+rEq2zK+vNIp3bFanEXx
8GPAH3uTtOk6Cb2VEtOZ6QLQg7FFYvY+6EACFto2nKojNdlHVVUmc/d7MahkzZw82+qiP+4a76jy
xr3TNuzt45sEO4TtJGtD+rvMza6EU+D87JM9oKSV0cnwBJHmvimMrU5XFsAvyeag1ZGjPQ+ylmvk
J+ZWl80ettzaF+6lOXr1UTDygvOdL0ldl+vSgE/Li79Mxgqkluacd8TK0UeBHlbfRXX4C+rTArRX
Adkt9s5CU7Yneo8Sn6/4fRWM5rFbiOxIF2qF8L28jLDLrKJg7FeIRdzvDKXQFkezT06v7TX7qB8D
zMSlJH8OQfsQr0yvSS/oNwvaBcUxYGFzWzUohhgNnjPLvsKysXYibYF349QJvWsrtjYT5rXL1gfa
iFkTW3ABud0o6XO4WxSqYMwauZ8KuTcUoeaMBiSc8iMaPGh1Cb2ENH/VTDy3sljybQMNq5XHoL7k
Bl1EuqXtcYEvfk9zi104HcqjiTHa4Gm0tbsjK0uzbQneTPSph5rc+jnhTqg1d6/iYk2/iRclZG4I
ZuDMBMdV6e5uNpizH4LMYKu9mocdKWzgrNhFDoRZJzmSg66dEiRT5eVJ2sPu7Uf2dPNIkwiRVezi
xZferwwYJKLyBRoih2qiWUUEi/6ofJhWpX9b50ReTzXJRtkxQmrIaPI76zWszGrVW9FKNdTxqTK1
U2HFl57nbpLMXo/NZVKoXVU6N7qYVt2UXgouuHSrXSvYrWXU6MRl9+QtI1+cHTc6vcLchJGGuYO9
+dRv2ILjMIjLRyeY1v7oX1c9W3HoF/bG8HHpWBrjzFovj7pcPBPsdDQZE7TMOechRqkMoZh32psP
MEvKhu46VN2pPxvF8ElgdLQvg2JElx856zpj2Mhsm6xiRVJ7mTHV7x8QAp0mvbdpjGFlE3tTFck9
1uQlLg2KlcKmMZPlzK/777MRN7Oa4zErT3tqDtXims3lj4F4pgXuhNsojc87AzpZW5M4jXsl0tSp
lbJ2WB5NjComEQ6v3toerfuxkuexVZ1loxgW0JyYfugJ3vXG2FFI/ECgvtFzSvE2v6efthvsFA8Q
OOoYcN3O8/oT3YVFXNq0egXWTnau4obUolUDIYzNXMP8KR5Oo6lVC0QCV46OiSqW7iqcOeVQVhZG
qKPEN619Y2XGxhC+iRIqfSTBExNWBwQZxrizM4KI1qoh7+VAQVkWfr9JJC3uLGQrOHZFtS9SyWUJ
SGqnvfez5RasUParLTEYR9SD9zHy6KURVGt0FN6KkrRYdrV7kUbJTea1bn/nso2ilA3liOABURiC
HFx3aZh7My9JldzMIyf1CSq4IjgNv+8asdQwttCww4qZYDvPwzcoZwTerYIh8gbChHdZB85ITgkz
2/xYRsxLtwnzypspReDI/bAttZa9bVynRRKky1AmWsAE0lK/J5z4fDpZYWu2XL33K1eAlzdx3Fi/
cf6py5zUrMtSd+KYriTSpsVA9aQWtYMMAtu4bOlwFtqEl9Cvivve9Em0L0iNztlJORlfurQHD2IX
zBbcTtxQObtyieQKmqYYg/FuUMADEOx7WrJRaQuBMwpYJ/gdnfBGYAqOF7WH9GWB3FHZSyyVk3cU
z/aajTtEYBwWhbSqcpsFk6p3MCJsGEpMfId1G9ctDf3M0bbDCN0UE2Rz0TMtPDeG2A+WmUHN+5eO
9T9DN4Zu4Nr+/xy5y//7f1qIqtlrXtzLj/w1drOsb7SwwY2gtZ3TnCRYuL/GbvyJAAbHcwilmWHY
HNbwz9hN6N8cRSwK6B0hLFKPGJX9o1cXIOgcJMk6MnIHiJb5R3r1l2iTV3p1wa9kk/1J2giTP0IT
D4ZuwsGmFNVetcpUHGhnisUyR0yT1TirB91WG5MgdD4yTLw8gC5ux0hI0J04NqA++OzOEAOuTc+N
pq2GLhtmwpS59c4YhNYvu7KJkr0yNCAEhRWg4HRoQdP/dp1ErWpzdhVZVSC+ZxX6OTZwboaVzqCW
RMNOY9qHMmNi7m3NS6Scs4S3KpAZ1XjxbfJF2vpIopZsl51Z3NWtnT+hzqKRm1X5rz+fKZ8Xz9lV
Uz0/N6ePxf+a34wn+B5V6AfNf739R+aef78485D2zT9AcoPyfdE+V+Plc90m/OhfI9P5v/yf/uHf
rPDrsXj+3/96omBDjXT57B88hYxyP3twb/zH7Ncbk8XLD/zNObS+6VDHlT7nkDH2nWNd/npsmSNb
ypSmY8OAY/bLy/H3Uyu/MbLViUQhUZbho5rnyP88tMY3qOMMWF0LBbqSJq/BPyf+txT/s1kxSUFv
RsXI2Hk1pG5Y/B6kCZLIdiDOT8aoFrZ7WZakT+yqsHFICGd40S8CCLeno19dlTZ15VLLYQUvisIS
pxYlCdTqJA/uaXHg5UntHnUE1tow3IKzYF4UjHM5qCl37KESGUBL69Rnt8xOvmbIGE39HTQAtj6E
Co58ctnDOAucn941JkQ+JwJBEHMJPUgfRzvFEzQDAMoT7Jg0m7cm3pC+p4aYOu/CnSZbGclSIeJj
oyuCjI59bAuI35CdCva6eYKN7apHs5gcwyinKUeGggRT0Y/8qj1zTWi8kNKuKunb1RaI4xgvu75D
rgX5KA/W6IcGf+uH7G2XepciMQ1TI73rWw2Qi99laJ58+prIPoUX/caTJe9grpRn8ZDSVvaFh4S1
QwI8Lpu6RXIqpsSx2WrnVbnRpaBdN9KVsRYIC+hlCr2P4CDVhX7kjgTLbz07ip+QM1XaqipwnC16
r0mMDTEl5oMZifKGtE2fpqufV+BAvFKBbkViSUu3iLaJLrkeNIYK95hAeCWw0kBcuCf7I36iIZpA
8QC1Xt+GPbv6e6zexX1E9E68inzW1NUYdMkO9Tt45qFJrdsMOsKjYgAPrjGgGlsmEJvGpS77YUD9
AinjpQJGt9RQB6d8axdxasYnlTIYxsR5FRuLUpUgdB1R5u66nNz6fG6aV6uKp36eAUAbYoozTifK
aQRa5h6S9hE6dDms4BviEMxw/Waz/QE5v4KwoS1sZTJWxpbrMOuLsNpsGKCgjNQyzfZWhdvRsrct
CSjMLEe0j+Ng0bZJMyLyFvGQ9+7ayEw28tFYB89GmmkaPtiJ7RQeKPrYPQ2hCKiUhiAWbWjcL+q+
d86gfVJi9i64vNVgRE1wmqFW/wkO0fg+W+TTbYJq8JdTE8CCZhVN9LqrbWruVInLvqFOMlcmfF7A
wXHIG1AvndYz57QXdJLe/Rgz9PztpyVMLsyJNuMXH7YjjvMA2TfhVEiTHewDWIRPNaBWT77T0nJs
dXak24DHDZiS0Y3ntJBNe+0zlLdOtYblYIkUqrurHNM+dcFdFlv8r72/AXYfWowktK5ZZgjp9U0f
juFepM7wa7QjhYsX0bv44StCZ7cMFwN0a3yorR3NwHFrFlHz02sCdR1MIRLbCVjIBZl8KPs1G2Hs
OncAox43CmjDmnp0OBIFmJpFhRI8WkzWcAY42I43KWiyI0mOGo3TmQTX9zUAnrEQ7m99JsVBsJ9G
esdOWSNtEfZVM1Pl9BfAnP4Cm6tEEPzo9Vh5q0CoVC6VLNcttPKKyhq5BmQeqHV5FpXlZd6bBKWZ
L2C7yMmKe8vywd3VZWfeB5kd3ZYp/jS4ObMzMn7B5Dl03r73L/A8q6zUKhkKy1/VrhXfEGECYw+s
I+JlKJXJvnqh8E2Y0IZN4iggB4kWkq2Hfxtqn9E04+8iN0Fgnlitajt7o8wY6hGAuj69hOPONrQt
4v7Rm7l/kKrsbOUrCtVlMwWgAZ2mTTF1z8DAAYmC3JozRxCTOkhBr9XBC1oASDCIeVUNl8lyaDAg
3MSoMIPI6wupBzaYQjYT7WLCtj7iIXdARGLxBmuI/Z+/J23QKT4M6ECLBWiLgaUe3nr/03UohzfA
QYYnPHf9HepL9RNYi3Fp47zbmLQA0NoO1VR/z62CWmJZmxWsHkjbEKeS0H2y9D6zVrma4n7vvEAb
R7IwES+8wBzNF7BjUlqoRtzOcwExFFyOYYgqkH5VZ9vrKG6nh0alvBLKnRGRLRiqbCXAdjEhcYVq
18MIKGgjANb5Ky+h6zoz2pk8w75ujqc2JtWGQXf/o3AbJuE6zem9OV8C4IAVoTAAgmvjr8iz/5T4
/8Lt9FmldPr469F/rJ8eqzdF/vxDfxf5+jeJdA79HC5SDJJzvuBf1ZI0v8EapLqX1CgEs82xtP8U
+RhW+W8JXEQe/bIFeIWFFtY3IuwNk42DYzv2H5pS5xr+VY1vEB7CQ8OvYDuC+Op5Q/M6R80B/eSQ
A0d1ECTDbkL+SRhGk61eXZQPDJNv5XsOKyY6QbY4lIY0Mjjng6OwzzCY3AAYssrjAOdK13a3rTWs
saowo5T1V9Gch6fFoWyUixh6oZxahpqLxFfeycFEYx4hOFk2aPfOg7HwWN177a/H/o1Q8bUw8d1R
KC8V56SzEdMpPA9KzQh7AjODsVrCDCVWSq/FVtam/MKZOd+C17dIshdE92pabO2UBRP77blEWuwk
RoWfI04HiDJVxdTA34BjOaFjcD1E0VM7QNr4/I4dVtFytkMLnlyF6JKifD71VxdwnHxg+zUGK7gG
/soAMrGhKaGtQdAyQtVp6H5+vAOzK9JO03QlRzJ1ygIxvwyvj6dGJoDgvzEpmepOeblacThmRzjy
vzjS+5vGVsRCB0rz07R1dXBm3lgRLR8hlMqsYNiPE1wxUbTJv3EUYSFJB7jO7mbeC70+ny7uIzyY
cyu+DJjMRCPDcR7Gsh6+ONC7V0vgSuIdZr8N1F0cPukRtm68Km6zTBIyI9s+jrduR53oeKG5KbRc
/K6bJj3647tFxLGg1QDdQ8cC/fbsULfbU96CkaKazda2zIYNW35tgzTwqwDWw9vlktcJks7BfW/M
6PyDpx+9ss3kny5f1PvRlpY0zU9Yol887gdXkYePFYpnHcmyo0PtOHiTKysOILtMwMJH79KyGrn1
fAw5fbgGa75zY9f/4rYdvF/zASWvtaK5Y9qAAQ5WRHJnsoJ5dLLUGdrPylXumqvg7Yh8xwA6+eKG
fXQ4YWMSpfznGTl8ncu6h2nSsqcU7MrqtQ5aMkQDVSIsSzpwvK0E2v3FNT24c5yisNER6JDRhDRJ
Qn37kJiUmjVJLTH7WFvbFdK9ikur/uMTE1xApOFcRKqxwxuHVKasrRrTFRgAcpH0lKFf0oA5RqWy
Hnqz+uK+fXRS8/LE9ovsNT7Qb0+K5EAW/VSLlrz08BxVkawTSCj/xlk580F0hFw8+pQTr1ePzEwI
ZTBgS7EpmnnyWoIaQJAO2SAH05vYWH/+Pn9wVnzHeBS5X8AzDs+KRJiWAB8e/wkHzpKlM14TuDL8
1Qj+n34ueSC4RRQZ/G+uBpyDa+eOOYT7kVFFWYT2qulqZBhtnW8+P5eDL8l8FILsGJhQJEEzmPuj
r69dY7sQhzHLLZ0KCRBNzHFd+xNwI9P0vjihjw5lKZZfSjWDZ/3wUMLwkU6pZDlMiY1DVg5XteFS
p+Pqp732353jDyqojw7FlVOkeNAt0w9f4Hbq2gRyDWpf27/GUzUcdyFg3WLs2z9+FkxlGyZtNIEH
zDis1QjlaEKGo7ga0NZCg7KZswxhrv6NE2Jtt/iKWOZ8Wm9vUwDfFF9Bki5t9Cank6ZPxpkgAM4/
0zO32H9+9d4/39S588eezz2EFetgKaL7VDqEfKDFTzCV8XZ1pySIO7s/PoqDjpmcYRZag2L67Sml
mt5bkMLRHlQYzaN6updj8mex79x7k4KTF2lutJqgaw6+VGFnRHgUOIjWZsk6zJgi+k3Zn35+Kh88
bm+OcnB3BF2JMEuhxoReHxwx1zLhepQtuIFeXf3poWDe2gKcCn1gJhczluRVpWnhmRhpTTBvhaU0
D9SseBVjErtNnFb74g69Py3GGSxwAs8Fmy7z4A7Bm45FL3VQUFaEQEap7KTp/fCRvYT8Ym14/8hJ
3Nt8mwQlCsc6uIK9J7R8zDlUzrq6tpj+QZ006i+O8v67DtHIZN02xQwxesdsiVSP3wFQNigMvztF
7JrfJT6JfMcdw2q6xkIjrOvzG/b+mGxCbHaMCJ2xW5gHN6xncyV6iG3LwjARfIP/WWmI47Cho3aR
Jqqmz483G9Neb4B45JlowV+y50x19iMHB8TLBemFZOil37pwPZRZuP7Wdgs0vnDrnB9ab7vx1mY9
nCfSTT2uUcbr96Iu6rvGcMiY86LWhzaYCfKubTdoz2XrphqJRvGQAPwixmbTSs0+nvC1P3z+279/
5BiSUCzPW19mIvrBL18RY+wbJp8jDLMFqq6pq4GPl5P3k4Q7mvV/fjSbPTYDQpY7Ltnblwk+fTFU
BXUeZuFmpPFoiZtKlg1kZfBNwRdH++BJoGEGUItmtsN45+D7J7wwCtuU7580ZzWmDOxojd8CGw+6
1bFbdEVeXXx+gvNf+WozPD8LjIkc3WKxUDzz5tsT1IlxwhwA6pPo2E3Y2s/4g1Ex6MEqLMExStlf
fX7Aj86Rt1cJQcGis5d7e8BWl3WtlbNAoB8w0fnmLfL3UxTsHgkQVvjFs/7B08LFnNlgRPdixJxX
lVeLoZl0ptIqTGM+exVcZU1dXGsoUncRUaHnn5/ZR8eaP4dYK+mWsMd/eyynsKp+hH2CSbAe1gRz
asdp5yN+T+tp/fmhPrhrWEXnnbBwLIr1g3UXcYhv04uFiO9CPCWeSN0Ip9bXuXRAMMsswnU/+l98
w97fOYeumk3jhBdwfvfenl8OCQZMFgAehCj1aT2lGNH13tjRm0d/Zki5+dOTBAQxF+3zxliSY/n2
eJrQ/DJwKNHafui3TpczA2jDqj1Jgl7fR148fIeYYq0+P+r7uwgmTEd0hu+E/2MdvIO1HGWuWo5a
9VOynUo+ZGWMJzVpMFl8fiiHE3j77rF+mS6SABNannF4QU1giAnoQ8IrRdZ2iJZl+r10qxk6kE3Z
j2SKkysYGtjiwrEl1/jzo79/hmg38Lwye37pEh2caBJSDYXERoE1qZrTPEktXFh0Lsmn6LHNQvK/
9mC5fFXjv/uOo33QbYhvjMDZYjoHdzXuynHMclDkhZu6u8HxE4jlgfPFpf3oKKyh0mS/J3R1uKxN
HUA5jBnsz1OLzOe4qoDdO+0XT+i7Z4XGFy/CfAWZtvMtffuENs1QdYZF7WhUY7CeC7KFMc4s96Cf
/p1D0VNhr4iKRRx+iBLIAMxWwVSJtLePBPEJK6mP6VqPtGH7+YPxwbWjwLL4CknJ8mLNf/5qzUwN
WFWhGNLlUCDCSnVWG5IJk/wPe8qzgoGngCYRjz89r8MypBc18I4M7EVW90Qw6QiTH2xHA7f++fm8
e9BfjoO1QMyrMlXW2/PxtaGqLZ+IHyIDoL7WjtdpkBDdahkDy9oNOZruTQNb6YsX7MPryLo3R1Qq
+kAHi3QM2Raq6kgYkeWW+8rTokcrNsGsfX56Hx/GYZfO5hKC4vyQvrpdfgUXX9k9CTi22Vq0eUOi
jTXaYV88Fi+tnzfLFdfRhDNLypDDsOTd+ag4xwTB/ZLABJ1xbQf+NVaSOZcj2eW6eVSENG8yBtlO
6bRb5Wbii5fgo1N99Ruog7XDTVAvtjakanQVNhb61s5uWzlZl39+RV8f5uBDZ9fhMNa8XGidhuE0
dZ0bQla6L1pSH5/LvHwom76eOHgqRddNxPPOtdbox6gyIKottRSW/Re37aOnn+aDDZSVx5++ytvH
I6vCLm5LQdIxWD4EH4NxWUvR05Wi4sM3r0rvxAgAQf4b19Bg9IDuTsd/fXCrxtbKXT3nsHIKM/x+
UzTdJn5rflG+frQCmzAsKGMZriBTf3t2djcr5sjBW+LNdtEOj3IzqmamWPQmFLA/PSde5llFOHfQ
Wb0OSle8UbLrLc4JjR3B9nlA2IQJFefP32iOQxHJJh6R4ItU7PUbbZkFINicBQsmGTx9XG7+1hqq
8It67v21Y+eOGlFnTRQ6E7e3107lgyyE9DueBGb70VST9BMol7RQ4rc/v3Lzw/x26aCkEjx9TBDp
IsqDK5eAkwAwhWgkQKa/iXKt3BbVmJ4HtoFHM0vrL/pTxvy7vzngrIuTtm1Qwc0tvoO1NwIuPsKR
HJYRFITovMAVnT8m7IbQkpPT1VwEVqHfZqpx83VcqET8UNHYqh01g1ZcfX7y766zcuCAwreeRXQM
Qw6uc0XaRFCADF/GqtRA1+sp/hItvwhM9VVFyWNycOJoWXXAAKzRsJlpaR0czCuzDFdxqEhZzIih
WwJ479xzhQmrvoOnr8NriR2oZzbgJk16RGUpZ5rOwW84oLr5dETLhDbsdRkPcfiI2KkiKT3185o8
r9w6S9hpXVpMFq19POiQVauiNwZgT8q8A7TR2MdEspIzUFamPSxFNZT+Df509TIdQfJD/3Oi3MPS
3sgOk6AccmE6yAMznVvjDoI0jpmSWV167gBInIAeiPk/iOpxj+o0kHDX/SgOvZ/STVo7XfOVcogD
0icVEmMm8tEE2I6GrTB/Ip1N8W8jS0qzi5HQZFWS76ARFQUEsUrpwLmVqlOCi7GJrdvGsElK6hMM
WqcQoz0NOKNdB+26RJWrTtIOnwBiFbea6SQw60kJXUKtbSOMoJo37JXlJB4x9OY4PJmOn4LPhSnQ
WzhLBnJ2gL/3Q7jK9CmNbk2yICU6lXD07EvVYSLcVV6VWd/ztnfVphxts9413GBBdkPuGmu7kKQM
A9rITAC4uRuVW/Q4Nj7AiYSPZQ8MpTjxUKyP5z1OYe1G81OBqY0sgu7awa1nrQzSZPadH2QWoTHT
lD2XiA6fgYVp4sQkdjJb4pfFEINDP5lObUmkwE5UIA92vp97FW4bGsF3KKtiC21yj6xM+Z7/S1JU
OfC//DljNypl5h+b/YAIbUUzMAjJlg48sfBZlPNFJ2U1PmWjyUwf2ZwXRA+8bXPudWll3pXnoXnc
GxbYvk0di0Hcp2R8RWszyyr7cagCHeFPhxYTLN5I5K+/joFvpARRVIN+iXS49RZSq2r7HMxm2a/T
CWMQHI7M/V0RHPlMOA2aH12hFj0yWz1IKAjx4K57VGAEROa6dl6zIQVsVvfhcG22cwJ8UksrXYmx
s6rnMvT0e+yAUM8Sm99tATaNPOypDLNyQ1YdFhKkqMRciF7H9qJ1JVzJKiQIQvd6cm2NlOJlQWhE
eCcg/c7uytwCF2wBz1m1NBlbiAhz/nYigZSuET0pcxUA3H8yujTF8+ISSQmBgly1RYYxgXhnK4/O
IZMbT2S5xeEqh8BgbjEQD9eulznVzgIoW68D1MckBsk6J38X0w5e5aQorU1W6OLZj0x0mOhrVbed
2Ihbi9qYBnxEfdzcK3iKmBZHqKHLcbLtgCgoz8YL5Gtjvib+wrguehl0qxxXar9XhcWeqwrARuwd
b9QJUwVd8tTnbFOgWAgy/DLDbh7UFFkNTCA+qeAlwJssyMelCqIBXF5BQtFR78W+aJYlMLyA3uvU
uFjCu1LFZ0VOjMwmw3gGrzN1An3VabiGT4PCc5DSeo1T7+H/EePkh5F5PcWAMm+hAwJYUuQfj2RK
ZszXo8aQNyz8wS2RLN4la7eI11lt29GNlhUZy41T6oRFsmb+rlC53VtdWg3HNA2ie7erw/R41HuI
V15dksFJDe5pKx0K9LMuPOMm6BhUL5hgQbdFLQgUmCY6qBvM8bn90OVdqF8MCCvr25SUr0udiJhz
HO00j3oQjITxJH523k1Wm+y0tABkgDwvJt9YGeVV0XRxssxTzfndjZ6b78ZmaMutG7UiPCkCQ7/X
At3ytwWBX9oWZZD/DLnFIJjVqd1+lxJ03gIXigptEVAxOhsjLKPoxM9619jLXrdu7QB34EJrpbiL
dDbsDvV+oJW87IMT7kdfd46NkfzKkwIfeLaqrTzW1k7vmzmh8UHfLV30zPacH1ObQPg1AuTisibZ
E7yfdNap0/ftT49xfnlap7lqiC4CjLVmLYGS7amUWLwaAgThGbTUHiq91h8cyDrxDZKn2DhOas2G
aCmDObnSt8x66bZGI5aExmoxDtKM3EDiP5COLkYP/80Mkh1JpjOH1L9LMOb8LLpS3NokSXsbaWgp
YggT6tlCD/kGkHrc9h0xGpPpl5dYhur0Gq525d76cRH6W5XwupIbyFZkkeamuDTFpGM3InYxOjY8
1ywX7IrSaqnrvYfAucR1sarAknggg/IoO/ezrkhuYT+ZYkuQiYOK2Uc2dhM0BUSivij4SoL4SUD/
MyZ0eBCjqlkCLiKesukijaiDkaf8XkvawCZMpWv3gBiGficnbt7adUK9XiPLick/cfMxPsqgaOe/
K6b9I3umLn3sA6WeS5cUlKch7g0EUB1SAszNOdJrYuqxw8ZFals/WDYSE46Hl+juBatVXR/lcJ/I
DeAdNZfh2EQeTTl4NgNIh6TybkVpl+GV5rS6wcPu2OMq1AfIwvOcv7uMDVkEV2nhNXJnELzII506
rUzXTqey9NrRJ7ySC4xmLU/JFIX5aRX0fbyvi8pNjlD4YyPsJuD03iJkP1Pdkh4YwX12MZCShRhP
ptE9gE9M60er8Wv/MuyKtH4yB2fgFQq9wDorU995ljDH+NjrbmPtQ2QbAB+JmYaMYXcabK6cZRlN
fQP+dDnYDleYzJchLH9QGZU8xoWWdeposAFzX0Pv1g0QcPQSb4l1rP2rgSvdbseu7JPzCk8CXsAm
Bdk004+DpWO2MyFKyPFy7MxMw66fRuVPpq2NTyTTKNudFYpS3+kaKVnLPGtJu4R9a+6tGrLLXRFM
9ORwVJN3bTGNP4b02TtHmYpong+Gm5UwVTqDONQ40bujClaRuTIcmFPn9Vj1LEFkPvRIWmXDi7kI
9DbTHtI01vqtEZS4ETWdI5xIFNMKlj/neIoTMxsIPh5Sm7gdHUIKMhSigPFriOG7X2ux+NHZpnZW
VtBDTjrGuc1T4UK3P5P+mNNtUbE06qtAoB9ZpDXC/02jqcL4rrIocrZ6I91HrdH1+geCdwjX0i5c
kSwGMrisNZ8nOqIaXFOpwS6wgREuGpA1+mMBeF+7A7sHxd4Y0/HmpW7/jwj3X4xRX21h3tEtHx7T
n+HjawHuyw/8bVcyv2FVQmcgcQ3QiZzHHH/blcRsZJqFDjQOwJ/OPcp/BLjON/p8iC5f/gP0oxa9
8P82LJEKQw+EUR49cBplNOj+wLCEmOft5g9Hg0nTkimuEpL+OlvAtxvbBl0lbEa+zSyBRBYF1E7h
3hUENiSiDrG9GYFj4dMwKtv/XVfGcFs2HuC5BYkWRLXidlP9r8Ekhn2L3t+faRm6PhgkKoXOswUH
IZzj3f00OMPoGoPYwSqd/whdz6lZOH0X3W8U2caDcIc4+Z5aWlNtCHXDteuEo34xebHp71wtiztS
j6cgO4XlgrBKlvEEf7bt72RBUvFmohXqbGiQpyVQ3JSAiWUlIuBmi6wZTMIReMWqY+pIW64Ko68B
06X+qJUXXkrSFfmYmqbRIC5t31kzx27tIxWAF9vak27BKSv9h3wSUNGYM52GTRdcT8DIjgNLr1nC
nGbJHHe4K+uk2JMzwnrc1u0VAZfFJvTye+AgzSJts18JeV3Ux0Z/TEMXbt4oyfVlr/WodC4x+ttp
ByEqOSIHsaKLkUenut6ea6FkdiuIPgMfUywNNyDANxjkEYCL9riuY3adOsgLeIlLr6DeoEegvotU
9wiv1n9mdtKC4yvbo2wATjYGTBHV1B2z8nT7QOrZ72CwIC2UhbnFB6AzbMBIU9ZgQ3IKMeD8qrnD
R+4timZki5Z7fQl0QTaF2WH6ymVzDl4qJpQlaooSh4PmRMQZDHYBLjJWNTeKna/ONFarCeG+ZzmK
62M3ZtuSLcj/EQD9qla5+LY4+UqqpWjMLGqX2Bu686ijDU3i5DEgWNEfQeotkzOULt8zuH8kztlt
4a0z6mFIeC3Z7aTLkFIBoseaFjDYhH1DNjCfyaG5hhdUYMUnMFh3KnRFEOYC9hzTGuc8iJyqXAMj
ZxsS+ZKfkJnsKNQqoocuw1AA0LI1tz2tI7JQBqiVF5PMMrUcO6c0r4KgEs4CJH9HCL3nyCOzIHN2
P0WQHU9rnzCPPTecGBAjUT8DHcfpDtx5G+/prAS4rc3qoU54ZHL4oGrjj0PvbxPfIT3aSwnTQ2Zx
AdWKANCApPHJArYTIwP6EUt4/lExGt8zC0tWO2ZHfBsxqLlEFB6nzowT0dm4r/AYZuUqwYC0aX2N
bdtENHP9VDNIDNlOBDWdjMHbGtBFJnziasLXAVaDHDFiz9wd25NCfCeoxGloGAiClPGEnMjOp54r
zsqW4Z+MmmeTMhLQsmPSXCghx/LX5Xe1M5X5cVHHkVpphh7vycfwsp9+GRED1Say6Fd0XBLc9nGG
QD9RNtK8UCXaQJ6b1UdPzPRj0pxadablOYjIqu8sLEVtO3/8oN+WS2SFD2NkAUXNR/UU5gJ6WF2c
sEAZzGSmmnsaOKXtLgu/DPEAM7O9lUO6l5xntiEjR//ZjZlpA5XrgLHwXprDL9YCwnqqSSXAcRuC
XEBmYXveELPCJ9TvgGgQX2x29T502RPwTNTTKuizoPqJrJUMPY+CpVx3HZS0FQzzGVbC0CBf8cXw
3COt7IJoXVUaUedFS9QOA8gTyFfGBS/vsLbGND9VcCu2BTuzbeYn0/1IRwBHqN1TI3T47XSTlkKU
uMvWbNsl4RAzu7AFoABG7gZb3rmWV/UiNIsa2pAxbcaWhJNCjcfYh7WN8DR17ESNeUzBJfeSZt6T
04YWC6dP8Ght2dRVhmxHtuukuJgbVdbWRrntcwykeEX6+vhQNtltDbd0gwVv3AP1zTclmMxjA9ba
OOWcd2yhdTetX+gXwtOugWsMzr5c82jI2x6qMkFG4bS3QwgNfdoRoY1XG3qnKbv4xLbVBKUYN3WS
6c9umAeXrLfeietMWDC9AVqZTw8BdYlu/T/yzms3biZd11fEATOLh6tzt1qSFSzbOiEkB2aymIrh
6tdT6p6Z317AP1gb2MAG9okFt1pMVaz6whv2VCr8IyYR/aqX/vKa9XFNdBYsr64fpEjiR1F2zoqq
OLqenz+I1q1O2VTek8n+ogqXk++KSJwACtTnsm+W0zih21dHno0GkhggoNbjnpVW4JWs4pNQMvrs
TEWM1qMkiUEIfjxaczfep2wx7ZZC3+ysK9t7y5UXfnPmKkShLx0/IemaPcwuJSmB7REZqnOYUFQ+
5GZjnKWBqINEVGvljD4PUWt4cSWBf55Uf5OmRQAPvkOcFSnUjdOECOXQ0PklkgnYeOUeAR6pfZtF
52RWm4GCFiIv9aGW9htF8rXld58Mqiorj/2ybCrziZLVNqqyh3JqbnDXXQcBNtgL5LMbO3WWHQax
9Tpx+kPWDjDfZkqQVQF3wUw9WoDQ/AaGDez9/Ijp97Cac38D3If+hRkcXQsFCp6/+xK69HfxJJXr
eXTDfZIG+K9Ewtyx67NaJJih+1PZr2PysnfXGobTgi7a3pvhzCYqQKmysA5BTce9RKx6VXjzd3ym
xgdMACBYJ89tN7uryrDvPRkjRFiPz0OqCIhTFOrmdZwsexRxftWqfsglRMDORKjFee3adhNnyalD
pjBPMAHIEKaZKH7EzbjBz+M+xYA2wMMNg0jId3hr3GaFA9e2zR4RwT+H2XhKxJJtzTa2SMnrF3v0
DuBY1l6HUe7Ka7KTH+Q3GVy+45RLG6HOrpr3dr18zlJprUQ9oxsamJ+Qm+Zepl1YOyhuz7jrcm3f
KGpCn52Uv/F6fL/AO3gIhPhJzrrkmo8JpqjPOcUJROzS+StWY/GLQE3fWDvwmZadJRFNQgArc7sN
Rk6tswtl2ifHJVUkrOTcDpWnzi/ebGe5l5WHglpSThu0bR3Em7uWUvLCa1hlbfLdRmv82ODyZfa3
Vu4Mq2YYJARcpyjWSTnnuzS0kIoBi3eTAOH+IkYxb0ITpvLcLiVEyCZAkW/PGyR3ZB4OOnG9y5Y+
lPcdOmsdUYYcTnZYL98o/5s74IohElNpF+yokxkPRsXqQp1tXDAh7rPS3+N2OL2peRbA6EY0ywpK
ShYmohnaODEiwKmDdJitgi8qRshva1EIqLap6uJPpq1NbTrbP/QxmKah9TJdFplRkhhBOlGFkio7
jqHLx7ASauSsreVTmM3unUwaCNO5g7LblDdrFedoYA0Mul2ivx5XZO9dVLjbfkzNe8TBzFs7cR2q
bijOjq4aXmqi6Ydxzh9aaRv3+A4t2t8CkT2i/b2y5XzjUTi9nb3hMTWmb40nmBiE4GjY5feEgNPZ
HRpRrJ049zZT0Ve7QpZPcZcxoXv8Qal8vJj+1G4Q/DjbCETvAcXhV1i75gbPw/ieqAX8cVDdjZ05
3se80HicmAczdXj60fIz9o23Ah/RUxKoeAtZ9jC3xrHzs/ENpmuz8bo83FKtxRuybuZNZLNxroAb
YdY9l+pbmQzdGQX57xN5PNrVMj/UnfdFGl17RwrkHEf6nHCXqycLC8d1gC418vSya7duzepKo1Cj
hhY3Lbe8tclZeOwnkPagL6N76XxCeGx5Gr0lR8IQT8LZFreFNXt7z5/io3LYS7x0np9LPGW+WJhc
70c/oKWKi/OGQni4m7KZgo8y2FzD/sdIezVFF+RraVIgDErz1ektsfZHs3yIIkNurXKKv4eZHZ5r
sZhfvaSHBF4T+/lN/TVFpHsdV7F4XKbqyQSu/BXg+g/0Q49ozKGm3mbzN7NTuwwNugOuw+57nXf1
yTPk8IhwbbutECV9l30QvNNwGO7bxHU/h3nbgYqJAuSU48h7qkZesdiv+6fBXIobDH5BdaF1Mvzy
ZmPeoc+r9rlldns8s9nT7M7Y+3YTvM6Uiu8Livmodpk4A9VpY2wdt3ieof6g8FxPT9QbjkU62HtT
utb3AseZNdh/45tbTNVrhwbxtp6Bx+XTkN0raYbrznbLe8zWzG9piaGM6RftBgOoL7T9LdTLlCLs
RyGaapnWZpi3WeGjw+WGw1oG6ISn0RKtoSYvp8IMavT+rHTfoDuJ/OZgo1ZfhEjcYzyg9hIO9kM4
9BuB2/PaLqgOoppsLp9yv55XlHzSE9ZB+Wc0lXDnjH1c3IsAma28O83wjWG2Rw/JbKK4l/QWziCQ
Sscg8W4mAnlq/stWpUZzNIN8mw2Z/Jq2pvXQt/WzY5bNzeTEtzH6G6vcx5dLkGsenF7k97XheFvZ
wkoxnDhETDbhfRPDN+FOyafSiv0buVj2k9U5ydll68B7ybE3fhq3SC/PiNuFp3wsxgMi8c5jRoi0
iw0TITVrKjZ+BX8cEmWVrGIvTDdzFc3PqGUgcZcPFqbLA0JWO+TVKeOy0fxAUjbfEtqmn7BVTB5J
08kuoyBEjj9vviPoZ6+HzJGIl4kkvmlqIzxXkWGekNXtVqQwJaA1KPHjbEhWEHf5lKpZ3RjemJ4H
VPAUJMl1P1rkPuCAmpVRend5U8S3IoPAHZNksT9ayTpyEQWenTQ8NDOoYjGiRpfafbfLcuk9Vjr+
AbUKo9eW3+Hs8YY21ibNQ2fVQPMAu83reRxH9lRbNubOabuXbMI+DKQMeWg/SnJvWR/mwk3ZiFKk
Lb3J/dnEFWX2xP68JO2AQJw7oFsyT++Ml3cy+o9EOf3akfR/ZTpjTx+n62Apkl1Wuj5KQEpiYrb4
5RExj2JLKa9sN1k4x5TskJLcFC3uFWvHRDIDgiYtzGhyTrT3PMLoGD67T+lfCbGPvOgWrPijbWfx
OjMxo8bY7XOd4ruOcd5RhuIW6yJaVI2Y19Aitdpj+BBGGMxbg4q2tMHeqJOU7PpFv/fn3L2x0Igf
UGCnMbgczbh4VaULEb/pu+5emeGLgaXUerGS4B6vuuImCiMsqKxFIFj2PbGr+JB4/XArugDEG8WC
1wh20DrFJn0zlWggzeGNHFr5ZCDP/I5DOwKAWpKLluJThzBx4Qc0RS0j11L6yMwG+TOFo+6lQyPt
fmAf2MyDcn6QH7wJadzVVvW96pLqbZy69ox7J0wxJxvNQx1Lf426Jo1TLaNOuV/Q6JJbww+NL4nZ
pnuN1X3LLN/7OsGG2INKPRcKvzMWGVTibRoJxPZOexh7ZR1Iwl+d2hpWNIe++u70gykS8Vo49b3s
bGM/RaN5Tqv6HACe39ZOne28vnB/ufh8P/sUdVZhpsR6CBUWQ6jvrJYBFH6c5tOhN5zvqiwalPHL
LsUUFSf2it7h5wkHJNbtpP2UdbI/krL5GzZeYyMHmt5I4NDTtWKBKnmwbA2IZevQK1BuwPYBERoT
V0K38djHZqTJQ6v53ChKI7SR3RV4r+UB5EdxkrlNBmz+WqYg2QF8jXFt4n3YSPhIT3JefmQYfa0E
OsV4HZjtbWWU7JUCMV4wANW2NbxpBUmw29cmGolopk839gIcKm6WO8sX53EOvhAeEZS7JRbrtSyP
Pb6z50LQdqqrAh2hAB3nV3QZK0LD5BeKdmhYiwBPDeVDTMkmuQ2iEN9Sbg4A4Lw1E++lgNm4GjB+
Xkk6DqtwQDjQS51yT6N0eisQMbxDFqQ4eLVVIrO/fB3Qwtk5gEXO6ZKVnNp2f2Iwb6xNvK4e0I8A
dGI60QZ3ivK2TlDPwvE1OCFWZT+llVnvOttEaN/UeZ2zjNN6EOSEjTTafZMKl7yaNT4gz9gCoH9o
tOVt3Zo4EtiiPNDPao4N6jNHqw+tdZvav6hAYTDqZU+djXlWMdJRNuntoydaTQ8qb7VnaPTLVll4
U2m/eNxD+gP9A5PAnx56GbaIumeIwswInI5+6rEHduVpJH66C5HXGbEuwQG19Cl3HEcKjRuXiiZO
7T1GKtT6191UDQ8oJta7okTUP6JXQ3m06FA9EURH0RhGGMJgoaK6Sa0Dr/jMBg1E0ZiXLWAVFLAj
SQsPCAidY+OVHY9esRzNGxHE9TGmabArM+9+rsqjTAQ9tniS+xZrEqqncCUc1gdy+15km5lu81bk
Ij1kE5UlAMjW3tEUcUxQLHzJmm5bet1nfJVf5pjKIuVF+5W21XtR+/c4T7SbcvHGl74PgV8UbXe0
rXTAH9i+n3Ce3eS++xN8T77u6yTfji1KNCBkeyo+NCxbf2xOdtSn5wi8FY4zGW54RUblNVZ7PDTG
4xJP81qh6IvWQPI2qShyTuTsfXSDSCECVqrpknqfgyBQZ7v3p6cGsIa3ywckTD5FMZX4FcJwZrUJ
FNqSqw4M73yPtWl2Th2TJ+tHDjaledZ0EXWzUCUvYDky9C0jLd0eoun/depynwwaSMG0kn4pvo5L
hy24pIj7hQaofKZfRpexqaQxoTiKwwIOIxIdUJzNyQkFzWUwP53T4a4TFUZMXinGWSGqKFnyOrMg
S0HB4Ql12dj6afSU6x7Apo7GKWtr22DTwx4IX2hn6u2HXsEZZGtwhmVjhRhd3Dpja9unxmpC0saw
t5IbrFEctfXATNQbFk1rORmZb6sNBsJYO2JERPi/JIAxzqVvDkBujMi+77Ng/oX4CypOozKbCtHL
nuonBsLDJyr/4SGgk3bwq/i5BL+zwxiAMK28jYbgc2Eh/IIzR4OBY9E+VrF3alwLLFGFBG6BQ5Qq
YeaYU/BD4QP8wkQYP1O/zfa+Oc02QV0xf7G6GRmrjFIHcM5ph0G17W7tvPRWshK4bGedGePpnC6V
DstF02+MQmUvE/40/QOg6Ir50E7BISwpJK/NSFWPKQWkbIuOWFE+Ve0ob0wKQkA5KFt2bVx+yQcR
j6tylMPtKBfaEol1sA1LexjmCkDXYoAmGRH7VepLUZfPZRNEb/Sk3cchNbxHac3YjyfzGfwVFhyN
X33r3YzYoveephg535hFMmFRsst9M8jqU9kn8piHqI2vBkrmL0sXBUdHCm/XZGn71UZ56JcTVc0+
sFMQF470YcXU0dci6+dt3OPk6igcACgAeMcR18NfYavtqpFMEdgdogBn3Qp4V0jsTCNK+zZKSptl
kd78hkB4aR/KVKEcTCjeeEB5EO7ZM+nD7CVNuxDptb6eumOalFaL+JpsWudmsmmPbv0P7243bQAt
1zaNH1Jkv6aIiysnl4sAV7YNUxYE/P8UROq8DlBmrQdkAZ9zFEAnamp5yq4KIy4vB3zH+2ZeluYA
vRcoEqWZYBzPokGMSXRoKtiMza5fkP9NsandYp35ZUrqT5SmTzHgmJUNBHAVzHV7QCYUNIGZCby7
QBAlEmGxZcR9gR5F6uLWI4g6vWrc+xVuKZjF5tRV3BHNL1roQyxuQ/qyd/Q7ViPpyre4be8LEILo
2E1IKI8u+iZF5x/MejLuWw/XDElRcq0ygXo3q7vlrX1LNUfU8ASC2jhM3YBUk6+L9mjHHzQ4NxiB
b63FGV+TRiSniRIpKD94Dp89+hLnvlzqXTyECMs2U3waEgd761H2rWR8tBX8gIfNViZxbmwKpsw6
b7VjfJCYNtR/bV7mRfkjKp2vSxxZTzQGzqVlHcc5kcPOm5Lx19K2095qCcux+8nXhODY4eBsD0Kr
74J1mSI0x/4p75XHq4tUleGuJJWqXaBQdcX1Wxva25R8vizocMlVbFDGnQhvv/lN97OrqTEXbe+f
pYPlDbMp2xClxBQM7fq2n5b+XUm8v0cSrmxI+x0RenjMzGk6iTTBZw283UNSO3d+iDtD28/wldK7
Ju8OrfTDG8uP4FK6Ztbch0LFt5CMoFGBxlm3eQjBs4glIoSqo+3TozVtsEU/Y8ZyR7eDTZFk+qEJ
mJUmRcBHx81uwVjsQAed8H/Yt5bDnAfC/a0x6obic/DmSerULuwe2L9Z/IjIp3+gCpA8FEFWb0Pl
2nt/sqneJlw0GJHtbIeAYpbsiKL7WyVjvV9QoYQoizn3xCYdP5TSnL6z3pZfVBuMvI1NtPPN+d41
Og/BsV4Ai6ZCgN5aThUJeP14GGTrPaEr5FoA4MrsaI+Wc3CyadzMS24/U5X9Ofrx5xLfojuyxPjs
gfw5BPG4bGYQX2iah3c+xpafYskYrlIdKxTegJUMjgzHZqLXhGZZuymaHldpVc7YNoJCGCyUAsE7
lTeTAQwwcVmfeaGF8VSIunlSKn9EnLEhg3UVPuK40iZWbm0MiTVKXHj4sgZlfQR38aXKHHNlzgJk
/jiWt6VhkwRG7b6w3e49bnty1iG+C/RDba022JLAYXpWOoBeiOZkaXxtfds5qGggfMvqlyRHbiIX
COBn1vg2ZhbeVAaROxKKgPl8lpCbyqnK27iX/galye9V4NGkCRzzuRLsBU6ubn0vIdeyyuXo4LTI
DVKO9rOPUtldZebUjiuoGdNovAZuZawki9ZpUmAYrWEpMWDKk+RZuexieCwr1d7NHWESAtVd5N+U
VPuj17ZFTHzbF9M03DQR2u9KWS77Ljgr0BnxtDcmfO+g7GBdJIl2G1SfT35U2ulnGh9Jts5DEuFD
Po810symmTTvUWD6Ny3G3ABIBru7yhH8/4TUIPyvflb9X0EXMLP/DqXxX7/a9PtvKI2PP7jKpLn/
AAPho9IAHEPDIaCFXFAaBnpnyLmiDwuDQQsEaKWIK0zDCfiVCZkNmiiUfivgV/9EaTjuPyDtQaVD
CVmrWfzvLEh/x8TTA4Be5iApwuFcxMqEZsf8hbQUBbkzITbOOjPNAUyslJZ58562kaPDIShVfPaX
h/Ppgv3/q7bY7xQEzihChJdhz0HPhRcoNBnzL2cMcDiieS9/jmDVOXgwlXbzbiiTf8MRI449u0Zn
/Afo//84KYat0ElDkzYoJPI/T4pvjnLrYnxvW8dp3vtG9caTX6Bs+RSScqJ2Wvb+/8FJtcBZYCJn
x1kZqt/v1G/LbGjHgJPWnC7BuzXHiy128tsKS6j81sSiilP//eP9HwOKfDaMd1A+FkI+TKDfT5oj
caNN7d8GLLwZwghp1ea97kZuOyoH1srN359PH+/fBA9WPFjIwIy4ScRVGNA/JlAMYtEW7rI2RRk0
75mvwEhuLsOZ9BiKUX4d+tSMV4L/gZ7wUMb8j3Pq95vWExiVH9BOPG6uAADT7zfdGqiRT2lIfNan
iQiQrNRDS9nT5PwqKCk+/IdZ/Mdtu47pQ2oBQKWnlGX9yWUs3AwyhSC1QMWyzvODX1D9xxAOAMFc
HwN2lDwFyG9C3qBnqfwm25lZUHXpf2CV/T6x0SawA1oulF2Ea6N56P/x+JMK0Ra/erV48NQiA5xK
ydEHmDWUJICu+qspoHz+90P+xzlZsqBCQeRH7xiuNOP++9Omujy79pTRBiW3Mp4ccE8sGaIq8TqD
JcFcn1U9+ub270/7B6PGgoQFxgwZbTMI+fnnIGdZMvgRMsurxkhH4wmlgpwTmrOaGeSochnxmkGj
M32Z7mlHlQL+Dc+E7/39tfz5CAi4WHgdKJi2iVjWn+sJgrpxngnDIaNitWvXl2cwsYAZT4ZySuo5
MFeQ/fsPb5sezn+/bWiSwGG1OaWHOpOPoNsfw22nuduBF/bJmhQRLpJZWcrNhd7yn1+qwP7ziYPb
QxLY8bTWn77NPwa6nAMzDXofG0LSAx7yFIy6UgWYKPSbXeL6k/FULarns5o+d2vdWWRzzHG6YbX5
4JgVniDP6BExS+KPuZLhFdMHtMW7WL+aFKe7UZ37kEeGs2i1NMwaVBpotW4r7OP5YUrM+awTxXVI
SenKyoDNonKtwf3TrU+exN97VajP+s+TS2/iMF7qe9nwBZOMPoXbJsIFgygb1oq4Rdoym8JNkJJ3
Baga+JWeJ+kS9gFFz8gEJ07DMHSosFB7YRATG3cpIGSdJXjoIRUpTieTqM9B/BiZ2Rlk5qE+WFEI
vcZSbVyCJ0TLM+yvppK9/wc9EWvIztiJWEH6PNM2FGIXN4NKuztRmLKlp9OGNcewiz7nbBS/Imqp
OaHlTFXs8iFsHD3d24FE5SspXiG/2Ii18XWKVrx5EQfkqWUJHSF4mAipMz28jHJru66bQT/0yVQB
w3d5i653dpm/I+BrvuD0hTE2+2VkGQACdlnSrw/XTrAwHDe94YpC7otElGW/LzMjg0Wz+I6eHnYX
QLDb5R2WnOk+t5fGUSfEy+Oufbmcp+1Kp74lEfVCYxO5LpWBNToHbj7eGL5MxvxsL5BZIOpdFpWu
SWx/HwaJ3luuU+f6PLDCG7lkzx1gTaysy45KQNUYT0vdsS5VOOnyCDqvIJHYZyMSB4zS1FGQXVOM
RD//EDfSQtWBEuNIQtt4vgkXszanLJQ4oM5G9xIuoZi/XQ+FVas+xuyDOMILTdY1Nz1EZs1tBpgR
86SvQ4JekWAErytVP3ljC6lnxs/3J+askqfjQYc032l/xBpMEdX6Nbh+PaTNxjRGlKjmiymJG2er
i4VtdqdhqfzOUG0jBMXw3iCXG6Ah5rdQOjIh1k2Tlrm7c/EUwq7p+n0EzFmTdpdBKDxbP05yCj1F
gmpxs/kILY3wxOI/OkoiCHxH1sHgHvoewD3sByMDQ+Q3K7tRuZo+535cOsGXEBVxYXynIRVOy66O
vUB0W7eZ4EW+zyQhtXdSJj399qXmLJH4MUM6teKnEagqcHHWOifuTk4FPGN47HrIbT1VRtDz9lub
0EFMj5foqSBvYxSvE7kca/3FqB/0W9nVk24lAJQKm+8eKSKeZmGS4QO8nTUUDjTs5UW/THyRe2wY
199YGGfnt0ravEEgAfQjnn03ZWkBvF/w+OnbGm37gjd10mMb7HeI3j8giqI3WiO0aPLs8YjVkd2o
R/ZRN8iC4eYajqBo1OuhzABDxdtLxAsFCIXHHeaVAHiwLqPLFu9FNNIaPA6osg/LLrfbOnKoygCN
DPYB3sBM8RHkMXEW4HtGDRsG/cZ5KrC5P2Rq0qXHz6jwizsoLq5NP9Lhxbor0SfkStPG556z3u2S
Yuc5YVrJW5q7A9TS3usp94Nubr0+P5vZGPqvKGoGFAQ8eJfav820OR5mOm6GCKsb+VjmMRv42xax
R45O7Y3HV9vYzt2hprJ8YJ5F08Iz7s04mlYNWkQB86KVoHYOQ6qj5k0R5B1Ys8yUUzjvG9sreY1U
QRDSoj4IVjna4XxEl+eOULuhDODK1uFCpOtq5ymfHgJH0Qq8fGgIQsV5DypSf1PIOBmOIuxyLhKk
ycBnEcZu/isQB/11dM89fqTmnGZ4gLttrZJNPLk4QRuXQ1BaqKKEujVNOtzSZQDXKKaCXIYH0GUW
/UgaIS2HL4Xbc/jGSGjKrKAEVmO9MUMjpoeElJ2E9mK2NLPdLZ0aF7MvLEeZpIfImqmN7S/PswRo
x1+PadZS5aU4NqhPKSB4y0Qz/XLzKNUbT2kEcRTfD94N/ZSrBUjrnYqpvLbrAoFeDki3HzAX8MU2
qg5QgKf23SUNVc8U7FOBTS+kz/duED4d+8ZaWsBkSNUf0qkYgd8EQRFglIG2b0Lz8WMaTGPvsHZk
ucl8msE4cmIqd5Ueu9kfGIMFpQaeRNUMfKMrBQvvpg9bPJs3Uz0t3KzTNYH/ehkCZrbS95CXY8A4
jjgxsMul5BmTvJnpqn+sppaeFG5ZAYvbgZDRZ0u7dOQhLS5ou/zcOChcgZEUNrPu8hRzE7AnLKMK
vOy9ai0U3Q4UzgDxQhDIFv2MIPhxpVMZdRw+XDJzMA4iTDD82oYgkRlI/SLo416eMOK5erLBaZTA
iKqmFz0m20HDDoNqfUbrlSwDr1N3A3FJcsxyhMymTjkrfu4eHTNDuP7dLNImCh6sMdEHg+cgKE9G
JoXOOzBhNVdk4VErpi/dEOkbniMKC6DI40x/eB0Avyr1ndSYD3u0gOyy+3j3ZJ64CZZyYOztTeb3
AhafHJnq1zu/jJtB2MFpLr/pqDBweFYXPFhvlVEvfnoAc98KiwgaCBHFunnSb/vl6dIEAZ+6aovY
g64XKyPB7hzPI76AI5L3r+9Ftdfz1l5n7FgLi+HqZFHyYSq4p1c8VPVlsJ+wiABqhrgNABqWIw3g
vtUjD0mhYnSz2p6m5PlyP0ZURaF9FB8rGvBFxXOOYI3wV1kw6mNMSaFHRKWeHkJMWm0+RKEe2761
0cVGf8zo8/Fk0cfrrPYt7puOL+aGqVdHN3b13i3UFLmf/XJRwvre2Rq7/QlATMpVJZatT+OjqIfZ
mUWZvYtWzZwaZvvWLUHCPQFugby447VEX23FVp+zcvlZj9bZqiyiUnpr57qA1YNeUBV2ZXrkqawa
6WlMxzD5Bl43Bt4ti0j/qswoCAPGLC2bOuI8+hK3qlx0VsexlAkZ5lSWpoUaoLKw6LUPhd81bF1x
OBfsOhYoc/YIzJ5NIuaqGnM2KzawinA9jeBAhjsVMvvkwzVxgQdbVViXegLdK/ifsEyAsPIazXJX
Dyl0nCP5fc2hkamK2ZKEyABp3tYpBXCMXNNF75gpSCR2LQ+iA+GD6dh2Bde8SSwBoE51XpU8hLgW
2hOWhunMVYsamTEGwwsSpF87Q3ek97wbomr3VoF9RHbTQfrnfMni6Le4THsc6NZJlthwjJ2R1LBY
STDxbIV9YTe2c44wysBQHtNsnHlXdlQqNWwqQ7vArK+7tyIi4Zgs1/rvzAozgf31kRWJReISGWQT
5rocuaR+b/mJvp/OB9NAZC+gcs+PTs98JfoEFU10QgFGR9HeNCd8GBPnEGZdQqqmGIlLTkhToH6w
ps4c4Kl4PXVOZ9gZT4YBpjZfCTULltuBigFhn5uGHld3vdYEcmEI/waTnBooGkBPHh+kAZFlgBZi
oPi7KOedkes2QH8SK6Km0feIf18UBCilWL3VbKKsEfQyYYW00ZtJkEa3oHSj3vxB712HzNYM5zNc
2U5HbGRYuf6M5Szg9sF96fQiqeHaqzOxZs8VZPoi3xvP1VUOdblwFiW9PPVy0heQ6jgFvvHHoWTh
WXrYL/W34CMcw9pAFxQuQ8l6qkd0dAzAYkcoXENbww9GNZNU5qOgVbeZPqzsRslsZGnWBYE5Rc5q
2bWqHdqHeA5rHTB+fL2LEZUnffsoieXwLXP7bOMS7Ep4rVLfgp8h1VGsMN7WGeh4SZSuGS4hHxKg
d2YbdkR2Ba8Pf1B6S5La74tv4FrybRKznp/5RJe2J5wPdALbIOnRhs/9BN5xPGcpjlAGmS/mNhEw
HNLfig6quAT716mZzn7IAdzLc7imqepy8ChTLTdruDVaQmfDHpvBvxFtLUrtyvWRR6s4COZqt5QC
Hjdhl1eADfhhA5zijfpnVSRcTL04DAA1g31/KRaiWiD5n6SkqWdbGNFHOtYVhHa+kixmmELukUrn
2iHE0IbMXYVuhHCYMGrdGO3gdLF4pwOjCCaaiqr8qHRi/pVwDNfwYpZRCyVrW6zpC+dlsq89H2UU
lnBApepcEepy7mtp9DJu7qVk2OJFoh/rbOuCQxXEJlcnoCME0doA8Qz4cFomgxkeCfqe6tRMIf2k
o41SqevuAzfp+YOGLFyk26RmNsxbGLA6u7pOWs+pUnaHsZOwoNZhyXrvrxCN6kSyoZqjOCbIMT38
aBSzUoNE+Mj2IZsLTntdGxLC1jzZ2gN0OXzBAMaxODrF7PPjOqWuEXN+ySTBNAd1dnT9mDrh9nLP
18mvPqL963tf+riT8xqH5Cf9Jg57hasoKYvKMBw3C8V4zhXsqHjLrqxfnXlYJB5qTuy3KsYlWheB
/TnIuI+B5JuDdB/1cEBOBcMzUKyvk4fL98aPZMhG7oDjXZchE8IJf+RgB8yH0Ag6fuRepDPwa9VR
XWYSxHpdyrF1N4EMzYYnFW+B8uvHq5a2m4Y9nMcW7IRi3eF31znnu60dcQl+PkbDWUOPediuweoP
bQgb6zqsTmkwkdwiMzH6vbvpQThN8tuiJgLDPWIU+jFfrxeHMAdlYpBOwPJv6VaL5BzKOvHBFRRG
LwBTDh42pLvCqes2fsLEWBg5wijoJUTHuEOJo/0kpr6cnQd8z11efzs19Q9ftj1Xdr3N6xSWl/pK
Vxd6zTaBxBDRgtJo3R819Iml31QlHDhi3kv16/p+u5fqDH6rul54HcFwBnmKWiq5sPcQfXRH/r6C
+XvJHAk+8jDKxnQK0J4M8OT8vYhb+pin2qXL7n1Jn6NLCfG6As7EBQzq35/S+tA+/0v50uYtoFpO
AQVvj8BEA/D3kxambagx0lWTS9UBRKPHYxwvs0WHqoxhemkbTF1hy+VpuFQDoBkvcXIQHdKB2YPl
xNL5RT7t+/D2ZT4pACaShjc7rd/PHRO8i9yOGSgwUeB/hsPWzBRaIDYxBfM2Q0AIVoAHZ2dvYrom
frSRsvxhbeZz38C+uJTCQmno+ir1bouDAYrUW+GlK1aTMXE6Iyi9gGFTvvQ7QtqPloO3pLq6M2SJ
jjZjWP/8uNaGnNzUeVp/mSXXCoEZw4CSO2hzBQRAZ8r15h8B2GIQdPTI/y5lA4Afuq2TDoXl70dD
6g1t+WvQspSN3sIun+UBhQsewqDa6pebQ0p2cN8lcO8319iNmI+WGwktHhpY/vnL1G2uReXZlfpU
MVRN5nG9AN40t9drqjQz7R2NJh0GVEgIsfxdQ8spdfQ2nF52flU0FrvOtRVUO5CjCY2Ycrg0Vi5F
4Hw/R3C32nWShnpjuy7h14ihhDPAHyg3SSEqUWBAyOQUdpMEQThdro+x1wvIdUklMje5aNG4etyy
y058PeaIjSW/y9A44nLddtJfyZuhrMNNZ8UFBJtkGPS6PphmbmOtVlRZwgY64TeMHgokOX23casn
1nUHuN7tvNi6pmpfQr/a9oo8pOZIQTH7WkE8mim+EH0ar9e3/OPF+r/Qdt//rO/eyp/d796t/09a
udLa+JePxP9QRvivIv7Z/i6NwPcvLXftMUY/EClfKLOerin9q+Uu/uHTCXSxwsGuw6Obwq/+3XKn
+41sJ+oIl378v1rulvgHEixoeloCcVkaf+7/RhcBgYbfmjh07GjQhLSydJPWRcDB/n0VxFw3ass8
PdUj1DqAImbnurfKnLxcWSvQi1qfDP8yqy3JmwDvZfs4XPJpHevbNYh3w9HonTsqXea3ckbtpydy
9+XQAUjtnLj8WoPsC4Nt6KJy0KzMjM/aN9pnlvkQEDZZ/83emexIjmRX9F+0Z4HGmVs6fQ6Ped4Q
ETnQOE9GGsmv1/GsWrQESIAWWggQuoHeZHZFeThp9u6791zEh3HJtPXpzmE31R+yL0N4w7NhzXrG
xulK54Vgq6YvEVF8frJBVVWxrkaXiNKq3WkbrCE3S2az7qxoUuVJExjtd/QCrE/sdArKMkOZEhpR
oBkFxh8ratgycdwjsf1M7aDs9k1O2OKI8mG0N/TRmsyvjkWiZh1y14jFvBrZgRUrXJsuFJO6QNAz
SmPjOES58w9Hze0sER371Tv41ujlr05jdRB3ysnX4slolzkgVYt3/8Ijrp9Lrqx0JxuqCO87HnJz
K1UNqoHfukd9phq9+lAFeCyLbFLFzqpnfhZGQHeMUGBBKIAfAAU0EqlyIofmtcPchjUO/7Jaa4iX
fSf2YnGCNG59mypYxx48D28+L+9qFwSzN0471RcIFtHQjaWCMIHNI11P6NFT0ka5ah3zBHl9PgYe
om3UW6L/LgohNQMsgLwttx45kuxRyLwSGb/0MN/GrJVw451Si7j2HxGjnp+W1sStVdHNIHZJalCg
64fFXLN9XykOJYVZd9Ut13lsv4rFk95hkF3sCFQHuCGIcKNpHKpkYlHHNYCMQ2XxXo20EQTtoRI2
FG7LM7tiV3gzOYWwyadik7GYnGLqRTt9oj94uO3Arxt7c5ydgnFwquaDVp4bPIgqpLqmLEsxxZRR
wXsYpoDgg+4qUg5UzNQvnrd4DylMtY+2CBVlvZT8vYDLIH6UF357v1L+gJ6SNurGSHpyjZKra+Rn
CTbOEHI4KCS39cZ4tTxuOKIs6lcVTNI5AkRIf/vg/Ov9InxaJJG5HPMGwbgYNmU+z4i2cihx6QUL
n62ERsLZ0HjGnYenz410Dppkg7+Oe6jblvJ9zlttbVVW9eYWm14ARs1BCCEHrYdkZ1bz8KNgnBZk
aYE6XTVy414wXtR0DacA6dhOh2wBmDsJRqEnf4oQvkcEKyQ0seLrmpydYVNyHAQJKCxUNn5nfpqR
qAgqCQaugSjBzyWh66OJCu9r4J/5Ps2V8bsgge8RnRFpFmMkKCmKrrQm9aeU7qN+wPK2I/OUP9Is
O47gKLPGvmkQ3D7KvvNByXer0htzJqC8ZT4FDTQzgcVFLe1uZyATQq1Fodq7Zp00W58in1cAZD4B
tXqoM3IF5Xqu0aK+8qADShXVAlcBrYh8vqkm87E6KKTZ2pnwAx2ATsT6HQ5RD2/BuF9HaHCId60K
vmQwVeGJfEU1MZybjeB/HJ41jfcfN+3zCC3TvEtaPZQPweK6CgKVn9RVHIaTqvAEBuWYfOlJI+1d
wXQGSJrMTqX8SShsDniwiJJs5EBYOY1DUByreweEsZid2C17gMopLRvFG3b0AAiGYXVEjAs19E+z
sfQulVwgGc7+OjbFp8QWYC9RO7eqeyqwFZM2nvLy+sp1JpBXR9CRvL15X9DfFGzn0Goq1gtQ3PSp
4h9SwnBgvh7lxoeBCAKrdgz/1IZsul8Z/T1nH2DHD28zUasqnizlFguYc4C775Vmfn0IEpwoEaGU
Qo+RAS6kPc4WV7A3UOLKOlxfvfQFjIGR5Xj+Jz9If7IUXE0oXOtiAHTklgJyTlqzvUPQxNybYSny
NxTl4nW2NUpaRFlt0x5VXQdf+A+sj0lbhoGf011nXqej88B2aNT3DDDiS67UPMarbotsO07zJLZ2
ISz5LiphDruFMc/aaEuXlEEb5ihjOboaJb9FZduz0Ryd5xCJKLjmeL050o5OnzxrFM+lyYAU5cEy
BJt5RPmN+CcQbvVZivc00tgp90V6m2/KZL5G+3OjSmMHMyrHSWtpOC0k00kXyKZFIAP589A6lqz2
dr/qF3oGoQ8APu2yY8HqOoxWPfGAjQHoSSZ7yS3ZsYqJCErf+z6eTjfp6O8rG5iBG9mb7RSppBUf
4Nrr4JBPhmuQn+LpwWZQdv2eJTChiFkVydUfVSeE+j1nXYHOVUmzGxPjysapQdJFUjbloyyz3CX7
lfU704HqudclR8emq/s0PdQgTLsjUHDx7ApHOLHoDOqixeCA/hBTG9h7G5TobwBvgKcZ6MUn3+Ns
iAiAWykzaSrTu3EiAx9lfpXkp1B37UWLcnkxyrkpdiWfY3ELjAaoXYI1XCoAfVKAs5QOn7VpZmV4
Wqv+amfomnrPhNYvvAFLgqxzanNBekJqcyEh4SPp72rGdnPjVdzpI8ho01POhKN4/Tvi9xhcjQSZ
UUIJMh2Pxpt6bGcnokfYvy/zKSD3VkHh2WFun56Xakjt2Kmz+gnbmYcjXvQI8q6HdQCtB0atXK8d
Qv7cimSbsk2xrrcbj7gbd8BHJnNyBKVVVbzfgn7+Xi1YnTvLSOwHMbejfWJ4D5qt4Fbl4XEf/OHM
vWru78Jq5SCPrfVqyO3Cbs6+yrCDlrRVgUigGYGdqvQLomefk6Jukh9rY7gNdIshfVaC4f5MwVpW
36oJ0eBHg7GGWCFRvc2E06HERVIYlL2PnktC1+kUYF0uMuEmd8lZZL1y2/1w3Z6Q6bMpa5aIzOVD
4iyFcSjcLPN3lHRw81trz2vuRGpX024o9exH3gAh1VUGfdxJVlnQJ/kM0M7r+bovWTKQNk2Ji56t
3AilN/DSL1Eh9sd10ff9Ie0bwz+q0Ck+MGkv6k6Urd8+WtWi+idDksbfC7vpf4flsHZbh1oi+IB6
JD5R6CArd21lgTWSWa8pOc8aDypwOJT5KQvyJfwCboeBXtmLaO5XME8WIESjd8ElF0N5D9g5H5/c
nNtzlkW66qeC2lagnFwF5F4GfdugKnlsKGAl70KDuIPgKTRlnrlXWGFqDzdJL/PfBA6IfKS56cs9
vCwaMNapt9bI6Bp12/bmSoq4xNbHDtj3ExjF8wKYMWz4I7rkSDxJuwflF7R5Vh6YBZ0LJ6wEuDB0
JYvj1YNyClYIAgBHDWe1PYooSaGSHG2+WRivh4WKg8mznA8icgFrbrexKN0xPXp+5pDb82YY2+AL
tJStYHkoMnoibYycyxWF7xEHnL7g6uvvkLmclPCdmL64tSzzLpOS5iX6S7pPv136Z79bwaKByUwf
ipJdS9x4SU1TNq51CtnJXH/wRoRgxAIIzm3us6Gjk4GTuLL5XEGTkDrJdAnWRLNvJ5Q5aMON2KPn
v23W5O2+nSpYIk3u9K/zbBcEOeAeADMsqwI4Ydpnv2XITWE3djan0hXoHhyEi3suXn3L/EYq0mCz
xmTpIAPVy1NTsVLgZT3aP/3S8hmAUm22Gx+9LYOkjWMiMv2M8z2lB6PaSOmth5Ryn55lijOV+8I0
RMYZUvTvS2PV9ca0Go9kel/X1NfIzvlS2Wz+gthTAprK/JE6uzLnmuoY0zhGxA8nLwoZNOTf2tf/
woh+1/6qn1T/65e6fLX/B+Z0fl3/3aR++SqzfzXT//njfw/qzl8WmKVrMS3qHdO1RSXCP954Yf2F
uezKav8zpf8xbP8zqGObv9ILaQj3HNfFD8Df+scbL8y/qHVkuKcLlupgzqP/yaBOCe9/GNQhvXj8
ZNiKPXopaW1w/pNcGQhDpWMx7JxhNt0D8+pQk6U1M/Vua36ynoOqD7ggMdCwzghnIrlGwRl4DkNj
DPdQrtrp0Z5by79UufJzoveJmn7LzmqGs6+TaYuU345HlE6MhBbf+poj1KOvnDGylZFYTYn95Wpd
e/ULY+g2M0FlcejWvhFMyKMM3zs/a8hUJktW66egE27xE+KPB6sGY7/02GhW1fAzl0V2V9lD38bc
J3T2cx4soO691/ekp7hJO3e8lTOCM4WoN6OZO/5DJlce5bleSyJYrhTJs+nrsN+PzTjH2WI8Kx3+
aEJ9YQFTxXZfcAIZN72dUUdqGzgfo8B1VLCvRsWFD6uqaodL0ITBq2n2n2PYivQ4Y+IxGSZh5K2m
/+Jk8o3jjtsEOm29xci58pHma1DtR/rcl81KyFFs69TnmZZ4dJn5CR6BQzNmB+AES7yzDovu5BMG
G15ZHBgru245sJWeJ/26Fv1awpZqsDwdi7mxgW9wRRzRrYcd7OT5WLKFbphUCLUPnMQDjXa9eMah
FMLtllPNIDZywB85z8Nmk3BnebQrUEK4B+eGXlvRyPk7D+ZsBvCVzOZ+XlAgGFgx023KNBy+rUEk
t3aSr/4DzVYc3RveZexPisX6sLpx+SqGoH/QuKPwRMiLTqCEI6gYQYSh33sMjellrZV1XFi3/yoH
3Hv7HHly4GY0e1Lu6tmynR/OPLrpxpFkxdnBL/N4aXP0corXwuk9w07OlWIZCNfLsi8/84xBaJ90
IkEeJSvobBelu+RRVnlwNyuBhBQLqET+rwxzj/hVrD6x6KtSro9Lz1r+FpmW3XnEQsS20o0pCoUv
1F59u7Mxk+CGtw8DS652JT6PF+XYMlZaPzyfHWm6MSB4Q7sagcW9taj//odvLmaGgAGh7ReXgOsc
i1elx2bTTw3iyhCEwIG9SHWB08RWicgzcnvzuR/3PJTXPRgR0qIZhuab1faYHt1p7vyndlZ99oLZ
cDCRqDnAO0gsGEWx0uGgG+4HRJHyVgXksDuI7yZ4MHQ4YDXkD1wbHsEowklsbD9PA4PLml351tFr
dHNm4R7sC3fq95Ye6tugCyvSi/ZFuhPyEO6F5Umtqf/ZFl16TnJh7VLfnT4LBmRI8n7xXWnmmawr
yIApcwTFua5Qhwcd7qDR1AfwbdU+ByZPszYUV7wl7MTAYhpgERM9r2drCkp0nqUungPfavyIHg2+
vsU4vi7j2J95x+UHT63eqc6bIk5C/TvPnfR2bpPnshfBY1Os6cksfT73Pwdtgcub36jmeei90Lur
2tl+Dv6cytd21r3Jm/CkA5cDe0xyvVsMmJypmL0X0+3Xh7BdhhNbNnXTLz0R/6GHlBoGxl6VNvdz
0lLTm1M57bSd/lwOsj8XBVoTTFyATGxqsIOzGYwEoaduqfd5EUyHtV2aD+Q4LnRW5kCrdtqdLwNn
ipzMImRnJ0EsgJrhODC5PEAtOlplZlzGabgXSvJ5jYO5g7DebBj53c2UFB42jp4WBcty5mcfz10c
5mo8z/0cbksIzREZP8aVabksszF/u5OhD67b9Y9qmLODYWYBkqQAPjtZ885yCpbRjiHOThaoEw4Q
+Z4ujM9Gg5qamF7PHmdMjixQn4rrdQvMfRFp7tn7lWaZKC3H/Dar3OYmx2/6SCtDdpwyb/lAX+Iy
CdvZeO5k+21hWNplsx7f08AnlKr6mQrHxo5Et5R8IhoqoyPPJp6tbVCBWErgOR29vPxKgbo1EXFJ
4M1WJy7pWvFHAi63Ln1LMVlDmO3tsLAfAQVkhHZ4YCTRx3H2rcssDeedpa53dqAUHgFatieV0LVu
9UO8enQwcGS526Yf64MzhEPcuZO+jF5qX6OPySVtZLLHv2WhnTb915JM/VYMdnf02jyJybSOh5CE
r8+vEP++ZT1iCdhVVSlvCvIDB+Et9tlZk+Cj/HNZNoF975zCyEBxJQpWCh07921NYZ6+3q6tDDsj
4JEu3avMrY8A7u17IYGqgAnhOh78uZovqa5f8f8+cMPmRDRM6xFzux0bAxqrZ7ZLTNq+fJh882nq
Xf9gV7n32ZtCYECCiAHjvdgshR2ctFPbb+Hiu3FuMf+m7vwDMjyvluzPvGCoJE82oGoYAcrFmTZt
kttPZuGZkfVnxOA2ND7CPvS3Uvc4Q4Ym2PS1oPgkSTu+QK1xUWkAIu/PiMIopm4xKHCKOyZuKpzZ
Sdnv6tWGVZJ63Y1VzPlv/WfsGf8ZgpJ/hiL/nyFp0a2QatxrCX+wdSIv4NhJ32EYYG65Z0obp5Zx
hUSqsZWpkXcl8qqbYVvINxOQ+RJVPJAMSeMa2aDJgAzyC6cf5Mm0hDWYM1g2AtebiRrT8RZVe6h+
OcL3ki/LG5cCCTN11acaRHPskAH58tag1MpGbYpKfZYdoGU/1PkhH9zsHjFZbii+KJ8LpIVgz2LW
NncmomtBkrpPd+wf82ozBlXzqAx+C3WRiEseegoSKmowwsEM10wN6wFqcBlryAcbzZi0WfwCPXEa
EN3wTfZHdh7TESpKdoNYUL3W4wwJgEG3+aFJgxDRbaS8DjpNnEDp3dld+UKVB/amq1RnZ8wlvVvk
FwPj5lfbVfaLMbba2CrljrSTaHUq9Qp1tm3hxZBjX96GgWIJJp9qN+vV/ZUvi7PxrAzJaPW/dEIG
2Ux98RBM6CxB5alHf2x4bfB/yGSKOWc8hnkmjQhOTc31zALsU3hP7UA2wM1zLCP4nYMfFg6JKFTa
f+nc6j1JFvXE/BjCp5a5/zBYk70jt69OJgKnjlq6Bnal0q46t83Qh/Gc9taTxu0DC/G6GN2vdm1f
RloxP+c5fBKVDO5bbr87T45o7iSp77sck3MEwSFp4yphyU+f5pgTc/Gqz5ns8yWDIXKgzgjiyJKO
GDW6jEyJXx4aOUG19KG0PQeZN99kBNs30lgtgNmGOx2DHHRC5XbeTq/rtxFKl+oEwX6jdup35S+A
uZKJ+IZdNDO8JKuZNZwv4S4HhaEOsEoZ2g/eGpjvo91Na4QhdURqwYDzxn7d+bFW5vDCyTjVG5gD
bKyXsbiV2JBjoF3iiGIlnuUSWBfX0Olr1ST5Nyb1dI7TsZlfJsvsDuzrr0d5peW2XgzrsqTlcJHe
bF4qUSWngv+LcOMYrXmzVqv3XAvVnR2YZyVTduGg4q3cYyBtyBc/FOnFoQxv3a22oZ6Q6iwsWz1s
62KdZ8IeIU7mz9SbMtR5q3H0r7mqg0d+UspvkuYPVruwN32bCes76DrlXnpIoMvdkphz+tYVbB/u
8lFAHyPbEFxVXNPW47Oomqy9GEaTWJFjB/YQy3Qcat5oTDAsVsqmyCeg7B3n+djPhnsR0L+GLZkQ
+sGptpnpMUm1X8N+CIsgwqJYpIfAncqtB9E4ogOq3MxDlhx6UWHsBTk6MRfQm9C98e/VblM9DfzY
10nf4ACMuK+1x8rW3Y2hjeUM9PG7oH72shB/ewBSnJ/J0yO1V6GIlEZagNyGpOU786YUOLeVMNIY
6CNwdVyMvizbg5JZdfT81Du6bvVB3ONhtCZw1g6Hvr9MH4nFDb3lqYYhTYuL46bh0Rst+ZMH1H5K
eXVvHKWtD6Vn+QIwp0A+Fckew4d34WWKv95w4SMbtpl9DV5XQriZ7C/AS7661WBAfsyD568HpzcW
yagEZuU4LYyDsQBymN9yi/c+aXIzYfVOomL9mZequxNqzMs3WBvzr1Q4HH2oGkHJbs4DHgL2lp8M
GrN16Cbtf470MtRb2wHrtnMqVkdH0y5nGS+kJo66Tfk8jKxhhMVi3PZbE5AQyO4iN9AEE6/pDphI
W3sb+E02MntJvsIwLYPxOLI2c054ovVwtwRLN3/hoU6sq4si+ZHBe1XR3DUYNwabo4c8hl8FNxAH
ffnlq8oxSEMHfvVg+BMfXZCmlKuAX+N1flVwTytADMzWkI7YcrVZ4sfO3MJDdu0x9R9KZK9yk+PV
Sx+EW/ow86a+deMBqyFlJgSS3C2W9uDX5Ll1c4uXufc2AR1E7m6cwOQc0PWBfK0G7VCx4UvnRlID
5EVY/nyG1cHq+kOHM/kK11/Gg5GPr242lCfiauEW6hhe9jwExiqbbEfpuXOwkrz/AcBUfgLjwrW/
lt4bpSjrFnpjvU+MpN3ndc2B6RNViDqLWk72cXP5vUx/rPZo9AfHLK1zMAN07kzvvezdiW++6Vcn
2Q/GKUXB27oF3Cbqdfw4r3Hop3XXfE9I2HQqoFz+AMhzTWdZZbitsAA2eHrK/mC4vfq5lGtzMrWb
fLcoKLwDccmHcWGuVDWSvmgjlJVu2dRqlStiOUNgbtrt3jDXZeehg2ClTxuxt1JLPVSJSM6Qbac9
hgTrHsf4utXNKnZ+ql79BrSWX3piayZFf55wWEYKQ9JNsBTWheCsT5di2wfvYVYN29Uy1bfdGHhq
CV7uZgvBvioC6ycRzP4s0Wge08Vi12h2AWVY2BfrSHDaXIn4JbUw0NU2Fsv2XcMDv3Mrjw9lNQM+
4eTBXnom69lOzhrSS8x4XRx9aQ9qmxROeKPUksfgFt0n+H3Fi0rT4lgPfCBxxZ3myE4HkslowUda
gLCXNOCdpW50bFmiOCgBx9dNVbttp0wR5mdDe0iSrv3Isz+FNcZUj+GdOZS1OinDcF0uki6VPYZr
t/5d28nQZTfQOyEzMYsj9XcL+v8rjv9mE8b/r61B0ch08fM/aI7Xv/C35Gibf2Hy4b8+eWaL+Dbe
nL8lRyu8yopogD48A99zPVw5/yiOhvUXJAX+hinIXmOZv/oa/5EcDecvxwttyAeW6fAfPD3/I80x
oADmXxLehLoRRPk2w3DgimwJcTUP/QseI+8BgfHYvS5UWHKkuXABDVxqRmae5iE4SJilJ+mpnMQU
3Cf9YSOwcWG2GT5HODie+zTZTzMr6DwoYrVA8LcydLOQvzBZUG4e1QoEckYnqU5NdQZJeNOM0xgB
OhZvdnqyrUcBqllB+lTJ1u49cpPYuV8b8bOdRKzWc2dRcmTDIv82uv4MzIaHpnfKmCwDK6PcVFxy
K1A+ausjiMGaifFF/Ep6oHNCI/YPGekVaJpQ5HNj01/fROkdA0i4dYbxCFkB3hAYrPx2DvpHd33M
bGoTWi99klDD00mfusk4OVziDANu69TRyFFwUFQKU+M42JFJo0DUg1WU2bRP+u5gMOL0VhX7Q7mn
VeXcDbTFTZ8T7t441QOlFMSQpZf+bKogrlV+0c6lAVRb90cbabVPgT6WYZluVns8DVTObYaRhLW7
EXVKKwN35ZyllmHsdBbE44BAY+EsV7+NRsZB9RsvOih9+MX9SxD+lIx/q9cx9K/h4+SIWyWYfIZR
yf2QKOwt4wUP88s6e97BFmyrOdjTXejyqQA+ZQUMEF7+koyVmD24AuPkKPz8Ndckurnf03lyAO3Z
cgFnmwS/qruYGfwptv0no7qxnK9idt898k9RCJJ5rb4hCnL+XTT9dXixbZweEBc5Br+Z6up9aWbj
mWDxcDuuDdd395VrYpR42OO52kggTQwTLCBd87nTXkwV5auoy1hkLtcA983L1mv44rYaJ4+SUX84
gYm+pyVM7jMYS43AJhIeyxSwKbGy8+zMIuNybl/sCQ1y0juU6Xim2FSu3bmB1Zrm468rC2mzNv1p
9uqtiRPB5kuKGfe3YCgK0YodtLdkzHaCbhSComRsYJrOHAvwsJLg4rFx1NgmujaJfQ6CEgiasTdI
PFYODoLQTPdiWlAlO/ajwcEfsYppfZXatqLUMcpQJEcj1oAu1+JhDGnjkuFC+IDq72DZG22wtZzs
DtT21i/QLyYBmNWGkPJEpDgye20h+YYIDBf4OEeTqpE+APXO4iDyDWrQHFIucWlku2uLSvM8IAiY
rwlGVBSq45KU24ar3L1AIT+yPdkUNrvHxTi35PbGPNzU4+fcZlCsHjBBHS1J32VNMkB77Z1d4Sms
5XKYTf04zi5Jp+bOAXnm4v+wsRdERk15Z2A+6uYtyYwTVXOo0G7s0Cx5Pa135nyLQMyfAAHNozTk
85bdtbG+Zea7pQGotUn3oKsixmaPTWDUrNNv6vmo3Edc77RWVs64U+ODyEeMA9XOUqfZ0U9jlx/X
4YEsFiGhq4k7r2+o0DhkV7iof0eWm4KCZDOiLXcr2K6l+MbbEUkN9iSBHkif/JY0LMlfD/whJN3C
uG+KD09avxMozSXZyHF6npPsPXF5GoKV9Kf4rn298ZEaW7uJezXDQPpWLWmWpNhWkicNNygxsSFK
rJdKq6jjMW9NES2dJpr8KzF+18CXJzaurfvIPnev8oc8T3hF3BKDCM+rLd6p4eSrXRPNS78Fkm1U
gj31aGrpfBAVRnFTuRSX5idZWQCdZRX1izwFjr7v2csnfF0qBWTdwEfOuJIfaG7dAdidYsp15p1M
eAFCWx5xOijUDEwsan0Lgy/WT/AH+YRlvWuEueV7F25Tc9rjz6BqeMYlsjE6pEq/mn7TUnSC0nez
Qm6XR6mw7DnBg2O3z4Nil5r2Hwwr8OnxFpBwi5qq9liTdLzjU3ypNwFXmNhy5G3vZuoW9b6L6PEr
v1kZ3XPhqSPaJe/9KvyceGqzWj2YgqW17ZkfA2dNXxfzZ0/ieWPUobhJi2HbTek+tLG5eddAKGTP
u6pyHwiLRFBYnYV/sezc58Vtn1TLZ5ibG7MTR6q2LnrFEOH23o5+pOm2aTDhiEbnp8IauaIr88C2
ZtxSlUCKKR0eO/I9m4WEN3q7TwuFNq8Oi2Fyb+xWzm8eLREYb8v+xa5R/MGIbEwUrF+TDq03vEvF
oYcDEE3e4IDUtIr3vl7qyKnaU+KaCAF1EiONkkZFP9sPmGepihU7h/56pwt+VGy/zvgl0iOYFyZe
HWa4Rigowb06viRucGXUr+StCAKCKMV4mynFF34K3qRdI9lon1qf7HXQw8YllroLff3gliFPpLx0
s3hh4GCOMhkRmtSvo0C8hgufXe88DoyllHGt9xQ4AupfyQubzlstTcCbnTW3u1md07T97Zj4I/3G
rL9F1/on4uXmGtGJRWUhiM91wxeLSaQxU54nKV4sF1FjGs/UgR7mcH1TfR8n6/yDy3AQ82/g7Kxs
3iyud8QEeBQqyAA78gv2R3DOdbZ1OJQ29pVoDFgj2xHdj1Un38xavzeu9dZayAFFT01aPR1l1d1X
bb8zmuGt9/Ve9iBb8A1iyREmNqS6AxbO4qqK8dnuh2vVD2u/9lqE5rmdluguGFyRWkjh8WFmhjqs
IKqmdTwrBBCsUmF/LtuaLESj6tc2MYIdzVIz8uZgE5ozhhEKTLhwrqrMVnucSuoB6DcyFxk4iJ9+
Ar4hky7GS5WMz7XTyK2TZ+knqCS0KqPue7FppbM0REkpb2q4NVCTauNiW3hptxlkR7ddIFlRh3Jf
Jw4XIhK14CUKf08rjkPLUEFSBAv0+IpA6Mgjrqr2IXFtigwGO+fwXyY7OxD2RU3V9b4glNZHVplC
au7WAL9cnSWMUvRrhyefWSvnN6HDMhqHojoVHc9RVElqnHiqh7uCgNuHsxgAJWgEuHEqls+8wgb3
szZlg088WLNvNvL9zuuM8Z0ARLKdRqXMWHaJSHeoOpMJjNrxqTdSJW0jVLGhYaoj70R3S9sXMOaV
dRpLCZ9TtCBCbxTrWdlp+mBpDg4FGvdiqDWLCudHT0GNr88u14tXYpzLUTnMfktB1QrpLvvGht3+
hIA/fzj89LceScNY54nNagdffDAM3kOD/fJCkqR54EdhIZPPjxTKTqStXd5Sef9aLILVeEirFOEY
stz8AOuPUVsolMI/tolbxiFQ2HsOY3NH0GyIcwZN7oPmuWj/0C+b+rvOzPpV0kp442J+5tED4D0u
7I+zel2ukbx2rDa2RJzJ5Qv4bH2TtTQIUyuCQLktjLLa5bZvRJjouhOx7D423OIFMO7bIoxkHyYp
i1HPoCeg3w5uLrD9MOSnpZVtqTFfnqkGa74qK3RfMweoKagyfRjYxGPsl1jAxiXZWQSNX/w6lDtD
N9YBp6mAHqMNWhsr7lY0TkORL9KHMBcoqWy/L07fjWdoN/kj1WpUoiWnvlZvesqI9z+s3fAh0+cO
PAnj/1RcCgjFmgZZrnDCPySuPmKGkncqCYuto6dnkAB46/th5BkN5Q1VFM8sDfVmNbuLAQ9lWyUB
GQI3wYueZb86zdBQE2xA2/VvrG5+6gHoOtcLCXfDg1/w4bYY4pGMubCX2Q/44i03dO9djP5rPpnu
pp/Vbsrdezj+w8mbnJu8+E2oMoiXMntM8kHdmzkncZJnsE2oA9nm6frmGtZb7VKpIfI0J/SAddRS
GfNI+EgIdMNr8LyEbHpLWz94rvlWT+pekZA8qWFkOqAYKRW1tccl+AIn4qO5zi0WQ0rqFycQBnhJ
FoP1hgZD41EXVYc1A1PozHMsfb4oHsr/4JdPvEy5FFOatmsMOKsVa/5db1ivaTb3lypzrKNSkKju
/529M+uNHEm7818Z+J6DIIPBxbANOJmrltS+1Q1RKknct+DOX++H1d2fqxvfjDEGfGFg5qKBgUpS
KpNkRJz3nOdQ2VFvF67bT7rrmq2Mw/CkDcPdUb7h0ZE1l8keRyKTN9uir1YzDt5z07fXWd735yyh
F64firTaFE2VcWcU/haPQLmNtEvOpMppTYIqAKvXiYcBARpXRtElC+cor7Cu5qWrLN6TVn8MtLON
QU5ZOKJKMm5HgPHvLXP7LSW8Fytdqb3qhrWchzhYv6lGfawNHfZQX4RKLp122tjLEclkeUWJynaN
MRyc2fwEGHMg+OVusxh+f206bxyKU+x30/eoyodgpC3o9P8qZvX/m4fLxkP1jxWVIP7+8auFa/3X
v8kpliRqteLvlIIngwSCmvGbnGLKv9uug1xiIp0gjfAtf/i3+ArmKL6NEhPTIQv6H2IK1FMm5XgJ
hEVESqLG/CtaCt/6Jy0FHZWXZbs+P5TJr+n9/PovWgpAE8yzpnPRG1ljsEsxw2LkLoj9+uSFbP68
zCoQuXOvK7JH6ZN9pkqIKxGLM+eFsMmCeMoW/5H5i7KPjtPWDm2EpDEulx7H7GVVps29RfHQGDgR
idJ9ajc8p/JlMboZy26R1PuW3jH9FJu9Tw2dwQCGc+iQJpLW2EjxZKLedM5m1vmkulSpHtv2pEYQ
NpwBF5pRJkewYUyi0LaCvMFVw3mWE0vsVeVtnNT6UBYwYzaTLQ5tImV8ADBRUgGOytDb5byltgcm
dcHj6TxpoxRnjG4meS1elbgqHSN7XYbKL44ZBRvOq4dnGypKvWzJLTEWg9lv3TJKb3f+DJtOn2tX
LVudh089p8ja2xRYblr2M4syjRfJj9hmrjHL+7EvFg12u6hAL2twwzKI/Og+XensRCGlrKcMpblv
8isB213RYsDQ6KbUVMnfC2NmwLJJQ7OsP6ZEpZ9NYwjWZW/IbHrSBE+KB3h7nCkB3tjlGwTkat7P
7B+Y1EzjB3tAUy7bTFfvcUMFQce8nerevJd01Oo6d27sORdHxpJIuI4Mi2TfEta89opySW9w4gPW
MVrLummYTRlHHL24sdOI3qEnjy6VzxT9t2YC4cQ620RMVDnws2N+bKgevmCQ425hVQN5t4fkrlzG
7DjOiCaU7eHwadN22iUhxPmHeSxagezu2gXWXboLSwzxRD18OzA5qPvXPhox8bdyLPxW4MSzWipS
YPMXHatJTMCaVdhnSB9wVokqWjSsZqYcAi87Rx9/qX00A2HIjuS5W4Y1729UECzrFa1WxGcry7vs
ojE2t3DaJuBvpgTPRcuhY1xC5ypyKnAc75YuDYfixAkAJ3TpusFhD3Jt2LZxT58yae4+P7o6a8pT
W43q2RlxdJF2x2wM/f8wdPgrWUVqd4Dl6NRXc0Ffs4Epcd8p26Fr1dfFuSeuUW6mcFlnQgY2riGX
8wOUOPY1FVPuI4Wcw10U1/NN6jDbtzLMOGePIN3dWJWmyxTRKrNtEeXRs2kY5dGKyfoSoeCW2LXY
pg/20ONwsAlkPFiV33MLsYaf6say7xg51N8pXHPeKPWwIQC5xpJSPjHSUjyLBZtQXkbGvFnyStYn
QjbsJr0kY+BOCJWJTtJmmXGV9ln34oQqfpzmxj7DlyPCN1hN2LLJteK2aJ66no3Q9EG2Jg0XNMgO
qAA1g01ncDeNAfdl0w0/eCrYst/hiW5cH5SYZG9JqJClnutzM4rMz9lHaEDqlKqIppvQh8wxWr5Z
eC5G6zJubdE9+G2KUa1jS+XQuox5w1p24aSXqqAvoi376qvWWCBwaRpZiLSwbQuiz1eC4Dt72zWf
RGac0uJuZHoz5ZyNi8uQBImJJd1pJuZNozl19l6XWuCJmORo7wmmlj4TXZc3f8OBO3sMIw6R5rUc
WzWOzwXzPqq7bE+766y+jnNxSMoWfw3tEDYmF2ewQgpVXJp3KYfJOwo0S8xH8XdsCm357Hd96bwt
OaWFjx55NiRvwI362s+6RAMDbZdk52exJspejX3Z3+oY5grhkbTCwZ+NBSg2eoOpY1bO9x7hMuIh
3bjHwk/sA0cNQqqVKEjHcO5W/gSJjXd/Gyuat+WQGw/ezKypxNyOulak2R7+aUxXoEJQsPhB1wu2
sAsvc7z7GH4MTIDF2WncPyR9KHQzDn4vSnwBY/smJSJgoeFNbQy59NthZKeP7cSnB6wtKb0r/Pw5
npV7E3UzA3e6n/wdrmGxlV3ERDt27RPkGuOmhwYVjNrKjiGNFIe5jryTqMeELfU8qW/DzOazG4t4
W/TQ/MkaFkd0surK53EOMKtZ5sdMwxzkOKu6HYcfuQ0hP1BoAWn0YEEooi6BVoK9LYmyJBYHfSaQ
94uA9F9FRX9R9+ILIJb56NbSlUwdkNo43coTOLXyOZ8JwlzOvNc0pbrvnZk1+luMy01e9OkwNB9h
LtvquiY1QCFg6vKBQ3lpnyeLBuMgq1hs35LC8apkW5YVs2cOY3Z4Pencjj6ypE2/K8exjFeHDoLo
CjGJ/E6Ypka45QaxiKtxyWzaCJBH4EcwKiEpteXd5M71IdECpH5F7JeY8jIJckS2yegUD828T+ww
QT0SFHrAhcX2bVKKvsGQRBO9hTmu0R1R7cjnLIL5Yr5F9rKXHe4WgVEGzy0egSanuHzHKVPujaLC
BmAyMVj8oTngtfK+qX7BLTXaVspY1UjvCth45FAz576jF5oyp8yPVk22nN5zQ3IulFn9nb30IgJq
LzJQEeNc7xY1Z0x7CK0HMOO67wOdjMkaCWOZ2aToR8uPljh3fA4zfBj7mfphCuaSZL4kPWxdgSPD
H5FGSbyZXSP+IoAZzQf4u0QQeUD2fXH77y10N58+/vt/sdn6/uMt9P1n3b9z2Pxb9fW3Lv78Gz1o
UfWnPTXf/tueGtqAAxnFZNwo+K9U7I9/31Oba7zBXen50pK+u+YR/qAX/N1lt0yUgvJ5xoZyHRv+
MaEkL0GUwgTYLem/A539r2yqXffPm2pCEesolL01w0k26Y5cwTK/bKpJgptOqmucqzOlvhGT82sy
21Je8TBpyqsBByWq5dJm+W70F3wcE7rca2zTPhMQwKPlyu8NzyalREHVlvwnjrBoUbngfE9X6xan
9OxTXVEVD3PBsQMiQtpUu6ydk2crR6LCRo+Tb1dZY0zsIIvDr1JlQmNiICzauuwnN33s9tedJJ2M
jCAXeYQQqyQIqGoedvbUuSCt3YXWrMmPpucmcf3ihEXYnF88VzfzhTl3ht6S2I6oTE5MzB1mxfxv
ACydBPTomTzwFx1+szny1tsx7lEX07rQdAURzYBkTfZr2EyqQEagOyy59o0ZJZzgKrOJBSHJ2Awc
St5xj7vfBKueINmhkBNT7fnPC8b014YpN3bqye/OUJBrhjJ+bn5ViMAMIFxNp61PJPY0goVE9Eqq
/DauTMKKsrbwjUo6mklz2EZFzdNodmKTVFBDmRZ49SNaF1k+KtWwRDiyIVlgd9nyMCYJW4WyVOEe
xkNVEa7mj9maZm44OzklvUeha69ZsWX3raX4CXaCU7q37O71uezxQ1EvDfiQ5mLt1ww6IDvhTa1t
Y5Mwcvuufa3vKydKECiTjjZrnQPL37qEBK5KYKD9QSxwkIPeTHh0m7HXT4GE7G3uNTwy2pMah+dz
4zlpej/pATkN1g0NuMkghvYE8B9ZGfRbkzDGswBwRUSRKbApcwYglOuhMln1gJTf1gBh2TJjioFD
hOBNUCexMRxH3cIYUCWiu8pyWmKvEmhIxT52nHramo4W3hauUtlctBlLDmZYI333ZtaDXczraLa9
4dfpBlJQY+4aM6NzM0olxpFisiMvKBu5VDvMW2YXFFKK/mpOY98KOLY10LunnMd5Q0sMbh3Axmtd
UpqZmwFziUmxPcgz47Fia66w2NdwGZn40V6FndR4wUzeMQxKXMXc2+FpjogoTfc+6Zu2f1K5lUKw
rXHFvxVJWtS0ew1d8pgb8Zheg7dtL6bRHQo64DtrOEdTTiun7tj4MRLBcrCvl3L14PeZDF87+ons
L163UR38OfHMLe5tQ+2JNJK7cyurqu8USDvwBmK2kn3MLiQBkTqqfkvpVJeczNQDMYEIxGdDh1gD
YFgXrncDUI/8M2YeQ16AegLJYzBHMQ9MVtWXq8qOusOM0c1OKFhngchSlHidYHHaN4MTs3tQbHOO
k+xEyvgoj6vAWwpEsQh6Vhnk1NoVZwsTK5SlyOysjyotp5qqr7Dvbn3m1ayrE6CfvWpEGtFROLtE
NUVOxgIghOhOldERHK5pEwBxLqssOUrbbopr9qFtehyFbquzZfLkWc8qeXxq2xF7IVXaiQosriNO
hkhl3qFc6tEM0laB53V7AsvbLMHYt1WSsjgU4TVSnQOHsh9sjhSQRRJ7wtY2zd6zDbqwDPj0+abS
bb2LcCpxryEGpG+Z5eqvZg7V15xN6MdlO1cvzJb57QVF4/XWiAdc6RN4e8ktVmh7hTgzAW8SwVcZ
X/K4idlZ8EnYFJs3oZfnexsd4MZSHcdXzpPuGRyu+KhthMMj7ew17eNhGmt2227yiYrpnrOZ95VM
dV+9UFivvzqxiPDY2rb+4sSmvjg6l3Dzmora25KIOjcr0NYXz2w9izFaW32EP3ObuYL6zMNorTns
abJMqehUCeeSZX7zR1EOwCdpvSIGMq3x8ClK822iiIdshOw972T1YqQUNVE6OWkApf1+KcPpeRR2
3FyZRZI91mt55GFUejROgya9FbBgGPVWhrZ8VUIRuTpGVqVAiugEyH9QcGi6Wm3r1gZwTL9gxeRi
w59XDE+F6cnPZLQzsXX8fr4f3BZJl/xXNAKc6MVjHCt1ckJLgQOrjNA/2mYbXg/4Aj50T83uZibc
kG602bUl6ICUSrvQ7iHQVDLvrgixqjIwIZyW+7j1qnM/YkvbKDVL6hVysrGDtDrYVBQ6WIFdFrS2
1WFSBb0s5jtNQQvnm8THl+02YcazaJ6kS4BQypJmqZX9Q6zReiTqxjTUKUoV75d+ti7DiNTcpoTX
mFBul6HSCqNYHmszae9IGzkvqcGRYAP2lfkggXK6ouUQv2blSl1v9BR9s3iWr0RMnZNPGxsS34yD
lwLVpcsfoU5kV4BkvHQPUkW/ddKLMKKMZgncJszOzdyUBMKK8QVcn4X+O+GZRAkrbnunaaPAqXyT
5aYBa7rDRDk0OyvRxZPZNSnNHGZGH62mlqbdZqERn4CFVg1CwGwIww7sIYXAgD/G4dlWWzMIwgX+
DN2ixFuCxpLuBzSASmDJdwbSH2X7WEMOqzdsgCAZQIlOC047o3fDJqDTR9FiWae2vWF5q3Gbxvgx
zVAEJl0A536qOBYVU0JqyAqr96z3ZInlaPJYmKVEaORcgHpdr05yrisXt0pnJuYLPar6R16uH6Wt
7eTWsZHsDlFXtQUopYSZlbTFuwXT+ylP/IRTkpc0qGBTUgNp8hcL9oNvVudqTciN9CjQMmBlBZYG
BnzfvET47wuJvkcrqtSlGU/yufJzWrhhyFcfsLUKAbU4gX9BuB7rrcUPxuDvk5Lc4E61Xxqew83W
K6P1Q3ZM80hDrjYIYcD1B4/AwhGk4BN+JBzq4sCaKj8JREmVBxlvWpOOdFw1865zbJyqruimByPJ
CbTJvEiHrWGnw21j4XnYcT1Fn0r10XyRz0P8VkYojBvDFRY5GnZSbATnmYmyosYp2fTCi3+0A+71
TawN+xZvtuDShx9OVQq+hwwf/QRKwhzslKk+xvx0h9CLwWlhMbogaUNDKhj/hTCZWAvRcQrZR8Aq
6W1Vd+CSckC+rEHrcvqTIzIFi1OOb4nKnUtM0RJ91TeYdutlTr2DBm1Bcx3xx2mfwSYPcSEBA9kr
Te53K+EIXRsRxet7067Ge9sv3Xw3Z1l4W6DeIL2WS2TDAYCkwy4kwSLDWhu9GkYkv7SIp2IrBF4Z
LsyUlzNFRvHExm+8KdkWUEuadfM1WTxtbzrSBfyzEMrpZo4bSUCRbGK+bzFXK7zIc4TPTo/l94Ty
ZFrMe4z22yFvPSosmP9+q8PJfk6rFO8TgaIy5+BYlcDdERx3flxW+aq/ZWNADyQ6hjan+ZMkHeYv
fA3UQzrJfF+pvP0hc7/saAqahle3alk+QLJhf5n9BPAxm2b2qQnDfMoGaMWGh9M6xS3+5+SHZxfq
zfQoLty07BnsbcYDln02JNh6NyG9wTRJGtu6rNhr3kU0sINsKBokVNCmwg5y2YCVamP3zZoHYjGN
cOIPETNC2DbpsDyZzLKfljbCc4ZEhDYMVUEoOhN1jdiAzrljE8Ui5A8ViaEpjzwEj7mXA9HcbP6W
Fm6Op9tj2s/ahl9ppyCK3hMJwUUVCTGQy3FFdp58iUm5oY8PcyGBJlwVc8GGPowi+0cNDYJRpqqG
15VOHm7m1Kx/jBDVIfQ09G1sNBmxZadZ4ExqdnuMSS0tIHEwT3VB67OeeaJ5Shgvld2FzJxVG79r
vxi+zcsY3cKcz5Y7sn7FsEGbHvGuhRWfKMpFz3YdMtXd7Hdhtc1phzBZ3TQgKiXs8EonVUlzZ++I
i1YhxR/CkpECb+2i+y2VddEdph4Fi4r5G0Foekh+JDWwhdiac9yG/uREWxJj0xX8JZ4rbTZOmLtm
OV53nmPle0dmLSyYOfmRlAwpNzjdxmen1v3LZKbNuzVMVK6nrM7PVa+tJhD4XR+ArVIU7JcsFdDF
h+wlJRwdge7g0gl6Nqp3dulb55n87lsBrqwN4Aaa6mB13vDmMsoZaT0H90EQIEqgsTdsXJpmYTqB
nhW/Q/1ASjdIPTPAmFcX5kCm/Tt9H8m7EUsqFKCcv+JLYWyUG6aXBb2r0itTI0RTFKHL+8LL6m8c
bxhJlt7Y3yhtt690QAPwYcjLrfFKA1DUsQxwfNuEqiD6Z9hF9pRNvvMkysp4F/4g6ZVsE/W6WF5k
cAC2uOwhVy3pPrLj/p6oJkOhku3ONUOF4msZJwoDhmh5d8GoYgRyRfvZQ/wd91xYBTU15YSfjbZj
1NwUKsomalfr49iK4TVv/Oob7YTKJZCFy32TmHHv7T1AMND/VZ6za6Y0O9othJefOkvq8eynroOL
qc5976JnENxuITupr9GY4mgnEsP8SDCkQlqR1IfcUW9iUHNUDWp9gAGniZm7qE1BY9OXLkcv4uhp
5eYZb/9csGHoqhdb9ezWwfj40a4VMvrRAkvUB5te5Rs2xZZ17nFbYQbsEyFx93fV8mCPnKY2ftQ1
EHWcTnOFWHNrbeETcaNo8oPsIp06pGi3ck0sDW3h7MLVHLNJ+sqtoYiyUdwV1lKF18z28RYzgbO9
e0aNIKE3yRSLt4kEJnspHEGGSRtcl+cLeqxX4Z1elsh6SdSU0JvqIRPz5jHAu/q3ovaboqZQnv6x
ohaAgtFV+6uGtn7DbxqaTesmajOtltzNlA2thv3fNDRb/t0CDWLRc2oxt7ZWesgfNn/AodJBveLL
OONs6SNt/SGiASSxLfQ1xtbAi20Ghf+KivazhfEXELIpHZrchDJd2+L10a72ZxGN9J0lkswBWhz1
GK3AIJNMNL3lvl8SQZ9ApPbh2CtzhyQ9/BD0yW7CrC4eEOSR6VMSwHDZy7c8XwmWdqQRxn0behpH
XQ6+MRPL1e9fVLdhq4s48FXsXtOYu+phnoPTVbVR/zgqFT7TNo/6O7Ad/0YnR3FVURxERwKiDU9p
vdAobE/XviKlsmUwVF/nBIZeZ+YPD32e2ZgQ22oLl/KpiUT1YozQnwKR10AzcWU6B8FJBnPM6O3w
rYTcDFX5Y4LzawS/fPb/Samo9RdVkjdUoYl6fH6M+anAhEnzqyoZ+4U558WsNuzBzMeFFeJC2R7r
UAN56q6aW/ODARC5Q3T6NhjXHWHAaK655wSRvcwZNISF5qfjEna1yVi7gHdpL8mDtgqqtSrgQhcp
bCV5zIhU/x9e/IqR+fPFoGyGyo6yXBP91vqLopobS5RDOFDY66ca0VSFh9Kap51jJLAJ00Rs//mb
Za5vxj/7hX/h2shQxLE75jxxHY+lUmCwhXPFJgXc3t1sZ3sNB2FjT96F6JlexOVVvuTnPLcudDi/
WHBr1in+hJfsn7+wNdvy19fFFoEuS9Rt35No4r9+iEAEppELXnGeBxy2hEV1YWRTeP1/8VtMy1XE
FhTE3L9cKjUcndZ1ay4VQwGn0KbeNZIh+j//LfI/eZOdlW4Eps4lFyT/cotLKNjs1X2HwmkPUTSp
QEytC1h0iWIUPsc94f1NwsT+RSAtPjOS5NDB5gqhVC7NVyywUCb8hpXfX5HSTglN4DgsMoSWnKUI
DoJJkz3Ml10fGw24vBhvsfCR3UNy2X7U35pyKlIAV1H9wDa+fG3q2CGAUWg8w8QIosRiLtqU/dhu
Fqst26A089MkBiunZ3Gi2Jrum3+DsDje/5wAWZJV5h8vWAgxf5r4/Pznv498/r4iodceV58FiXZP
QFS/LVeGYORjCkqi+R+Tl5Va/R8LFuuVySLFl3E5Wcx9+NLv65Xzd+D7bLf/mCGB9/8f/+3H9F+j
z+r3p2n7l///a2Wz5ax33v++M136dW1c5CxX65CJmdRKyvpl6INzmll0+uXSP+ocyjE3rohh2vN1
33MspWbG18t3AAnzGXMENv64pR42GBMfp4dlFl8ulodsw8gxvGV2Ez5zRBbf6Hmsn3Djx/REWBhA
NkI1WNtj4lblzoHc+r2CRCA3RL0dZD0rhkvnE5aK6Qga+pu6M9j5t9AosVcytEVus+3qVua27o8Y
KgW9f0Yj38wRIPCPMpy1+UIBZxgfdAvv7hCBTJiuHS9LTv7SFAKDMMr9E+gn7jYIIabzJA0ry3Y1
h5E9bMWfh+Eqm3aD2zlNGpRVbUrSL/WMtlDFRn/ClwgTL2X/bO7JJpnpfWvXCK1dNEHo6ikOuBJR
RK18nWZ6z7Sb/opsLfqhuarV7wb3XLNnfSYbE2VVdlMpWx5GbMHJ7WDiEI6CGRpRvvO7SRYLcTM9
zDe6b2fG4tJ1KBVolsHH9hknHJ8amjmu5qQuw8Bu3P4xhw2WwFcuPZBCzYzPYAN8dmg/qrDAQWxS
vfmk2kmd4TBy4MHTnBAlXuA59XeulOYHE/RwCASa1JfdldHlUHC6YGQFh7fpag9fOQ2e1Z6YoCqg
E0cfdkhfLwN9BRjTH2yBfFjkJlb6quq7DW2j+gELHjFYQvVMgjThFLkZEiL9gWExOzxRfrGIw5ym
zVW3FDHYv6EG2YnqZOSBmsPoqw9b8gdYb7gK9JyHDHaUMUyUJvhMwCtGkh/QpVt8ceDYiR3Dq7VR
mpgPbhbRIlWzGPhPkLOLzVDR5MVxqJgXEjkRabYIs9NrmzOCoZOVTm1XeZdg3sr6wB0Jc6gM++yh
AbWZcJq1syYY4awSuVbU8fnKEC+Wx9H/MssHxK9BtfCZ0IbcJ0f2YxaMs2shxHVuPAdSR8WH0zjt
gGpmzcu29cOpDiyPgyTyWO2cl6RJPhdAmW4AXLm6s5IikbuqXap3/MfjJTRjDNWhb6xDUUJF7Y7Z
Svk6Kat7T6MMLG0VF+6nhYeaYdnip++4F+LbOSuLJCBusDoZMtkjiZJkXEFeDmwRmM6Eq9LaTuQm
IyF5GjIWjbWpN00vmRfGMFtgPRlgpkrjxiqVDT0J6um8RRofT+liDfs80jE2YrYc3aY3JrSbOsEE
VKOdG5uuRzbFAOXk36RvZG84v8nZTElmdRuOivo9n8GrkaohD5My2bWYfZLNpizMGoodw9uSUH9i
kd8kFcZL7QzLeZAplvzAWeruXePlbHYuYq+5X+gzOvjTgA2Dv8FVB4+hzSo7CTpiwrCLcTF1nfFE
72ljBNjZw88cHys9fDKN9NWyCHtlWEtorD7b7rulN+JrO6+NcpvCyPucYjt7ipHsUNG47nEc1QXq
D32kWFDq2TksqTXkwYDv5DtUq+YbV8wkdiLLvOpIp2rq8yeH9QWod9vayClynoCYgWJZqP9zkGZK
cFyFWRqXFFSqzxH6ULshgu9cEYxEu7A5mbOjaOMSLZtxWntktNoxQXBpPeOBCrILl38+bOUwxYcc
rTIDXSbxmP1c1v4dPP8vip35P17gg8+y09/zv/3PL538+F7+7Q/Px5+OqPyE363TmJ2xJgn8GqZD
KslnM/y7zYNIuYnwve4FJGSP1WHx+xGVFZ8VHTSEzUaA2h7BpvP3FR9gJgdbjracJaj2+Re90+we
/rx/xeCB6mqx7HMUdpSnHDYXvy75fZu6YMXyQ1LBRwakOxJ9Mo4doaidYazSvRbfnBZAhKj9/pvN
0xQ7k9Pd1J5fvZjuMN1o1rmC6Dr8lyg0/efMTt5lUzG8XOqh3YKrcQ6u45qwgcakDDBkqU+XesEL
BYhj+/Mn0vREOrkHkpFZ5nZuO9Ri7XoMFzHBJqfZLuuT6OvpOVJ1d9Uomd2j+qgrh6xlimbO4B4G
ZArsTac3Vb04T2Ecz8/TwGOUZ8+HPZv8xFZZzGtpyT7W3SCvRwcjcWLyvWKeyp0f5uV1ThasDfMO
TGaR3SSq/0ghep4JRkxbB+bhKa2FOMq8/SiikJF8WXQ3VVfATTddzsUTQ6BYRdCZYmM4FXPCTAgc
5ldiJO9DwXBq/U5j5CeKTKpHVN0PinNnCqb8/Cqi5OwZcH93M60jVPoiKGpNMveI/vfuQoYCpiuz
G+0tiwx+/hnERZ1jzVz45eer9OYxuxHreBbP2Adhy3c3AwAc4RLY0pZHnmNSzpEmAnMbGZ36snnU
vvi9rWGZW2N3w7hYHJGRsxvlh/HJYlC07Vx+wuSqLz5VpHoTW/1JGEa7qtGmecBxnT3BCeYNKGKx
dzqy3KxY7jlaXziiYQZ8SAOib+bsZrQd2JEVV9x5cSz+EoOXr9xaXPZ9C0lodvIM9Qy76JHW3WlX
mnwDtDBCcgT0rY+i52eSXWf3wOqPkvjzw2tmbC+6crPD+uamkESOC7UIaC7rlJy+ufemzPmNcvwo
dPrOhMEKrEZVp/VtxePiHn2bPxlcDQbppnhfInwEg8EvhV/sfBH11l/KjpKTBCR8zNFEjqlsP8ie
Objss/k8Y07/ZsGNZn86nLNOjbflLMZgwBmw4Z8+M4u/NSn5HIKhqawT0FIDOOnY5A+66VwQA6N7
Y4CEvDS7MDm4JE9R9nsTgCrcEIaaWtyojhaBGlTiVeELsYuo9WJUL9mGwVkztga37ZnNbY/3GnoJ
mpTE8uHDQrB6/UbDAckFe2IHjI8qUEoOpI1oKsT97kYfIN0VqIdyCrfKqsKjy9TyQ4p1lNnNFWuN
7ruKeJZWlHUvLXS6Gpm68rrPdFR54A7+CqghC8rs0sjBy3jtzcgF71UAYGZwuQjJi1TYsjLnrhGj
fKl7b7xPbZfKhsiKQdrImTzCwI2wLI6+9KiMPGIsGe/nyE3PXPX9i44NgLCT3QwBRXLDtmqIOrSO
yTq6jGJvAunbOC21UeSv1nY9a7TOJPvDe79yYy6tzr/tkeIYAGVkLEVjXWfkuM5RjXQ8hnC+7Wzo
EIupAJ15bMSB1kOFzusPR/igY7MJy8g7JHIh7D+mzhmvvLyhEGN8EHB5943Xi2BRbnSR1wUzcIOl
/HrES/Ne8Gv385SrEwVUP3qQnoA3XCaU8zCpixzrG5M//+wk0tiW0TpJbtpHzBOS1ous1DspQmAN
+PF5haXey4FbgiwO3vjEsk+GFROXL4vxYjDs54ojyW3cm+Y5darkiQYyfUGZrM34At81bQmi2xiO
iFG+mi67KEDf1uyuPHkya/OpFU7y4rNjeulrB3MONqOlG+NHNykrRKrOW1vGG3ZgxXykUgsbA83L
3QU9oOGzsqD2JcwgqWCuOub2cX/UBfiPTUh35mZcmeEjadVLBg3GtaPd8F4QuQlEWA8wwYmib5Qz
4vtqQfnua+RRDHig5D/qOvzUHQaJ2JiOMjZdqpfR66CL+Mee8h8ReNz7HctPSg/L1FGVHGvnhS2/
Rfi4LBDppzXCHbu7thf6zPvfE5lpAaYwfL6J4SnvvcZrnqKR6IgzmeoiJkVzG0UT292w87bMv6c3
fBTJZbyEkMva3t+1WSQ2aoLoMWVWvosttm89pPqNqCyNWOpG35fe4m/SOAMRf2i6XIzXbAkXuZmA
63Or0LhAHH8pcJMzlrK0ZZ0IGzkkEQn/wDEHXjKaAwadAkCp6jGZ2TW3N2DpH4PdX2vgwxtsgoxC
DXWZ447ZgtgfTsKZ/WMd5lPHLaqqy7wo8E/1s77GjMPHwUh5Ept6kOZljEJ7SWSBIZ2pLS4oUzX3
sajjI5uSkarJaeX2h0SpxOC86AF0vDF64w9jjjz2AHADhhLXTVUXT23tL89kB7zLmSntekvIsxtH
Fg9hXOUXnVmi9kFJI0npjIa643AyH9ViqBMgkPIqnKvlSJXggEIQ5lvHc0pcdrg9LBq8zzS8rPzJ
tjkUvJCd4Xs8W0XFDYF/9qQH96JdGknCM/TxMPndbsJEx4SblYr1Lj1ZMbMoI4ruiTzO50iN/mXS
LdlHv6J1qlDN+LDKx7BgrARbcOTIYhXg1sghOwUOhnYmHxKmdrXXsFEY1rcPBUYMfwNk390XWTh+
rsc6GhZxsLbkudr26IcFgC9yV3cCUBXkBoNkPV0pJjr60Nz4hB4/MEa4ly2Am2fLmd6MubUvxTwo
JgB2X0KCSYo7Sm+qqznioQaeDU9kCCYb/EJ1L4VlR4E2MZtaTPVvuqq5IxsGtauOrwXh87vErYj5
h8yr/hd7Z9LcNpZ26b/S0XtkYLiYtiTAmaKoyZI3CMmyMAMXw8X06/uhs7rLmVH1ddS+cpm2JYoC
73Dec55zGyTvbL7+xtZw1GhTFaT0ND3SXFQG0N/GbZSUAM5sotDudK+R5oWSQfUODMxhnfguaZqb
DGmVZz6r8zpueIg7TxxGF4GxlLK8YKa97yw2ALomnrAMBNRqf3CCxdw0pcmm9u3vfmTwmMLdDGWr
a3xoma8bBQ5gSdrVSl3cny0zv9qe9EM50z7AMU1b637fvUS0Hh1ZaarQGC1jUyuQHaCBh4+F/vfv
eTbi/yA73F5Ip017HHji0lWatWai4T+k0ve3BJYUk+lk+cIwcGhHfXg07C66NGaq3dmVh1m4MePN
EFtzUDbsc85ImwrFyTV4WgBxZg2jcdAKC0CMNW+y2bE2clTih5XChYdkOTfhbE32qui7Z4fNDQ78
1Eim3oa2F6bC8cuA1xz51FCABdqzCea50p+9qXR+zMZUbCoOvmsb80zY+Y4M5kh1WwV3m6i1O22s
miizN9zaRhU9QkM+HRLfJh1GS1l9sOz+DBncAqpYOGGH8n7Isqrc1nV5LvASrhroTlt/AFetwU8n
09Q5z1ZffstacwwX/Hxh7wpt75Q9Hll74nKZzGXoFQ6EmsKigRum78rRxiuUv2xj4T/CQANr0SDU
HGg3mgm2omVXV9q8WWAGrIe5x3ZYtXzQkiE9Dg2gvEaMaufBg9jKOUu3mmj0zznJnS0F4sh+nTWH
/ExRQOfVcrTNYrmnWPu9ypvmR+yUJZ0q7ffOt9KVoPfrSt9LtbVo7jnVgNfXaD930k4uxCbwz03J
uMq6Sn+cdeOCm5OkCtSddU0if8vGANcGSQYeta91P/xpEW8Fu9uPKJn9fSUHni7q7Yw9nFnP2OjR
TJ7MzjXrTIuPliKE0PTH3VqNR9+r270rCuueTyysi0XYZ0+22IIw/6avutvlJxuvyR3FUX2Eldee
ngZKWd5TSYIaA3ey83Ej3asOyjDBt+xMImc5el4J7AWKJ5iTFOEHpI3RPNiira5AwrQ3A0I6NBTb
ibZIA0MdsqsA0xM4O++HuNEeFB9RDOm1FX1Q1BXtOBN2L3ak3/xs3UKte9qJZ1we9iX1nZ4gjd1s
bcfNilUPdZK2Jel596Mv9Z1LY/AtRNo31yHBsLSynGhCXqsGtV/oNPiwnNL9ZKNY9naKyTronTi5
dwZz2fY1T15ieGpL4bP7QsRqDEmoQLnRhxoetV+U+wrAyH1qVTiFzaHT8QN5VnZOcvtsaDfSh9st
EHMaMLydTejIzcybw9kvHjSDqvWegxXJX2+VyPI9zygbKbtuuHEV09BNeiZXjj8iJUJcmWP7FQDp
TFzceC4pFFhX7vDZ8r+AmOqcGeuZRZp9+qQARYUTgvClXCSQGpfuKwndsWkHtUPiGk60mRanIe7f
c1Ua/KaVtpmoO6S/jcN6xEP7OfSCCrhyeHAXufVITK54rS8zdv61OeaHWDljOKjSX3tJo20ogiPY
O9jnKevSszCX8SN32vyuSGbxZVCfcB1jvN6+maWBqlwOZTNFbZOllzuOP1diTN9ptyFDlA7xeeLz
GiyZGgFBRc7BNez4UBE8DHNLmNTJNqepJMircykN2ljUW6klC204Kt/N7mC8RCRtUXJnBwwWnXSo
iif6dz5ZO4HpVIm3K12xqdsEf7ZfbgrNf4na8imf5seyt8sNtrx8naXzEyGuAKv0LexBPxImLvzv
mXiTY7Ic6zJz7605qp61iZSp6Vovi4LASr/ivbKhcs6OEaHEjstZShx7jfpMpU00pDQ+JnqLCB7Q
QKg84nh6S5XvWGYF+Iylfda1ujxl/Gz7mvMuMKDsEYkBFCRFcGjW+Sv9WusB+f2CgmAFU9p+zKn+
Ud3OUqlmPbUTu6Qf5QEkleSQlUi9k51/1/IqW/eG/RiN2hfeccox60utT28UAgykA8d7SO7LCqv2
fIqAaB+c3iNc4UD3ujmyF+KQiLnRvFKkp40BCw8nwNNICdYqH3KX5abJQmjA5tnK8HM2i6gPecxp
stelzWjUQ7AQsth6cYZvXzNWgHwquqemKNQTfQ6B5sn9AgB/TZbrZNlD/WOq3Tlf5UofVhlc2sBn
kwt6f5qetNj1jh7zg++Morpg8Ow4HIr40Oj0BvW+9UNn5zqM8FBMW994RQ2nrrQvfkMdQ8ZZeI0M
9DXTir0fZ6yivZbh7qLke8MQgOdYVcfM8b/XYnhcWgHK3jfPKZCsIR2+SAf8oKR8UzX5gbktwTvO
FNRA+7gRomNas2+i5NwRht4WyECalR2zBouW0MsyJKJQbxjRveARPmp+9tylcjwLyBIPENY9DLj1
l5NnGzxjn7a27GOfNvcceOea7rw7peRIX5BsKShIhrA3DDyt/reU8+2aOPVuqOyjZJDCvZsZbO1R
aRAh5xbQr1LmUo8Dm2TOAwHDUHvLPTxKLQmJbTyNr7jUgxJP2GrgWhg7gPo0hHhsFfU2Ei7NI/Cb
TQ8akJWVClAR5aKeOU7rxkt7rvTLFw84jOSMsiij1rdROb2ADCivFk6PrUYBpadbEgGgeNaNeFsW
WhYCAAnYtl9o+ThJVUwHU1c/0efwMsj5DWN/p62Sznqi4uxbaWnLVWb6G3RvlquxezW05lrbxs9S
lN8a3/8Y5/grE96JOc8qtkCXWf5XXBh7T3LuNgvTXMUk0aGJJQ+L6t+TuhmP4Lh52qSlNpSn7OPe
aV9x01KDZRj5pdcti7OiHp3css7An2GcKmJc+BERiyAnkUhTU+Pv2PHQ2Lty3oqCmbdFKLZhQF9Q
ojfIEg6mtW1rcSirmFud5uyaePmsIGGveTndKm+WYxY1b7yZj32V7DAS3VVeAkOwGDbKKthW1T6N
wQHDN0IRyNtiV9wKVYuqdi6VuvnrXKYeo/HIPDZGZxo2OmM0Bka63NSpv47pPMNL+BaDNUDz5NpU
uPd9EW0hKRy8wdljlVw53CpWPpkUUlKgCpP0pVgIW8+YVEsVvzuZxSZCFsMrxy1iU/Ts9niKqTzC
+UMgehhcSVVWddXIxPN52PJVHhzwBFjcgeYu9p2Isn0/teN69opvGUCzQbJRRmAkdA7SfqOCOlue
aa6dcfumWhBTihh0IrmW7FurNJ9fzCmh8CO64BzCfGrp2yJPCMrm/j6JgcN5qQJ6IeMnUlg3+Jl6
I2J95D6MT7IqQdTXRrKj8IW4shlHK9m5PL1JgiRcS2Ddy1K4723LJCcnELvuXc3r1lpuyodODs+I
hMa2wzN5IA6sA97XxZbe0Kag8jLrXhYQWRY5vhoBw6+AEUUe8xHpsiomUKDONdauvaqBjQ6pchEc
IMHQGkIfr4U0FOIKMw5O3vs/C3pR9pFLsWfJVPqjr4mfUNdaH4TfDWdOqtXnDALy20Lcdk9RTXro
XZRhNILJIcA/ldWj2ybJj6grjTckNrGjjcm8Nx2ve247JrUZ868VJkCda3kfHQo3nw9xLQJF0/zt
JdUvnEywUpKLCTCScynloBrMdf9zMbTiyMfW3hAv4A2egWBFnjPdewpiG+tE90DnwU006h2uconR
bjwicqEBse+SLzI6z+Q9QpOR030CcGknpOG/5ko5a9qU8TcPSfMCW7t66pIif4/nvNlO9MltkoJd
yRp786CTfrkOKR4g3laVbgkwAeC0ZNa9ZW0SBXjFPEBQzDE5SuPRBUikYwrqx23RusOJ2zqCQ0fu
kZnZWwXcCMj3QFoMzh9m/NSOHl1T+oE/NgaswanZEXsqNkPi2rsmK6GYzcvPOc6iMz9StM/qbthE
dclJQ4+58Bqxnu6rlMYEdpTuSOsDrdGuMvOV21rGq5ONw5lLRxUmt+DWLJAIwJ8gk1hx/kBwbH5M
6jreU7tZfCrVuw+J3b1atk21u6u0c8llMKhSjvHY8ZeDrMyr00bJulJzHTjUJsLBQtFoeUHvUerN
j9KmPEb25Y2oMk9bjjHqbUE3ODq1BzjbLNudaG7xh97j4Ooa3bGNteK5oUJjXRqs2LJyEjjjhX5S
7H+nztFEAKvYOsQwzJhYo9wou9uT91R7Che9te0L7ZLo2fdR0Gw5O+njQkxsVcrm0hd6fJK6ZJDh
VU+p6M2Hwc9MtOaqhl7TU+u5opoa8Uu3+yACorayRVbtQTmlgcyX/NQ6dc4y14PvKBsj8LCAlKAF
4OvxZesfy43mR8vSzI1BaSHlCPxiW4b2h7gF/6FlvA88mWEcOQbZEokNW4yPYFz6UGV6w25O0iEj
w7uv3DILUj+rw7ijVVnhV1wRZaZHoFQVWZMhPqR05L5PlMKy67ZZGN9WFZPB95lCGtwNAqEaQrwb
4hbJNlGl+m3qm8AWLLabeLLtC7GQJyXn+aGntRA0AeUj9VwNnJZrSmGL6NrPtrcBJQJdHAf8oen6
OshIGYdZOnILrUEC0Ek0hhlq21omuCaXLEkfeHL7TzKk5sq5laoVGTMTBjZukJokU91CPZIsHB77
+hb2Z3izLpKx+pb7GSNXZ3LBHPDbQLKuIePQvtZSOhAMltls0VoYmziafWdgxF63UdZctVxzztFE
ApfXc67hiqAjOtY5qyzYvV7+XbRjsulnUexVBElA6i4CCncusC45q6MvDnx+TdwiOM2HnK5NU/Zg
UCAKYS9Nio0dqzeQETggoVScKBeudmmu8i1FAh8MpqOgngu4Y6m5xMdem3QKSvPhM846UidluRiH
eYAlmAi9PdR6C6CNyt0NB9QNGlcIz6HfmEIZnLerhVauipK6svc2WqzZYQVOZe1EEZVoqBBHREs9
NKCsbjI7/zmAVTr2WTLtqcsbQZVmxgcoEi9sbQsCGu70dWXD8W0d9FmpJ9jRl2Y6DJJCNmckp9Oz
NmwmoqqrVmtY13Gsn9Fg3OfBEgUZUGkS0+66UDILWsdo7WCA8nWDFe4pH7MeSw0zf4bwfAIzrz3M
swUxuyhVsc/s4v1G3Nk2hU7XHX97bemFFmYa/QodkLInMuAeHKci2hDTOyWl4Gi/wHdYxzmcZyLN
E8Dkkk+6q3X8kJQ4r/wW/yn7k3M18bQS+JQdyWcyuukjFRTdtgbsvCpcP90mTmlgz6tldXVzwSTK
spxn8MT5xej8Zactfv9D75Wkbn0Zf2qKSaahDTdwTMFQLGJieJ7l0my7CcJIj6ZyT+8saoXraii/
1FpkRmXhA1isV4MQU6C6onyhoqNEdxXFi8PNJyh09Gdepn8/p7d8K2mGQ0krSQDOYngemuEzTcv4
ruw4y6DrO+OLHLTpTqZQQukD+fSTX1Ncvgi0DS0gEaenIO0G8brwEb/XZwCMeWu0r4IQ271F/IFO
M91WEXTKrORobuX6t2aMzWBqnOGtHOexWcMpsu21ohCaByKr/ZV5y97Gifc1cShCb6UHFvx2NQWd
IfsDmeTpJWt7MI0cCL9PSaZ9k0Pf7yov7g/KIQ5CvLC8Gj0BjlUshHMHpuNrhC1AAIRZ/FuJ6//s
4mO6uNLQD0ZOrwZqMm+m6eusby4yR8sU8tzGBBYG3CIvDOe+/JaJbws9lOsmA04x8Q7EfbIwAtOY
6hDVMD6FzbfLnOlXo0D20Xj+eMULN+6reUb+0qB7NebMRNnSOwrKdf+eDqZoD7cD5HeZtuorTvqO
pPk8ACyYfI5XrklAq6gwpxQLikbCo2N6TN1tYkzRWhpcrNuZ/7GeB96iKYHFoJcd/5paiV2e9M19
YvvmZfBFtDdc9FTFmry39Fa8NmaLKw5wb9AtlgSLcvt5/YE592Ko9hVaKW+MKm6vrS46GGbexIR4
RBA+L2bJNRkGeFmshrb4GPqRPqCE37RwE3pWiuHTJtaIz7Xg5ecDAErG7PJQj5q+zoSKd7ELJ4xF
1b+viNKgpUXlsDZbUF+AU63+UzmwprQr36Y/mjaUpHWc6t4LVlgnqBlagwCnlrDf3t6Vip8Vhzxr
VwBeyUH+tlB2oYUt92L0mMlZHxToYhCoyQWoLdHfzl6PRip2aH3WqrQw1AYLgKOwvs3KaVX5MP9E
jzU3DFmEtEs0qSBY7eOKrN4Ys7f2Q6rLeDq3ReVKjuvii8Z15a+ZVpNMxscGIzEqEr5pZMxje+dP
MvtJpglEmJ11srgUNli40SOxcszmdBEhVZR28oCjybxIwt0dlm7dMAKMCjVG7aqwO3aTpeC+zLog
6BDCNPxCtmqJHinyGlSgeZDZUs902TeJxFGsNGrsSObcfpqGIZnI8gmauMLfmG5kqsASmF3XvuoU
1jc35bt4Wbj1sJuCf/hWxsvofqsckZWbHF/CyFl3yI8FbACYtKV0eBD9ngCcdDP/dbRzsz0zpnlW
Jn+yjPSkvJfAnpY7gY/Q29KqqQ4e9GX2tz7SjReS2hrc5rzSm70JmW8OxiJrgSCn4nmpWXZXYB/s
0CUA9qrbnf0+2EN/p42DZoH8jU3JODZvBDnIuHChjdcJOkRTXemf0eEP/6LjkYRU5s7liTrG2HSA
UXTM4jyPsWdw0/Q2ftHvukY7LroT0QqtL+0mUdyLGEES403iOt3ORendI26zRtgzJckqGXvmzZwz
vIMQciq+jV005Vvxi/bnd0mWhSPjj0JtkT4qBqJ1T4tb07SIlZlTwLXIJ7ODS1watC0kvyCCHq6F
cVXDGYHhWanhnPAyflnnquiEVuL1axt+xc8I/zfy/UjNCNfoOqei0/WLj8LGxLuuTbP5TIipWBcz
r+OK7rFEftlLbFy0huTfyuWbPfjkCpuN9Yt2KG/gQ/0XAzH7xUNkegobMYpkeqEoOhahGjV/OFS8
aq5bN5JipfccXOGeIdTfSItiMN0gITs9rqzahY9RxpTGhp3Jwkw48JY6HPCvYe+Jx2Lcl2CWQDhW
VLfxtaQGbLGbGHV8ESnGitsyr3btMQ34/K19us2gR1ApZdFRvvE13bmgiHRbDZjzyahVtukx46wR
B7ZLIvsnTskWb1qf/eR6UnWrqYsUmbk55GjnJJwtihfOaOcF3aC1cmRjGhn3wgA3rdmev4YzOazr
ZqquvJsgYbv5Fe6KR7fAfHXrQV+nBRI6R5B+rSnrB/NIjr91/61hJz4R39slcyI2maN9V/VyA6cZ
1x4B47NVLBaSpZPC9XKLjxnjAnlYB/X6OCGCQA1zopN0rEdCg+U6Fd5exJEZ5DY3JBt2Ark2k3aI
mUAQqkdChVXteiRROVE1/XpGSmtzLtkkYvEbN5tFKv9tditJWRaVkQsYOTolfOtpsdlkyYo8EURu
8KqgqNexhzLKMsZ8KnSnoQ/1uPK+kemA/dEY3AizSQdzocBu17MZdm2OrbYuWRErEu/ntl6qu5TK
4W+SEcgNzdIVJ9lUzZM92OU5mePnsuFwCKnrxUehHSNCTCOpQZHz/sLzJcZw50WuVyTokQ5ttnCm
SXS3plzlHQZuwMdwpWtjukc0GA5LzSiS40+6pTWPMsOIDJRRHEFeX+2yDIj234tF7lCM95qu12Ej
MrHudO0ecaxdjzXni7Jsr1FksQ7kLuWimLCp3VJw+4rWf6B0MmL4OW56a8GgPrsn3SPrriXGReno
uX7lyA0u3HhdLZAbcEp/LFnn0tY7VY/6kDcrKSdzPUazuWXcp69Rgo9q0vMtVlsiXjoX/5VDUH4F
+ADPa7JwIucKpAfxnMCUjuPsvvGRPJO238a6zK4lWfS4MRI4xTe0YxFqqIP7Os2+CVEGI0CZHTIg
ihbFfMXBzzwUPmh6L8xKx3eTPrAjgnmLQpl+02SSHysr/255ZvIwFebbRExs3Xe2FvojGZJ51Lut
08YhLe8b2Sy0E3u2g72c3UmPHoDuTaFOEgsQyLBsZWapn74bfQJVQ5GqyjloSgaDcNFecgbIe2iB
3h2uRES4JSlORZVrt4EjbI4u3kNDmzZU8ZDjtJkw+oa5fLIyQZnBs/TuNLVBp0KrbwrkF8qVulXc
pE5IodhrxEalpqQ+Ca1A6YjfuUe9gmckKGxgQ7HF+GzbRoNYTnh3mQdt1emQaUTKwLkX87s3cWm2
KocLQCZ+WmZp0mNQVxfPwAFNAhsSDU6mMOowlgzTRDrby97dUid+XlvMvEyFQ8emUczkfLcmv/7I
2Oiz0FoOFdTdITJmgDrn5Zzg0d9Df3/WhDux4WMjxIPDKEInxVznprsVFlOM2d6hfmjrehLfMyzm
27TVuD585VRttZX/A4ASSGkTrE7HKr0q46p9IoqP18NId76hhcSUN0rvUb21w1w696bPb72jnmw/
1xah6SS6lubwkWWPtZNdco3DUeOLAJntCHLgTlj9EMyZdm/GEpx+P2OgscoPty0COITnrqujVznU
3wi9hnPaclAcGbc3uht0bRT9GICyQJGan1rbZB45P8BpQdby3IPRtncJqduwUgXchPw7F+HAk8mX
3mfGyneRbYTvExJGfqPSbZNG42EuLDppKsvfkvrihO7Ul2yysw3uFHheJXhUD4pu2GXe6yTkawbq
BA4tRYsrys6hOIjpNLU6r3HwN86IS6ZzzfiGo7fPdHnclzTzXUwnvTh28ewBWUwykQYaNeELghTX
kIG71vDhZ9S2+2Xih7TJ3tkFGQTTbZ/rPjn0LaXLMPwsDn95owGU76ofnW1sB0CXqwLSCvOeKrlE
PaRfM3uJ3WZrxRIXYX/19frYGdXFTccdjvYAtWRn0baR1dI5djrhAzABFCoaVI5xoSton0gPosSo
R2R/PdwYEW6LhFHV9XPiUcxdiejaFmMZ1rO2WTpx6FX+MxvMu7ymvZ5aohXQsSzINGfA7M9TXyTo
/56OLyabPowJYnGNnB1GVm1/t8AwoDUm6Ro2C7aSjCgIrBWX6zUoFeZ15qbV8P0jto4Pvoqt/TBS
5eMbPXZHowG83gwQngJYrCdH9cZdB5oWu5a5ROuYBvBxXhu9bSdpMLZzX9IxB9eQgU5j1PWRfCaP
RCLwwugUGoZeWu2NJLq0mGwuY0GRIkiD0M95YcXIXEuyxSyD/VDY+QvgCsKyeHV3YO0pZRBs5Vzn
KCO+iqU5tRCasFTxGkmja2uDltw1HF001ETtmV8OF9FagjJwV7tXJCcsqjGZ7OVy7Sq7OVWl552K
rLmVcI9XiJLbhVE4d4m8DfRcCSrtB9LyXQWFqJuoOmjvaCh9YWujtxkso3mDCqSFDtSrNpxdXvc8
BKMor701WvfNQEkWb/8AxTo6ZTHIMZXuuJwwmkQZyqkbTJoWuoH8QJxm1pD1xloHDScWTwOV1O57
dzxpfYsKFJ+pDtzXffHCToRfDa5fWT9LwFYB/FRUGzg7MTyGyPsUXgOJSDm9qUKsMsQQhJXSsltl
J6aT/jlmHHpIYNBASuBMCEzUFp+OxTkubcqv3Ge7xHlSBmWVcnKHYUV544wcNedRgC/Xp35eencj
I7NT6dH7+d9owp/hw1td3b+PJgRZ+lGr/i+leLd/8WcUgUw89n+SBkKQN7BN6/9FEYTxh+sagNg9
ku+/gvT/jCKYf7hkE8gfClIM8CqJDP4jimDof/gGFyUSi7bvQF4X/0n48K+h4FuwzPENOIgkEHxB
8OFvOVowtbFCAzBxVIzxDgsgSSC39Le/vR//iDz+HnH8l9+F0iTnFscQnn5LQ/wWcCRlvfi3QBb7
iZhPMUdikvGt+Wc05i/Byt+/i2H+/fsIfh5yGoL3x+T6dUMM/P59iiFJLXMkz5irnpQPeYbZCPCy
egx9lNehMbgiaHLaXVaToAolppiF6i1BmwRk8I5a20FVTxUYGicsAQzUZ24TpnVocmjjzD3aiTMl
1+4xxJybMtqnZ2O5XQ0nPsu2qfYiM6J0tyyT2hruIlCj+cjOCk8alwNeytBJHBoq4uqB377h/iut
aG1pwGRXt6vdNcIfVO10RQoywAFMyyfWH+sHgADqCWFrGls3strbblHBm9NUnl0i5BELW+Q4HUfX
sh9sN/XSC+W3mF8wdoILdbL8eRiwsIdEuuo7Qeqg2PRxg+ERBRCMOD2FzPpHdTsGMwxASmh926MY
kQXGI39FNowLgkfokyogQzTAOXTh7KYoiV6qsR8YpZi0Km0lYSsZpgVc9a0qnVuYMkqr4Qj2kZF+
T/Smgjo3x3sscEt/Gu1SiHdR21jmHSYG1UvVCkn91CKaHf7i+T5KdeZVRgtLe0UjEEZW15zxMLag
wN4hJvjvHbir5wom+9dQYoviT2AtxEzTvqe6sn9ggLC+hPDt6k2jNghhs5ho06CzzfR2hMnam+WR
2dzOWIxxDHtvlNlOmgDTHjBpMfLFEzegWDbQ0I+AoFqo/MYkYXgZjjK/9wCwqqCG5oxr3+xFDFKi
AO2s+w1C+wzuIqMNSwGipLUqm/bA+ilyYRSkuwTPMyDeqzw2xldPeSCPEzuv5K6RHAfRB4b/skz+
kQ13CEz/++WZrfm9r9uU8NhWpdXP998jY7d/+uc6bRis0wbha9dz4G1ZOovHn5Ex+w/H8MwbuES3
BDce458hceuPX3+bPyLFbdAu+s+QuMbXc0BDkzsndM7Sb3r/yUL9i/z7W0jcIqkGVcUBjcfK79xA
w39Z29LJF7KrKE5EG/ZCprGDs2VAJ0FMlWn1qikt+87EDQIw/jQ8JZNqqmlb0nzengvJ4RAgKOAV
7vPjgoHeBVoSRoOTv0IhB0Boj/qEs9XXFJ1DuvZuN7ZeHAWMLrC7xFK6YDFtTYU88N6TXs2RQ5Xj
KPoNQe/2EonchzlvemrlRtWiQq0wZLKJBDMngbO7OinuFc1Kk+TH97/9Nv/F5kLd7O/peYuVhl+b
5d8aTbDT/X0Li8Uy2dKmTA3T/AE2sHo1DFXuJ1wnHBA1Y8vo1yYhXtbxt//5O/99u7l9Z/L67Ipg
0/kN/430kYBEtvi58DkiGjD46+9mYjf/H6CGd9u0fv/Fc3LgobN5MoksevqNw/P7psY0Zm4V7W3Q
d42Y8zD3vFW65PZV18jhWXuEa5ZYt7cpKNQGfbjiIUxSVhNNqTzsRrI9KSdNCe99NbcSK2i3kLgV
GmGOVc4ImTqOIqYcTOHmkJtyFr27MiqXcEgydqLHNdO4zwZYNrXqW3BPq4WgMYzHiar5ALdCb7OZ
WCpwh1k85rIWn8ComhqMnc3I9yFf3OIBE/701jZucpcn1EbSKuUwJydttGAVMfV3S3drCmEgxyGK
GDPg1NrDCUk1tPxg7yt+ympgBq5Dp2kO5Y1zFWggT7OwLRY9O0/wH5ZA1LB91107kNFthN684VIX
TcjW2f70HOzRUFUWzwxJhJDorVGIyE3FRdSv6xk2CPaCopuvEU/7vR9jBOWmiFkqFNI0Xk2qz6N1
pCkD/0U81D9LZS7TbhjpyGKAgL+mlD7cNAyXCbjZzEj9AKUoyo955AArHJdigLbntQb6mqhjE8MT
kejIbj5ovae80YRG2IX/8wN6Oyb+9uxw0ALDdDtzccCDQqY7f3tCtaVOGXh+1sgnB+oTcKNMPfCZ
xDMmhP1htTSyQVbQ67cxycFGetZdWRXQGpocxrSRxH8yaP6bXv7fpst7++83oUcuCMn/elSf79Xv
28+vf/Xn/mPZf/iCSZeLJYUBF96T/7v/mNwghMd/LpuN53CF+P2eYEK7IkRvgGfCfM6L+Mc9gX/k
35ZFkCesGg5H7/9k+/lbXpmbCAMil7msdwN0UVXz10WIwW8yIT298WDrT3YeW6QCETbrau4DU0QY
+dKBC/1vb9G/WNkx5P3l+eV6wlvCgZ6HmMme6zh/O9BzMBTWXAwvwMqqLFS5F0/berajVyGJmAAt
GFgMmf8UVyakI+jvRLlPpsx6LPLLvG3z2rKp8dXTYqdR8Whspept82VyMjyIptNNn0M6pwcX652+
QXfkS2RGk9lhp/opJhGnTLntMBGc41oNrxGzAn2tzXNrn3Nrsch9gKa8xDFvAxhqx2YKguhNB0qR
ez9Agfj52TKRObHYT3lNJwmvRaE+S2lrK2ewteKrT/UuenNVZCFTZykjlg71Mplo5GxozmjR6arU
TfcLv+Ku2HtQIZ1XaBSU7BixH+kNNrqktbNAeqbyf3Cji0BqLSaWBnRm/WMcjeytps2q2k6JZELK
uM86M4Ed4xf+iHWY/hR/0TZtk1qsU4rJy0oYmf0I+GB60bzCTFAQuoXSywRU4gY5qKWaFc+oC2OC
ljqFPzZppwcJOdvb0EsHsBREXBcwLrvVwgoHR5i/MIeIx8lOtwin0rgl37UzsHx6M5U5WSw3lY0H
Qe+widJTN5YbY2mlsQO5muDZrxnuoMDhng5LZCK2KOYwpD+7DpPCVaZenzwlbvlhtqOEQztyfcEU
NXarsVyc72x+3PmyLIYSFdsK05BLuK8nZ6VwBxtL7+Fs1TB1rPHDUxuaWwZsHFOWOd0KmCJwLZbL
Ss0Ggycdq3pFk7khZKhrCrzjbFrpsuqnTJK5TZdKP+r4xzYOab1nKDLOG1b0mVICh/dtW1d1D3ZH
3TbSmlm0w12L+iJ8H+my92MRHxcx870TN/upxrFko2EHXflFEsXA0u3kZ0dgTbC5JOaaViuUPbju
wB/JDO9kbRG5AXRMfUBEWE2tQe7GBCDoZjsRyaQ4bf4/7J3XcuRIlm3/5b6jDMoFXkMymGRSJFPx
BZYSWmt8/V1gzZ2bERkTNPbzdLe1lXVXpQcAh8P9nL3XdgWughQlpIV5wY9+mtlIb6Ry/PpLN4cC
tnMzlD+DJiBiViLNvaaFUH3kI1hVu34GlQReGljwysyGQR2GHMlS5mIAXI+T43M8rZgv1OaXMK2p
NINtmviLPKcLxCMFXCz8nofwi1ZaszLHjLKcFsUnF48hX2qjoWpWx7xNOknIMxD05dZQb9trFRGI
SN5Vmezi0GyGNZp1tbfqNmDgbJxvPHi0/kJF5rOWOgViWa0aVay9mfFWnk9ZD362BzIssyMKcckE
13OVJQOm+mzAprUKnTGBZG5y9qKt1tVP9IvLhzgJsJlERj2T/Jv1X0fqcs8F2cyfHc9HmjTacXcv
LB19IF0+fz9nAOc2Uz14v/u5QJvP3UWCaKHvgESLuveLy0kZOWsq1XvOitMTuWW8xLJvvUcSP6dP
STen31wgSgBn/BZPBjxoEod0n3JanIjVuS+Q8ExrjZEKKbsxJuCiAbSQVTo2WGDI6gosqMW4ydae
1Yf2FqtRYu6STpPYDk9BwChPfYGdYYv9ICKLmJflQyICVf+KnGmucNLO7a0HcKldU8S1WzDKWV6Q
zYFRazUkAeL0umO6r+1Z1+Zq4VETUxe6xF7O0xRhPS/RYnS7JOdSb4OaIJyfmZJKXDcBek3Eq+WA
Y4YoP5w79DbHAS2eTa4FU9UcAxL5UKBB8l9rQfF63PVdY3ziIbNrm+ueeBNke6Hc0tWk48r7ZPfw
pYSFJEshS2zaHcZP7svOGBotv8vOmMO9lAASSPYpIxqe+Lw0ySF7OxCG2Mz4+Jr4tqAknNM9Gdp5
wadazVWY42JN4bzXyCTdEYygzR/tOC2lfBe2FVO+x/m7B0Wj6QXaM/Ry+mi4w3fSLjC1Dx6C5Svf
oJtZr72wkOjq+UQRk5E40lPIdEF8bWedeaxxIZBys75RxJ4Mt4BtnBQWUNw08ilAlKBB1UW1ReZv
iB9pX0qZqHw9pXbWP/l9EtpfaxOdDRWa2EmwaUG4+GxFQ/N7EpX/aQB5QoA954NfVCtK+5DT+a9W
KjXp+E8QBfa9H7p860RofmG183/PzRDeILzOfseJrw9x2+KnDgzqHUubB3dVXAjFQbL0u1uNyDve
hLUz2gSi5MWjjAiXLgO0X4ZJcBLQWokHXiVsdmECEL+YjVxwXwWQ4f0Z4j3xshjVN9TCe7UyemHi
5qtL8yOLR401ye6L96xYKNWZvDDKJiNsDrWycLfxESLnGnUk0S2aDvm73ArZo6cj7dRVpHL1DaUs
jS2IFy7v/uiQ7iqGgugmSjGEpbhdx+udZOZPR4f1U5ebSwuSDx3WK0R+j8FYpKhNJxszhu2U/PjZ
S80f9CaQeXtlGnzw6sj+Ps7MaTTEAxeK83Q023VlEPK2H6VGPl0iOoKAQJoyq00Yj+R4aP1pTqqW
3n4Fj2BTUijDem2qqUaW46C7qhtC1DcpsKxmCyGl/zo4HJI4t0yhJgDGJTYiraoMK40V0s3M0NIh
hWoWuICRYNXzInoZq75QRE0ES4qFQ1KIWDteYP9EqQ4yNwZm9i2g3dCvsoXkvB6DBC2Sibki3nhI
im1wUvOSVFG8iOsSUgBNWofBGrksyRCj4aDfYwmOwIY5hfnOw90OGaGmZ4jKDIkzFOaolLcZcjS+
QmVMJ8h+USAqPUv2a8Yydi3JLjzEvWt8TgYHXa2YiTfZzLXGsyJH16q2Lha06koH4SJFxENBHwkg
WYsQATXNwr5DZaaHqZpoA7EwAUFj/4NBUtUbtyEt6dBgGqN/5boKqdmLfpRIOhQQGTCX68iMqivh
wjbbkJHnERvgd5J1SbPi1gMonXUY+z49pxzpZ9IaloXJ2O+dtTRCZmovlC+uAoGza90Q5fh5GMqI
xdeOwICPKEx/dq2B13q05n5B34fTRN4FAXwrMAPuPQx//dAD4KYIaSJH9RaJsgyAyGELMcT7xgnz
Z9qe+K5aydodp8n8nqk5PgtLhPYOifdAjm+bGthjenVnjhLihJiC6FfZzuP9MAujRb6bGJ+5cqmg
sAX9k0GSFF6rSYl2bTWkx6zkpN1vBQ52PlGe8wu+bsnb6aL8WMdjC8hsDDNy3/PYeNbIeH9MNWHN
a+Tr5OxVeR18Gdkt3PsYxxGsT8lnnlZ3KHssqtBJKnqSJNaWv/NonuONTbTFU13NFoGF6aiqzZii
K90XpMnv/arpxKYThjcSw6Djr0OXYjtIMX6O+x6ANVp9w+hRAKOfJ2CWtlqGQigXsPqNVn1I46IN
9kSV+4itmnHBKyUIwjRbFbFKE5YYNGSxZD/IVp8VDIA2K4DpoA9lbYxpi059Z69U6QTYxyiEJauI
egXWwWB+FGmIuc233B4jxOzZOBc5Y99HujF+Q2k3rueeDeNqaCz1JWfC3zew7R68ttWHnihWLBwx
QmOMPAEGmHEgoPlQeWogNxuPEFzBeiYmygW88x6ctfcLCIPznLHW9OsmNKSxI0OTRQFbMr+fMFgX
ZkGCvwDBlJPcxOO4fHp0W+W7DCVWsvIixIPIelgcVm2fmxHKaiurNvyj7EKrtvCrraZS/2hFaYaW
yg9yWv/0g/nbq66EaMiGrt13Vtfd5xUily07GeZgRF7tXYPzr1mXQFR2gOFZmhTNizs14JPJyrYn
hQwKODbfKa/ofw4xMqwAtsKuyizjV64IpV1kAx3mUT9pwk3DeDOt8TRGpAnLRH7QUFjyrWabOK7C
OJvvpCmxfBGxt9QuaqjIiC/6RpAlVYfQ+WEHHNAtVPdpAB4IyUvQohtKZCLXiY27dIm58X5afhp9
yXgJPpK6QZYWh5vRQzA5gfkvDT/7HuD+/xr1GEjgshfOd71AA1e9a6Nv5v02n/PQY99a2mox6Ifu
x9qG/kxxyC/u+5kfRLZiwe9JYmBQCUIvFj0wGY8WtnBkLxi9n9IKjTgd9xS1SdMLEukRZzItSrNn
C2Khdtw09lzLK1r3eOkcesCgU0qTcw9a+vkmYI8Mog/UIXgQltV8lRswDGDvdQ7KI6cNWVurPoIB
g/9yzZuoPhYDCMQ1AmaWKfpXfA1D1zCDaxZ77q/nTXa24WPsZVu0p8aXLtPTQ4ysJ93yRiXYNxWZ
wWt/KJGysqdCQ88WMQbMkDaYYPPMKRdfH/QWDld2sXesni/iqKyRRhtbF3K2zH5umLWohZbgjPx/
0Xj/1eBQtBX+59rSFjhNfdzWWP6B/24/W+ztFMVjiHiQcOkb/NvWcOQ/9EuX6jVuPkro9Cf+m4Sn
/zHJH9TQ8BwCEV+ItP+v/Wz/41BLAlxHTQbl/JuqSqcFdAralkVRy7UpX6m/uOIR9Y8sJK5w1WrD
3g0wpLbJaLT7P+7GmTLSUuT8s4Bue3L5D+PQO3HN0wZB2CQcYQZBykuSVl9aLx2vVF70MA468Jiq
Jbn28oCnFXtGo3AlXIC+kIfp4R8Xy8ZZVZmiQk94Et0Tb0SfgRK3vSbRIX5lqL/u4DIUVV46Q9xA
2N7HQ00T7IjcIBC4q5L8mf4Q7zqCwqfLF7QQ/U9voWuxN2KaMJMcm+n1Zw+C9KwgtMaOz2Hilfcs
3cBf7MGoP9iGgaQvLYpffpv1HJI622Gfo7pdasHEbhypdq41p8+Xf9CZO8zcNfk3N9i13ZNyZOMs
YuuO3xO7gg0kCzFCPZJxvgWdHb9ShTw7FixgQdSBAy/3ZKwgT7Is54S0ajix3ZXV0D0hehVYUvDX
viZhODNXEdfJJTvBMzWq8OMbPUR4WYphaeo1MVWD2vOfUGri1CqM4lb0fXGfzKK6Ds2WUl1t+Xjr
zEVrly9nICPGdW32WOgLO+5RmKbTzkUB/O7yzT8z5yT8a34jxDMaU0tD7g81Bx+efraSjAC/zMgR
qQXIa21iDd4+iuQuKLpsju2aJ/1OM8d5HOoEwnslYc+ipnhKlETqfXmY0+4hrw4ziNVMIk+xKUcc
X0zkZZQak0CukHK2Ozl3wSEm8eJHQTj6gXw3onJQPHhbAMf2h8tDn3urMF5TUVcs0NqxTqrbtlti
jgtCRJJAfNF0txIqYkDzFsuyb90JdGczJBXgRTiowmkVeGBnc5iepPbJofjVC+IhLv+mM8+WWacs
qbj3BHwtBfk/nm2g8wrfKopHnQn/ISmxIZUYz54uj3JmlmuhsXUJIUybheV4FLJ9htz1YtZ9y8iu
qNCinoQ05JK9LcW8Q5rj/7g84rnr0nTubbZVfHKW5sqf1+VjL6T4xX6eqma85j6SN+sKsXn7KB69
GotPqmfTtj0eZbAjVD+BhwMxkSaRdyni7QK++X8wCjBamzeD6atP3ow5622LiHhAnFj974nDjLYa
FPfd5VHOLHv0JyjlLnnJSquTt9xYIHAUkhEMcGjeWyFHFH8yCjzghnr7BZH7omzeBJNW/umip6DC
g4KihJgpOr90Sgjg9CEwXb6g5bacbANo1rN1YcKBEjhdtsyxzrLWbBmlAV+TmYMCQ5sAecS6Vtsf
YBJGnBj0PcilVxbMM7fSw9Oh+IYoFAqnS5kmiq4ySmRL7sAZE597tuvmHvFunb8W1bJ8jE4v0kYo
YpFBZqpFc3I0z1WWqJaCiQsWpdilnUTd5pCxagYdClz7mpP19MptPfNmwQhBlwDN2OWrcLKACg8k
aZu27sqZHLoLTcYZyYmtt3+EUSfSFkWwKGkGnry/Nr7D2R7AMIm8d64KhCU7TPj1+6HrnFde4nPz
RJgsSjQtyON2Tl7iwKUbIAeD6pYJkx1Op30A8TrsF2XQTexkxto2kvSpRqG1M0v3tfyYc5MFoQx4
aEczUeXJlRbEFuRU5FhDMrqqysBgDV28vU2toHzlpp6bLGR8YxYB6ctm/mSzkQ8A1zxBcJ5TD3ej
nz9OkQ/5tp5/Sz++0QGl4cuv4N9zRSGI4uviLFEXJoeHo9nZ5ayQui9c2K8ZNYPEt8lFrsT27aNo
qlPL/mSR5jjHo4yJ23Q+7vsVjQik+U1r78ixU//K6f5Htenfz2kJhQdngUAXg5A+GQVgM8mRAXiL
uqjkh9gMvR9dMbQ/Scyb95cvSCx/1vFbvUTdOOy7PbQctjqZE+Rt11wqJxj2htTcwWWU3cYBi+ts
IqsHEzX0HXAYPfT0m0TvNFvBX6YbqxrMlqTPPnqeff6UlfQKQo+HhlIr9Iux/R2ZfTrvxqFSeLqR
TYHGd7LsazKEuIxNmbb9rqC+fTspIMYbu+3pokWxUeE6z1M43qHZlysa97jwWyrKTz4MQnpreZeQ
0hi5GTrTKBLfgVi0vx0+ineENsafYU7htSpLfjW/15bDO2Hl7hNh7mzpWwIsm13AD/4aGnOXbW1i
lm/wpQRcIpSIa3xpYbJhWiPfwXRgUDMK0NDQpiENbmOmmauvLz+AM/PWslxk0lAcqTkvpPo/dw/p
GKuI5BTiM4CZ32Zd+awnyz9cHuTMhFrU0ew66I6zfJ981pMypPpp0X+NYb+9ixHNXenSC/F5gCx4
+1BoK0hGQ4HFq3gyn0hxN+tCkNUBsjvdL/UxSMvTQvHpJ4KrLg92ZpurLD59bOV56Tk9nnwhcgQE
BS5TIqlVqX4MnaDdk6Sld19Do6BPDaADyYNHI8OqSWMk99eefjohbsJgTOKHit7yK7f6ZWd98kJx
JwkGEHwiHaLBjh9oVzpuW7DFxfVsp9dtKWHI+E4krgwKbQpTTqpvK7y9FfXfGPnG0ATj+6aXHkLr
cm5hc0VCYdp2cs5hqcLKVY2awOzLd+7v9ZnnvSQVcCRUglLN8a+EwlQ0REkKblFmf28qRFtJCaOe
Q7/9ayDT+n0Qxt2vy4Oem4Zs/jmNoAZ1gSscDwpBJQKeOXFrCuHcEKHpbjIzsq7mNjHeXx7q3PVp
CgomdSlv0fkcDwUmLuZ8RTSbCDnImnSEsJ+ND3VU/JpE/F7RpXvljp67OA07w9EuBxCiw45HdMBi
Z+TqUi4BBH/VlGiBUv7HNab9MXpl3p8bi3ITYl02E0uQ1PFYOYHmbMLAPvIZ6g4WPDtEtk55Y1Rg
Ei7fyLNDMZU9VLCsIC/a4T9ObZqv3dwXbFnm1hrgDZnMjpSTG77K/2Qk5qIr+C+cFidfvWHOqPj2
nKPcyXR2Bd/VFsMjEeMoIlDYXL6sc8sugh4KXHSSl6Xx+A6GCn9M7rMgDapMbqcRvAIHZvn9zaNg
FuE8hQuH/fnpQceiuU6vn+UprKzsLkEzdkXcBtDB/2AYrsMT0lTIt0+WHMTSMTQBpsNIWeOQh7Zz
gy7UvHr7KItEkIMhB12Uf8e3jIWMChhS8pVom/5h9OxpE1RE9F4eZVl4TpZPUlDAny1FZWq3J9eC
VryAjGgsmg/6O72b/fat7t6K1A1+IvnKjTszuVmFEDdSqObroU7eI3rUExYYBuMDA0anUHrnmeGw
r0P77ZWtRca/aBypbgttnSxIo2vglRmkIMMq0De0eiAhhVDT3nz3HLSUHNDYyy1v0vEzEo0VwA7k
LKNJQLrSBop4GlzuhwqwGZ2SwX6lWPqy0pw8LipoqCeZeVyfefIdGWHlTdwt6kzElUW4LBP7s7Bc
xBkUpB+QX8w/8XxaH5CTFxKkUtdfDfy+/dsvm9hYSgko2jWn/ePLRi1J7iRbvFUFiBnlCwJHFRv2
p7YNY6LX2uGVV+HMJF1WDlPbvA4OPrvj8XDHQrWfueqgNvNDjcNj5w1h+LElDwBKhjAeLl/fmXlK
RwQ7gDSpzVinWtW6HymGv9SJwb/vIJrC5+oDzPFKfvkPRqJ6hmcQzRRF6eMrA+lr+iod2SovGsAB
FcDai/v8Xdr1w5tLF4ToKoS/fJ5f1uHjoQLkpBaaRGq9pgtsPlefDGh+BPuNr3Vplsd/Mkn5cC1u
GWyNJglvxyMhZICv5zNSbffJPV+FD5om9YbAQZo0oZIA2OEOXw09+7PLt/PMZ4YSFzUumFtLrvHJ
W1+3yM9orghc1qP+yLeIdm0azq9MjzPT0V2aXPxyNh781fH1UdLwtOGwttBcTomPmL/g5IDhbiHo
9Ie3L9DUL1gsKSCQc3Vaw6jAZJi9zZopg7jkWwDvBdUnCYexOWxLqimvTJNzt5BOy9JJpOVFO+/4
4hDyGcuRTqySuhofIbym+wEkzytv9LlR0IjzShNgq9zTjxubLTLYcuY91p6P2Cq67RC/ejY4O4ht
0oJhj8hiebLDyYhxbiqfc2iBA+RWlp14XyO/316ec+cWC6r+VFe5GiK0T+ZcXjgVQGAt8H0rvXcj
hIEjVJRNQVDLfzC9qYUIfAKKju7iTP7z8BoiGmJvxoYepinoayKDbmK696+Ui5cffPr6sountkM3
jhrryWoLThMycMcMGKMiAtkO31ojv931BLUfhqoQSE7Km9qEdTMV8tUKyZnR2b2xPeC7xfpxco1B
ZE1BZ/a8wlliflp4f9+iDsAagT7+m48Qmm2PQ/WKpR6b8cmTM4HuwL4TbBd7sKSNEfVwULt0D7cv
eOWL+feSyFC038mtJt2Aazt+cgNK6jkSQIsyo68Q4TsLHKCqxDfYQKpd9UuxXMNkpGX4yhblzMiL
yZD3jA8h9/TkfUaYNUuAwg6KSvKyCU2LP0D80R85g+oQYqmDDghTwgadHl2ct74aHAjZgNGmoYtO
j+j4qkG64UnjdAFI2I7Wy8Hsqk3iAGqKml8Z6u933TPpL2qHEyE58S/2qT/OTSAXalG4lLSU0an7
BCvzgaSft39fOFzQcqJTiocFKfjxBVFkLeMx5YLcKfDWYhJwYwhG31y+bWeuBbMXrVI2BbzrL1WY
P65FF+HEwsx2HJpGeyUr/AqkjZhvXrfwWfIvSduUY/tpE0XIInOsUiOlz2Zz67RwkAnjDLBhuPPh
8gUtH8TjFYWhiE6kXaOWgsTJigJ4acgG6uQrO2uip6Dr9OMEaf8bcljzgTU63KJtt978IWNQmpJ8
zGjUsDgfPys/ANwW1CNFzsAPnhGQEnrTG8H3y5d25lmxzUCSAocYf5Y6Wa6syQB7ZBPo43KM3jXz
5G5oCk1vnxGMwpLM8Ykz3+koJdBcg1xzB0BB7G95bEgYsnR+ZZS/v2TeYn3laLZ0VunNHN8xvKdG
mLQ2BKShn7eULWcUxnoGKOwMryy9Z8p2rIYcBKFmULzDWn081kDXjDgX5nil0HuiyjTzLaryDs0s
G8vDyBfgazS42LJIMtkMg5395KjqeatqdOt9Cu57K2uxIBdziLVict9cJ15Wa6gciAFYOfXpsimJ
xRnZL4P/7rIrt1AmvwRN4+XZ8/dOklF4Hyj40C7lZh7fhQC8U+QlvIOA9OVnADn5ddLMdbFOTSif
fCCjVx7xmekKIoFK6TIon4WTRzzp1gvKikdMMqN5O+Bk2YUinl5pqJwbhc3QUlDg1Iad8fiybNKJ
CaCTZCEDIf3Iz/jS+d1rb96ZYvSyEOOupLdNDcs62YaPTJlJtEsXg7ASAqO0PMg5Lz80dUuyiYqC
/HOWABmqMbzcJmaQ/oRR2iUboDnNLTEp2Sur3JnXh0rDohSj9kSJ92TKTLUW6IEVD5PD5aObqWhf
yKr94LaEe1yeN2eG4uND7W5ZDvCGnjxGN1WBWdtoO+KsDe+yGCagnNJmB6u0fuVFODcUZSikKKgE
OVKdDAVzMv+3BYeNu/pOsBzsFRxhm74nC+btr4NY9ukUA9mUUeY4njewMEkcbWgqmpZfX1Xo79+H
hgLj1aPfbUiaefvbQM+UQitr3nIsPHlinssJRFsZXPvKF9u4iKIraU71K2vd6R3knmHepV3qULyg
znpyVUiwCSmtGWXqaARVbSg3pg6ip5hIgzdekGMCqGCnR7mfR4XP9/gGyom2HxYJGt507ciQMEn/
acjhvjz74BIdf8+XYSgFk3NLbwEz8cninbfNDO6cYTSJWITb7JMuxoGYbubRwTKitqjpMeiXMUQW
iywE/+PikAdVsMns4s13l9/CJ56qvOC9Oq2g2PDsZxNDEHKCtIDE4kJv6wlJKzynffPdpRjExMTx
KikK6dMHKfM2ySIUGZpkkGtPhg0QwPS1Vv7fNxe9EVsKSWw1HXb3ZEeBSLvKIl79VdXI8dmC+vW5
cvMvlx/hmUGYkhITOBsywcw8nihT1YVl14BMyzyVb8LEbtauiN66baFUZ7Eug1OBTMX7fPJ5k+XQ
5uPADUscXW0l+9p3IveS1x6Lu9z4P/eXyziIELCBobbgiLNc7R8bZoAO2UBTe0k19sSPAkXjM1k8
6fMsC5WtZluVv9sFLpQsmCFnsKpvTlTE9MWGGO91iHythyKd5ZhfFlQRC56orswhVddpP5rqKcmm
En5+Xqp6H/mZcQiw6AZXKirb+87C1riOGvpBB/bA+U2ek+SM16l3fkxpYsxbAG7GVd4XBCIY8+R0
65xXpaE4ZtrNFtus6jZAlKob0geIPKxk2H51SDnwt1k6AvIuh57UJb4h+iqFYvyt6TwyDIBAAV4d
IS2KXW6myRJioacpuNI+GN81Scs2Bh+vIwZtUtOn3gXnS5BTIe5CXtxmlxLJZe/SrJ7LlQW7oz7A
YSdMbCTF/HPRduEHPUXltPYgNd9mdeU8mXCNvpWD7aL7TyswhU1qZdl+ZOvib7UY21s2BMnzgGVl
3AXh6JJISXaxd1vFPuteGNlFfIiTMLXXNTu7YE9SjVvuHD16xiohto0MJ6vMs007ylwvpNmw39vI
rYKPYbWAJmtZLgFLXp++y/AYxRi3QXezdncFkGzDqMu1xKj9rTRL6xMGuSXpOPQ9jKZ57j25YpTN
IWywC4aORHLXeCNASpa3+kEQ+3Lv9kQdrEBNZ1/YtkSkx8Z1QehgDdgN21GpqrWIiL5cBTqtbjFm
uJ/sIm+I7BIy+WTy18zztpdXDdk9NVpxXWFBhkpWb3riTPlWo2pON7jPEzYGMzJs/K7D0OBXKitj
FVW2/O6Tuvup96O6uAq6nL8DWPw4sUcW1c88IGjmFmXVTDKHQ9haYCbmuLWz2P+sqqkndxpQz6Pq
O30PrMQ5xFPnHSIs/te4zOu1g2xuBYXQeYanLwks8Bu5QoIKzguTyVCv/dmJaQFFFaEBTtwbBA0q
Kxv3DZWNn+aoEjAvGQBWCAgEcLMI1sZ3vm3JF2KSvRKEcZV2a43kY1wTdzc81qKfy01VsuNcNQp7
4zXVM0KWpLWUxzj9Jia8nV596psCV+fMP/8D71ya7Wdfjze5B7QbX5MXX6VmmYIPt914CZKtLW+V
62r82Y6p+j60KHu28UhU8448nvDzSLEh3/iDLO4lQhtNKkNRO6vJGrWfgyYoXTA/cdmFW9oV802t
o2y8Q0chv4V1JEjG8XJR7dpE4ucsWonCwa1yLW9iW8fDnWhqx3kSqTWHa6mJlkXUnLbQisG4E1cH
cpr4ssXP+4BOovkaLi2qPdaJCKO1I3r/K/G2JqFtcziQlmvUyZcaYEhJ/De5FOu8iqbPkGsqQvry
hISN52omztnygLnf5BKL+1WJ8pDQI3pZX+twDjEeKqJI1m2b99Y6EWXYrJqxBwBgjv1jYIkCPxD3
4pA7sY4Q9TU6ui4FxJtNC2cUG22ZusPKdNk+o9dJsYKa+EuGja6DiAi7vG4RUcy939/gJ86sqzjq
8puiqoG59W3Mw5tT9znLpPmB9b95LlsI/hvtVOIKfR8BkGIoy69ljwl65xiy8rZOCBiDY1Wd1OvA
G9q7eIrxso5mkwcrpKP8nwJjx6cwSoL7niifdjW19tyRMZn6KXVvPWFAHmrxO/WKXeCq9BtI++A+
8SuBTTgzi2nvQzThTzdjQqwmjgfpusQTPW6qWeN4JZS48rdtEDl3bVbZhG5i2QIvMNk5LB8i7YZN
i9g3uMpUk2JrHtuysw/URVNMkrOXD09T7fcPgdVhmVVhrd1PldtPmqTA1nrGUGg9kwfZ9mTMiNH5
JmXOUfjQ+w6tzlJ7xFHx/g7rIa/tr4bVYxOr7QiGIYrPBF7JJJJ76mnMzcqpm2iXCENysy2d+avK
SxuiicMY4oJOOr3Hr58zB1L4JFsYINP72pv7eSN6tqPrwjKrcQtw3X1vRH5JAIvCBosQDvs+YRL9
LyRcgPTMyAEaMI2oNT53oOjDQ9XW7scF913W8roznez3hPWfnMJQzNdJ0g+ENXo+do2l0WRveTWa
bt1xns9XpWVwnoVmoqN171jJtQM7irC+nBwy0ZK4sCGQwHweZlYBuLmT/g4UZJlMpPj+Kl3fbsF6
jPa4ayh2w1nIXJS9UdFP3wxw+B+B8mMgHRydutuAF4paeJpG9XqeS7AJbZbCe0R6rB7niK656iw4
5Ejy/WsHkyxBNqbmt7t47sgEl7L8Hg1d0e01WhxCl92Ks8ecddEhAh8Y7pwqayjOuiFeX+4rXvTR
8DDYDaOf7KshiR5afPnzlk8YIMdWA5ruvcrD7JhkAQ8SmzsO7HAWGytgydi6LHkP5RhZ0HSTroSa
WzjA+gNPzTg7Tct4l4wlOG1yaLr0SsSh9zD7PYAuM6mq9+QUEivRKjdcuySpb0108ORhFI28Z6LP
IzxGPvA/SLcl0t6lit8DMUPldwtnu/DvZh+6OGyTzle/XSICjV03ltq8s5DFxoAAWt7jMZUE+DCt
VXtnEhPN2mExS29tGcY2KnicnI+R27D2RVJ20y4kl0N+aWzyS7duZ3TV3q5TNFVRM4v41kjtyXr0
ILjYeyPxQ/vAkafoDiEYsXJnhdFAhl/cBMPa8NLhW122pDFNcec8lrNPNgGG69DVV8UL59F/YT5y
Iob/2C0oyMsb4r8OadZyREMrQBOf49pp28tJkoblfMLHQAQVefRAgxM3SO6UHIL7y0Mtp6OT3erS
XFkOLQj/6Twc71YNx0I34szuSqEy5bsk5UbWDnPdJV90B1eyu46Cxj405TRvgeLk28vjn71URAsU
+BYh5KmGgBiNMAmzhmMMLNdd1QrnY+WTHqXTunql7fHXMYO7SjeeI73kS8uG9vhSwyQvbMJzXPA4
NIANy532VdmObyxRsP3XVJtg0nq0VxC7HY9iSDP31cCXy26KZBsrdl9d57aIpqCxXL53Z54des6l
XoCMiW7DSTVkNnU6t2R3Yz53TcrZDuJYEQGf0KF0CF7NiOmaiZDvYsJ4BuHrH5fHP3dDX5o5SB5s
CkAn41eEaeVs4ZCUa7/aE5ZUbgdBG/XyKOdmCLYXqhZYh5AgnZzvSwJsOEkNLimjQGDd0Wi2xA41
xBf4b+cJU5ynmUEHAinVX0fEunW7pM410g5y77YzXYFbSarBr8sX9PdtW0bB18CXjerSKd4RqDM7
GCpOK3hBxcruNcy8MW5fuW1/10WsxRKCGJ7/YIFdrLt/nkOjSKM+CBjGaNLhjvO32sYC/AcK6NLY
1A3E7rEZO3Ya/fievDIDrHwC80cgNjnopu8pNAcR7VUvf6UZsrwCx2sOnXxJ8Ykt9iIHPXlFwD41
bsEGeuUCJfgW9AL8AB/gXYdLfKPxqMGMgKL15tefUZEHLVIhKrXuyfnf96au4JO6rHTYzZusYBM/
hs4r69m5h0sLwqIlR69fnjayID0NLSunu+ogye+abPhsmsQgXp5Bf5cY8KZSmMFDjeuIyzl5tM0c
6UDyfUC/763C1uq+5AXx3FaTqIcCnMW/F/W/eMX/s5g4Ljjg25D9ePTtT7Ti8k/8lwVe/cP3BJ0x
lUf2zOD2/tsCb/+D6hOUOk0H/LZ0nf+/Bd79hxovXQa8HVRgsEz9QVbkq09DhNWcCiIle+ctZEWK
/Sev2dJ/flnIFicknyV++J8LQJwCAGvluMQEoW687qEE3tulqAzmjR3U1zUmUaI4lgDlbJWYTkjG
R5/Mxtemrjns1rFr11+qsHbrde7JAPwax3m7fodBGebP4PXhdTg6BDwoNuuUkVN2eYRDllIf2ipO
o+u6K4DzhVlsuXuEidAIRenfU/SAq2InCWHqhpgqiBu2lf1s4Q8/J1liEZuSNHWwJ1t0/kAhopo2
UU2heQ0lqOw3UpeKOKxxiB6cymnvCQQLWbQk+/S9KeqgWPOHwOWdoeQlSzBB/Y7kskBcx1B7CNej
VyH2QF1Ki8zxeCgPfMb4ZKaTl9JHSPIAinjRev6md+sg2I2ZGXBsMCvPvCMoyqj3mVBVsEv8PByp
InPYWEtV5wRP0hvEQsmiwqJ/Bytmhn07aDOS68avpqFcyRgV6Ir1gSzoUs5mWG5yxfFpK4q6lAOY
E2s5Fo6xKGE9dUkwf1BxETRPfULVeT5EhQgb/d02I/JV3+UQDczuoVfkBPvrinZp7L3vBlM2w6Nt
ZMtZKmuQkIAs7kfRUNGKOhe72+MsYxCHnIfMihpT0uQ1h/8e67u3broisLAp1J7awfVtAFQBF1ns
s5VTvisFHZ53UZcmz4iMirhbNMeVvh+m0ILeSxwh9D6vzvsPUOlMc+vGbCpXnJ+s/LGoKie5dag6
JXuV9sOwdgiAMzZU1+YQQ1HHUUtjS5fQJ2dUPQ5nUPswtyQfy7WfAAdZwxnxoqtp4eE3L2j87gWT
H78g8+tY2MPWpceudlAFqKHiozOda3sKzeK2eEHvj6QOP3l51lirkeyg+6AH474BcGOp1ZyA8G+M
VDX7Npj1PdDc0do0lKhARS3QdJ5QfBe9kNS9F6p64kTjF6XigVMsxqNl3r5Q2OULkZ0ykm9zMOnI
t9JA3gc0ZT0xUaNokTC5ceRwfks1B71B1KP9TJuyIi4nykkCLJy+I9BltCHETxrBKWEmflDWD5ZX
q0fPKofoauxNNN/Vv0eTvjZr6yOAQzPb2y8nGQ7XnGqSlxMOJGJOO76X9inB1y+HITGpZiCK6uXE
RBB9kUOAfjlWxa2rwy80VDh0TS8HsPblMNbOUIejlXg5q0WtZ6ho3f57lHs51omXI15YZYG/Lv49
+r0cA6sg5ERY9WBmnOWc2PUJR0aUgvV7azlHGv+XvTNZjhvJsuivtOUeMsyDWVcvAEQE55nisIGR
lAQ4Zrhj/vo+CGVVSaqsTKt9LTMlMRgkAvB3373ndsZkRzjl/Vuyxgya5XHotBulnWfHUXQ6jqWi
2EbU7jiuQhHSb0HsMcTqWrY4sZ+C98BcvQ26Hnrd/bBNv8FxEB6OQzHxo+w2na3iwKsyNNPCygA9
HIdp+zhYu4M9Znt9m7e94+hdFOwX43zaRnKy/u27cxzUQZAxuK56kFPNmGvBmX8c6wntjbfuNutn
kMtdhCU++OgIKpORDeWGhLjHRnZXHSUDr/HTx3zTERQO9QJUEgWM4SSUMe+7o+wgC1F+5RiKGFFs
usR8lCiaTa1wj8JFZ0DPs49yxrQpG3T0InLg/kPwGI/iR7/M3RAlKgNN3RwFkvIoljA/62fsv5BQ
+IRU3zytLs/lJrKMR71FX6skowAq6KZ796jJLFC6v3I0R6kRljIKqHqbgJMt9lV7VHXco8LDMmNY
43kTftzZ52FgDjqauO+7yj9kR52I5am8XUlMJwwpPUqSPKpKPMlQmArueTf0YKA7WWvNByo1Nz3K
LgPjhSD3zH3CHpZb6bSptmO9kNg5VRvm4F8vGp/kLqTNF2iEqeOyD1dXBT1syUCfnTn2CotfgTxS
7LYkH086352CpzZPZ1o0wJmBbjW1uQ6NHqg1DdiSbqeom+g0De1MZuh+muveinyj3+1ttyT1WID0
3Ih5uf4kNdxRZ2CLRBO6Zm8S7Qp8GsCC2ja+mLoEaMGSX1Emzq6ATBI5KdhMtezKHVj0oCSBaBlf
aqWvEtUiGLwQ8aUfyPnTXNjvrbmE1gQWIzmnBJwK6qnyBxHXBcW1nVlnBcBB6N/jTuvcBBuLkNbw
OAU2Pdcrvi62IyXwKifjvWKSRrI89ttWIuFtY8OhA9bk2kD3zRruNQo0LDJaGgzn7gAJr2aqhFb2
Dfy7559ybbQrbRUO7WjtXI7bN0lBt4NXJqNGEKta+dkr1KJCqseH9EHLHK290kVvd++50nN+umZD
m29cfGeF9qvc4HPfKaL4iHLa2rM+pX3Qb+cqAmul6bHKuU1HAB3Q1coJfz+Zg0SiiXP4XaJ1o5cW
/PAArx6hptoRcOocYacFqeo3/t7y2dtYqFSfQSI1N0LqpI/e1aRoyEKV7rpnx5hMtMQjWHWdTL+B
BQZvVVM56NVio7CSthH3wWL3N+YR0lpvvNagT+xXvtXxJd9orijFgF29jfFaupAfLQDzIIqPENjK
5vEYDoLg9XaJgTarj9DYCv6gCy9ZYCDJAgWGUDGkcpQ5AmedIG0U5EmqwXbTxqRN1LaCMoC4nfBE
7adodcdiDxwTlG3mEsCgdhvArbexbjVnngZK0/Tmgj4tsM/ZxsWl9FBejUdY7oBYeefnEHQnpZy7
4ojVNVhbpbvliNt1j+jdPtOSQ3kE8o4bm3etNkwvg5azdXS1hkt5CzTXPX26zaOz8X01CRQjNjfq
b38EAFPnJ585obHpqoPM+uAGCyx4PoKDuyNEWPcTeZ15bZ3B1x27OeI6ATlsBInWRlxN00lP0qSK
Jiadi8VqTQ6cfqt/uF3G5DqKSQahdAIaypDP6EipOrd+YN1v1edzleYeFhWfM099ZCUPR25ycGQo
ZxKcsm4UbNAWq3Hri4wPaBsuAaUx9BJsNOaq38jMq14YdYwtLPVjdaQ3s8AcXwbWQc+5ZUB3HqoM
0jOhQxRenQMMXYZHGvRI4qGPBm/VvsjBF3pIgx2LPcwTEPukIKlCvxaF4qFLAfXj9vrTTlGFUwq4
w12vkwc98qlbOL8BT4xusMIp3SDWLeUFxkkDBZvyXnRRMvfsNeLe3PDXQEFBYWcbFXvwGmkcNE6D
4uAewdkte3IVQ3HTT2bQGCpuVOXvmiNwu6q06W5KbJUeFrLfMLl91ncuFXg4DMuozgfna8Nb0u+n
WQ0x1Qxz/bnZoExBmNi2CA5shZkjAD+t+t3mOfMepLIDUMFNoS6Sphy1qOr79lbrDfCnpTfJp6Cj
Qto6iMBP1X5ZNckdWXh0JQehC/xyvuwmsy2bcKoTupHodl4LwKeDWJ194XfBrVwD/zql3ptm1WyY
7xLqzKi/s1pjDmtkUD3UOUay+zYxnHJn121JXzmLnpOgs6sxtisVDPt0bJfPflqK9pwWSyPbAcmk
2dqtXFpMqe/DBV73C5fHUsLXEX5CMyVhDzcuagPCaVvRFvRdzvnvCP7b5lz59yP4Q/b1fw5v1fvP
Q/j2b74P4ZpBVw6D9uZl4qlJKoU/+g6i0wz3EwITACbEEv6MmMw/x3DrEzlD1FNiXNvUvZmT/k6i
sz7pBPK3oCPrIrayzn8yhv9aHrYlP5EUkfOQ2S2QGL758xjeMkcsbABvzVkwA1IG7L/WjOK3FqYQ
EXZOntTttW1wpn7wxkAl0ay64IEpdfqytiWP0ZQq2rO19avN5eCXT9aiIxlCZwxOS9VYT6zoTf1g
dbodB5lY74hBMGDr7Gazs05qnnbRbX2mJ9MyiMcBGfpVGpM/Hlau2X7vyER1lwLgLGaCqgTzLh3f
78Na5zxbJIMZz13nvwbCb2rusCn7eAHClGmNHLIBVGB1q8gWU8UcTKv0hKBJqj3E7GDv3IDPSeRL
TVrRMoxY9BY/KBN2N2xy93zJjYjeWToLrQ7V1W/05EOtJQn4ySxA4q65naW7tDaaJM6tYfOEs7TH
zWADeXSXrhr3yu3ZwybphHfGKdTYRRo8lzbqxzHHxFvM40Or9/ZVz40XF1PHcShshtHempIDTnXS
oRya00wH6NcAgZmfWna27DR9W+xaMKWfCnrsUGgru3tCUQBOYQSdJnYuHcBj1MpcGLu1Ncs6tizA
0yBppXclNG6RlJW3LNP1KdHnk8XLCzNaJgyuUUpR3HyilViQomTEnTbaq/nFMTI7xZ/GmSpO4bXR
amo1nDJxXeR6tLQwXXdOWZgTa0jdS6OOqoYSqpG2PvSEp3XjMzXcgudPWwDMG+lL708MiZUllO6I
pWHyBlp5J5C7ey8BTRYNONWqXVmRrBoFvE623ZSQlmDTwTZnwervFAj0DNyoQY8o6yGac48f5f/e
1H7bxLh/f1M7vL03P/W1bH/9+/3MsD+x4oCSuXEBWayb/7id+Z/QBbmTcU/i1sQ6hFtW3cg++9tv
sDMpjEJR3OA3aJHIjb/fzDTrE8Fwm1gbaTCTAAfe8f/7359gNOqX//6xCnETln9U7iGDcWvcZEXU
F5Zbv2jodul7ncL3lMkuv7Ub2rtaARd8Vqb1F0nDn1/Jx9yLQgSWBl7JptoH/Bh+FC97sLlJtRAU
MoAFe12NGWxc2fpmidz98KO/+f7d//ieflbsf38lngEkNflBIb/+/Eq+QLSYna0Zo6PnIbe5J8zL
HP/5i/zB29lAmluXGxtIHkc/v0jq+LKT3NEc4XUnpF/Ta7VwC6SZG7vYX7zU0dH+z98S7wizMkGd
zU9EdIfH2M8vllgtc5ezIcgInPHB7bvkMsDHWeC+KH3qXZ08QBVelbsr09EazmnLSXA3QVUewyFx
qzpaKXQy47ZOVRf6KZ0iER4ZLFtB0TfrfTAI3doly0aTz5vaNAGGqOIayLopD71upR+oE0G6YzZg
4tRgfz8FTrKQQp/m2kDzmfhDM+3cb6JesT4qAgbjnlpc55tYBX3xfAk7v12qjhc24Gh/sbVZIJtZ
JiOTNk1YdIq2DPyzJPdcJgMT0tSVDgeV59vI17Y4FzLqGtUIBR7T0AcNkV4ZAWFHjpuLoERNLrzl
ZVb6+Jwp24Pdl9MIEEpaGXm01eBRwt6zqrMxc7ppn1A787UupirZlfq8vNPZNT/NU1V9w+PhXHZN
MQmMa9lwRyU4LcdUWYAH1xo706JACefZrxq7jYBZa+9qoPYssaviMekdKUM6hg28TQNHaQywgFGe
/Twv6Yg3sqqHJ40NAaMQP+naL9pXluj1nSlTys5N0NcXlWb4RTTZHomiHsXjWfKMeK+VEO98aoa3
bAmcHCB/gwMnaUx6NnBUqTdYjyvdLga/GV1L6b8oUyQorFJLwRO876aXLYvuHGA1U/S7epb/whBl
XZmW4pAt0zHnh2n1fBPdWDzNpr+AtCnma8o1sgbsSV/c14OktwzKqf3ZAEKvhcawdO8iCPqnOSmn
z12hJX4o3EV8ICWoewUhqdybSz9dymLCaDjPbqmHxZrOF34wu2lsjCWlchklCF/1aco/RkxYOVoi
watQH2WKJmh2QzzYtdJ4sPtjcUjq3DjrBIXaYdAL7aI0y0SPClG3RjQzuMMdrJz6ttehvkblKq0k
HuRiUlTXpPXIFLdW6+28YruoK2N8LSYve0djTr07X4r0eXCxP2EL3IQPjjCAvheNBWDYDfpk8P/N
Zt2NXYGAO/YykeGcG+2H6pTF7lF4wzMgsQZ+vTcxDDd9PUUYbss1pJu1o/jTa7ycpg6tuNJAXONb
6F3m03Jeq7uaUomLBCnVxN7o2E1o+XivQBwVy+uYC+RvSOB8+GfLKcqwTUo+ZSWvWO4IM7RfjEzp
UDaod8L3OWiTHWdI/4+S09xjwW0/iKXuZl8Gm/ZtkLGZ91JZnXtrSsugbrv0CPzyzRSIJTKQt1vx
rHlOWoKtfF8YRbsrZ53rX29Zg8XtauHPDezKeVHEWj985VY3SzvkTbw0LddNoFINH2eue0zDgVWZ
SNFJJsO1mcdnZIam5+yiq4+ZC+jOys1nxEx+W0U/TFcIpstXfxRcSUPHmiCCBAGgLKBaZIcOQ7E6
8gCjG/bFQYu7ZLY/S26ZrzIhWB46gzV1MTccWZ0GYP3fRLWkkNRdK+GKSiki2KO8sFKy4MXjzc7a
HK5Uu0ibk7i1XDZV1/M2bW265t9VjxTu8hcM+lyr7Z5GgXuaZta31eBSmYOZeu2gcRWlBCLRrLAu
qeaj1XZhNlgdcOgmW/G7lDdQ7Nn4rJHfwlmk7dakFhZh0+Owa08Jll/q3PeWI5w2qhe2/IdROTmd
BrlpTaGLxHrOcnF6MVhyzZFRCb4njvQTvsO2N7mZlU1x4ySGZp+YOh4VmjR0H5V1TjHZOrI6w3lJ
Z7xoDNnGgjEa3jTqDBBL7s9ewmbM6k6XwZfWbjS8mqlkmvUgNJbOuZFjBcI5WaX4sLlat17dgYm/
zPyyiikyssYInWKowmwIshf6Q8VyNlPQ9ZWktYOJzsnHG7usaE9Oc0L5kQ+Q+H5wbUZ+7FLdstuS
VfZJUQfBHFpzEwikrQUqfWGM6iOBUZxBpRysKrbKlpuvQls4CerUDEIx1aKLcc3bT7Vdp7irPW+M
M6HpX4ek6UjEGLZecdx2Tyx/oT+LQ1Cl41HorRNtNbvTwqZ5DYXdzS5GmcF6shL7fBmc8kEvyuBd
6xz5avgzbno6MFMVT5RIXTqVr656S28tQI8Ig7vGp2cdakImRFzJUjxqXkubWiPmO9uYZBXxdNcK
Git6cVMhdjWRvZjyoy0m4ynNRsaCftKSnMGBWp+ww9FdgPH1unede9uuHHyrjgczad5rPL+3jdQt
RA1p3PBY8K5US1I+0mZzb2oezDS+/oLem43gPtx+kCeFP6GmT+52naeShwyldTVVBl6tHhJVZXdB
5czLXrIW/1KwqHAjoy1dI/akufLY9bh/UfLWyjNNAC2NUhfiDVPP5v+UZu/PW6cMJfZcfO8dP40e
Sz+g2XC0vPXEMwWlcdSKIWwHyrmejVogV5IMwb1r8ImEoNrd49H23kTXKQ+P+DhdtraLhKPZZs/W
oM+rU5696lAxh9d4SfP1iWvTeGuQdzRWlAYPkHxYiv5gGSOXk15XZRv6NPu9rEuRFjE1U9wBaFdD
6akDe7727N6uLgCXrTxTzIWcQ9sF3YvDxVfsvbUpbxeQD98y3WqvBh4UXEd8+tIoGFPxavbb5yOn
ztWNDT2VXuS5Vv2EL0a8urnKuLHjfjmx29TZC6tKVMyozD5shsRISdOxG5WssvtIOJnGVP3Ynlqi
P7OSlfPQ7j1iXBUFdFvb6sRpMghZ1MmLRVobslEjWcKdCJAYP1NikH2xG/s1yAwa8xjva/yrxS3O
m3I8V0bXYdPvUse+Nb2tC5ZACL87FjPUhzrHKlHu8N37SMqq1FYQ5f6xdHQ+FpAycgrI4brpF+eQ
VCf3VJKtILbgNYa16ycx3uSpSXsDdemWdj4v1JBRU+JpyANduk4hfGX5QE/HOCOwIaQwzJNn6aeq
ztA6fXnS1uZckFABqRdCccN2LodNvMORO7/XGkVU8YLp7wyIZJeH1I5SLGMXQ2ZdWzmfOB4kmnlr
KrNP9/DTFokx3cvNm950OROpbuHZpa+mz55X98a96FnWx3mKze8KPbpc4mVWHOyG2XDLK2Tl+U3m
TUc3Mc/FMi40y8viPPfHL5LaSk6QWT/7eCip9KINAwcED/ntex6W1O+4sEY3w4iFK9ueG2p8yB8j
X7gNoZ8i1YwKYiGlZ2GqpJoiGehjG2nKpWVj7rkHYyrXT6eyJItcTV7pY8B32u52nWelLvuRUo8d
OpIVYNbWx5NyrLINrqC1YxHT7oxV0EA0e6dPRVEMxfbF3iVlYCqEAgc6/LXoS3M/BJCaT6tlLPhg
ZC5PoFX09ZkV5LMmdzQk9tVeEBg2uOWYo31CVWeftLFKg3qIPAykVdxwpnDfjIzjf0jjXJfwXNbT
2n1XrcdCC/iOz+NgTIvAvkT+0fi+krJ9NhL45LtFZ632OZmauX0TbN26G/CrnXfTmjYLJJ1GN9Qc
QRT963F6+q8k8Rt2wB8Gyfitf/ufr4SS+uXqrfr6t98uxPtXysx/tDod/8XvMqtHPQeqA94km/WC
f9RS/y6z0kgOIcXHgwrwjpmdCft3YcL/BGdyw32QhyNsDMbnH8qE/QmFA8GCDKPj0PfB3P2LEPFn
woRl/+x2Yom50e/IKEJ4MvhWj3/+Q+zOX0p7MGjYk4o2s72nubTRFNRRalHSiW2aM3XMKOZEG1qo
eQlaFqgwgFBOAL/Azrre3UMWkPvKTZJqnwycuMO+ThEHyTErPS5w0rJHXgv9giwUR1XifMMd3mwK
k+gGzJDu6HHSIu65ktK7RmR7hTiScLOkGop18yhdnqm+9hVcmcfSZkir8yaTDf5gEh9n+jTMemh1
Xl/wPwyc+J4aydpVphacY1q3nkqr156qvsuM7YGRP7B2qL66deOd+hoPBm73+q6a2pzKT7abO1bP
fkRuaBXxAqHnXkJpe5hEy2xEH/j00heleTYWraBsKB943DSJN76mgkbNyJ6XYjgkgpsFY37NzrJV
TfAtUdb4OHua45w33YRhc5IUGDWri8dJNKZine9QDwY/TPn3ngKMH9IhmpixVlnyjm2N9VaroD1V
gZvrZw58mbcCutlK2KTULuqJqSDMYFs8zeUg6oNA7m4ieh99GVpYWb1wyK3xPO2k38X9YA4vLKmn
86KTtRuxpvGJEY1ee7NObVmHTbWy+Fy9IT/krTf5UauM2Mqd6S5hK3eerl7/0hlW20X56ONfIosk
zDDxe27QSCEurU5wPC8pJTauMB55HNqWgKWPTcLp2oWE5cRTbvXn2IeKZ6ZyWcZOycx2NvLm7jk0
bFm53iJ+SW9fyliQlducb7MQiJHI52toUw7lmo6yv7pz8FYv4M3x6uV9zSnBmSg9qkv3eqI4ScSJ
IdXD1qf7ZdSX+TYZfHs4QNEPqnORtn17AGqS7lwf+d5qJS3t7BZL6y5xRP21VkvzJdP6KTkdga8c
2mTMCDZiVrjW3CYddgy8lCGq3J7NkxKF+ySBlYMfQiXupbW2Q326tJo0d0OZglFYAFw8BWLEpOa3
YuGURVj1afFT0tRmp5n93sRe+Kj6TMp9apjeQ8WzsNm3zswaoJ215cVYm4HSdUoBCVvqsr1C1xET
v7GG37eO3H/tVAlFiWmNNWfnZKv/yvMACyDXeTHtCsdxx8vFGLc1pODoGQ6FsfkNuqHzGZiKMuNk
NtVn9TQN497P+cI7rwtQPHAnMikBM0Q0ESYHStJ3a0LMbPAQ07tCcbrRKy95mC0aKpnkqJ2B7caU
Cupee8baC6d9IpdakojuPYMEC51U+0WbgufGROugnLYe3FA3JoPrsFN3jVyMS/yB3gtpIk43TC4s
LPRCasM+Sdr5m0w7Oo2rFS8/3cOVdqM6XQxEgAkw9nbq0IRW150KaWox3LhfjTWNjF7T3vLMsgnp
IQPx5eDFRgyR7qXf+RhlkgRWxUmLn5suz6z0sIrZwwk5P57L0nablg7TtXkIFooadoutWnVmSSP/
5iqZXOc4duyo6ki9oC6AGLoLzDR78xOTu08IOAoVIvP11YtdYEvIC2Mh1N3Ys5DYgz9uh5s+M+2r
joOwd+u7BYkoQGFQrTzuK/5utFWy71e6H8PCkx1da1mZ11HnK/mMCCXPcDAufHaamrF66PQrIWsp
dz6nnDpkvyvek6HtX0b4k3xeUZmoYkubKS7cGd8nDSb6hz8umrdDRAq6O8KOhYwp910/l+WoP1fk
ftqQSTFo7jvcYET6cpyl+fU09dZyTXUk9Tbl1JUiTk2PGmeChXR7qnKtfM5fZXCNeODlFF42KZHC
mm4TcWtpDdNzsCiRxavy8jIqFafMixXZk4Ouku1lq2rXj1I+ZK/sVYoh1vrcac48TW8/t0tWd1Ha
OS0yqGYpfjJN5zPLWiPByJBENGdC09EqLa6URxjJ4PSqn3qM0va+kSXdCN7SF6dtUDQvMsj026SE
UHFeC/RWtB0h+bAmvvmw5KNbneTcty4R9tL1pl5xghyCBq0sndOa2GBb88zTq0Kmewwq8x2Lrllt
60CTupysnhL/nPOjyWTU94l+qnuzCMZoUGwxnXWV0z4ra9oLBr9QNxq/yDKig5irsM3zhHFbDcNB
M5rx5L/ntn45/fK33/hZ/tm57fJtoKftrf7l6Lb9o9+PbjjO2QmxQuH8RizB35Igfz+6eZ9IKeBc
Z4MOHIe90j+ObiYnPhYV7NU5v8ED2pJhf9+Q2588oiWgmdgC8eem+Z8c3X7ev7AfN8hlESsGr8dg
bG4Lrx83Pabbc/UN4lX4FAez+01C2Gz6XyQmft6//P4i2xbM2rZk/xL+sKsKSM2cAgQospOaruBQ
CU0709vpr7DCf/h2QOBvgJXA3/ZtP72d1KHGN1iCFwPeAjQDbPJ3VBI2f8mZ4Mv8c8ezvSFc/cDv
WfWw1kPC+PllCP7OOeCAZ6sbcezU+FYfmiUb/4pKuC30/uVl2I0F9NuwkPw1q2QKn3z9Nj3j4idR
nFhPKZ4w7rqmgdmA+tfE81rkuKW6/OEi/oOt3B+9MMlH0o/EJQhLbL/QH47zBRfgIG392YIoEFtG
1VMboRDDqDbGlF5ULKcWN79aNNH9R8TJ7z/ZYz4I6h27s201++MrN6LRTGmsz52Z9vkjprspQRzD
Nr3HuKbpJ71V22YMscAr942DwoOk1+Ls+PP3/68XLBEpTvVA1ljcWr/GCNmKtCW2guchz/BRdOlD
12opS6vqr6rh/vWFApgEFvRml2vJOuJMfvhBU7uULSRAn7W+6Bh7nG5HTQTy1UwQ4s/fEjmrX68m
8DyA+X2yKqxbfe+XLWjtatqkd9kV4JGU8Lwtsp6TCmwerB9tdQ/QojBCmSEIRCYMiTMvSHFh6G4F
LIAA80qHhTuaWaj6iVmsbpL8nSQutvRButZbNfUoLKnRS/aXNSvj2F1xqO+Qq0dqVhfUndCUwnci
Df4WInlX65QW48BoQ7lWmEGmRBkfDLH2vGMTwuHQTnL8/9ir2c1pdjpWYd1ZnnbQXMtS5wmd35e+
sw4XdA8v854yXF/sJ/pt30iKW/al0oKkvvUDLXuy2JZ4SOiz3pyYeRp0oZ3nUA4Lwxop/3OHbm/L
ySdS4gYFu0Q6fO7dsa44rJp23+7aBQklqqa1CCIMzM0Xw+EMwjYyL8fThKTOwzJOqPBuixWZQGil
eSctyd3TNmkzPVo56ZN7xzrtcoDbSKrpNk9NQ7LMuxFJd3zAPr9a52vNXBBWhRhfM63OvsC4dvww
kcIs9NDB3Ju8GdLX0/fBdZO7Tb3sr8bBTYZonqWPqmWQM+cHe9C1POvOWIHhhL+3fQ6reowaYGm3
zeAql7hMMjMMrmHCGXAtbhhVCjnlmJzLMii90Ep6Wtx2C6l/qmCotGOph1zqaFK+tG0jcoutiY0r
CjaOU6k7Ku6NAZcsp7vEvafGsennQ8DWfYl6CwCCOK8MWXT63rDzEbE6JCTUsiMMLS1t2JdVi8dY
+LA5oNKsj9i4JYa+Tz26vFKGS7zTksxw0ZSWHbtm6nVPCaGZgTYgqr9pqC27JrWZsIg/sVwfcE/0
D4zha8GeQq/kN3aLQxfmpu52NNTPvWyTi9FK62G5cUyR085cWK0l84ObLw4AZ6fStbp+JD+Azhg7
CSE02MFda7WxzcnTRiln8utOg45EfTT0nV4R+WUQOB/HxNUPdFnKbxPFPisapfQvg8xN29PGqPwn
S450PvWY2L/mZWOm39oZLfVKLUykOLGS1rtmfa1d934pksPMXS/7TIkx21zDr3Xz4Mm5Wm+Sxhlv
eSw4oH0w5K+h0dX5y9xwXD6MklqhKextiqAyRJe5ecpMox0O2er61kXPfs89IXAkabR26F/gBJ4a
+blRZ92zW5gkpatV1cBgV9fQ2BkENaH9afba9zQrMDC52KlJGlA/y1+1Z32GDQBfPn2eEhYi+z6o
E+1xmdBCH7awbYKmORjl3l8AET7nCyvOh8Wt9OxLwETjfigE4hEnf7UYhmIrCBjsqWuMQMMswMc9
uMz1jjIbjKJwoS/HALKDFY06E7XPGCjH/LFYhWReEzLzAHJYTU3RddOk68C9xjCdCxZCK7/LLGVi
w8N+s6Dv00DtaoMf1tNY3iq4PajgdKQE4egQeiNONqK+iFy5GE2H1ryYyhbWQWvI8pYd1HwzyByv
wizRXIGGYI6NbYcdLI9pYXwbOn6gexJumR/VarQxcLSeu8Sg1LDwwtTMLivuLCpaAIeIQyvYN8Er
masCK6ub3KZoSJ/VvJXFs5/j4yK0JqEUvXJ5DCloLF5Y2+P4ANnUeWyw1JPTSCs7jYNmmwHGHE2I
JVOCwmHWiDlR4sjsMm088aKWyWKXgjH5xiDAYkXA4AsRFSqBQyJqYlsYMJzqerJsbu3GIpzPFHyl
rz4LKqDj2AZedDNvPgYa2h9mZ2KO9DIz/5rZ60TVtRLq1dV0/bLt2Hlh6sOQTwQfpv1uwtX30vDr
kzG+S1yCmaWAmXtGE7w6QS2KuLZlfQ4OidBZWk/qSU0qe1l8p3rPzInaaar1uveekMEcuXTFnrYz
6TM89+Z0Vc/GyvZJs3Uo/XPlj1gWV/HueJVzy6qpfDS0wXrLK212o9Ff6iIa+07cG0WpXrPZsB8H
XZs+uEPl+a4hIoC/vJ8MEeUIHEXUklfZT4u+Uri3Zt63OcVoAh7EH7f17IRvodXlZvQHeQRSqB/0
OzoKoB9hPJAibDkrUsPurNC6/In12543TTlOteLoOZR8OCqaysFN8EmsyEdUgwk8ts6tzgittMBc
s6rpfOUsutywqDW/DaLoL5Q2Tvclv4EJ1UWAjK6LwSyxwxjJFVUUZgfFxE8gCQXQE7nR4kON2Rqx
UUYawc4JU2j+sCCZFZE9ks4L57VIP5bcA33TkxAgEomyUoUmmYY8gjXeXJUKlZJNzdS+y8lBy8yM
kd9LL5fqzcVkZcSNyzFjby21Q4Fvx+ISzz5KU5ziTUkO/G2JDES+vdgVmC8ussKhMrESqs73nZYU
z3xkauMwJTXWR5OdJ7Ghsp+KyCM7e2cpMa/747novysHVg6cAP+9DZKVw/LLwoG//31qNZ1PBq5s
HHM2DNPvBu3vQ2vwif+J2I+lm6uHomD+ze/rBsv6BKAEFCSubhYOJmfdv4+sATsKNhG4ubf2Rf70
PxlZt5H0n1ORR1E15Qf0l1KOt52Zf+05UxjfeC6TNprHCv9Kr+Zh59eauPGMVN570p1vfvi5/ME0
9PMh3TM5GDEKbeh0RkqHue/nmcRRPE/cMQNMMZd5LA1bi5WpvY+1TL5fjD85Pn90Q5rOL2+OoV/H
ZGrhwOTNBf9CZwBrXuZUbwq4/ovJJq5seVrr94RMNAsLH4dpzE6Zt62Cdmkw6zn5XRzJhSyNfSXd
FRRryMG+EEaE2y49Wdze8iOPQNIXS9lbpEdb0xP2Frp3UbpszT2NpCz3fmATqnGK+6H3IUKU/gwz
Uxvc0roIZlF2p1kZ4GHJOEYEu0arjAZHkKznvUN5YXpwvRXfe2jqc9Od1EI56R7vF4w7sLtEa0rb
XwaoDxzMrxJvqNQN9wlh7nqtXYrLvE3nj4GH4LkUa+u9Vfnc2JfY072b1BHJZbt44qMk7CYiolUY
8R0TIM4cs8hZbReHdKp64E9BUTbXZa4nlw2TB2gGQRCOomeWMO0Su4l0tki4sTT+hVN5qOGassoJ
o5/mZhPuBOa8k+3y/kjT0Shfai3r8U1MWpV3rMwHAup0h6KVRwFmSuPcz7qZEKczNz7wB7vgtFSG
qekqh+d8ntirtVs5sdnzoWyqIm8h3/uFyGMGlGYi2Z9P3aWTcsp88CcS0gD4GofMXJh3+qh/BmJD
ii9qTWtW5f+zdya9dSvZlv4vb/x4wb4BCg8okqeRjiRLlmzLnhBuZPZNRLD/9fVRvplXkg25XKMa
5CQTF7JNHR4yYsfea30r8nIGytiOJmciz5oAwFaTIaU+Qn6yJpA+WnvFTCiwdqWu5Gqfs9FlFJI9
9VWtbnKtFl4Vd4wEGS8hia8x3dW2vXR91GaOt157vTCaMs77wvLqN+vgsYMligHAh7QIilVxEmCs
gJqMsKvPWza9wA4A5Wq54QPQ0IfRqAaCDOjBKwkdkdhDCjKh45ANQqSMi3jrWYOqr+tcs98gvdTU
Hoj2WMfUn/KDSBceIjGqpd530my1mO8R/69F3gNx8BR2SLEYqZTxijSgPo4lHe1oNrwk3U9eLb+u
RafWHXC2AmcFcp/0/SDrVsL1lKaODHUZ+yF9o816TkS0mSDW07jXbWw2RYOE0POBQQ9t4InQJS+g
RUOU+sEhCZz8aE2Ktr0u0jENoYpYb7xyVHybFn3ruHHzwfo2Gc4E44fdqr1CoUCNDSxUVKd8GTNE
vZ1OPzzS7TWbb+n9KnVMyHvgj1abKM3krTCvUB3pRRrO2eQ6O6wzjO1IcCz1Y7F0iEly+Hzdg95W
dnl0WnQMJ+XSf46UaUg0rcigOFHlM7CyztbPO/Irki6sCPRI13OJsbsfdkoCdkA3kgQrY5lk7jW3
poUCsjLqy7EeDzSDvDTuk6wzDkrpmDz6oWs4QGVLdzQX5SKucbuyjpOcOSMUiwzz4dBpQOd0R6hy
X4+DHk0SzdKRGafL+Q3mK5UNRw1SBWhxBNdl0AXqCFVouisNZLqX6Plm/+AIFLi36Wzz+O44gtrF
+7ZNZrRg/dzNNOJtQIwcbxoNpy+OO2PsSStqEELq86qBJVCFoyE9xdpKwyKHemoVSC4umoII1zPN
BNN5kFOSfWtowawRGDYyUXERi5xpVJZegbSrrBiMOMwLo8KJ7ridNoWC4PRTSWAYlph1csbdWA/O
iKmSAjkujXyYb3kqJy9eMiez300anp4ZD3OVYi2054DF+iOpoB1lvewCu1g/LhtX5m2SGasfN5o/
L+2nrIFMYH40NOysPJdMNamLCe3scnBrCGzAibrQJ1d/mL6lommU8LGsbIE2X0bhJLmFTGgZNXv6
NpuZqsW7/9RHP1r7bJIUEjrdbw+dm2kQQPSkLvhJovG/vywP+VOBxi///t/1E//Sj3qJRj5RXgSF
mNhHwMnp/9RLhr7VSy59atJhCYxw/imYqLLQeGzxiAwO4NV4f9Tjf+wTP6mYLAtVBs8J+hFI1cwa
XnT+5tRJJq3rPy3N3Lk7e6xcISMoL7q1oscHXgUkAaTxWaaSJJTWIs85edgVp8K6k/5bVSJAS0Ia
F1UnP7WqBYaLgrqUXiwrT1/SmIXe9r7++YP3pntobnv58NBffu7+11bTf0WUjLY76//n+X8iV/m7
5N++uGf/sXvU2dwMD3J5+6BY6/6ldNn+5P/tD/9W69wtHWqdr+3QcKZ5CwLiuZOIrvFrj9BtW3+u
no+KHv/Gj4fGQclDGwmBD5uiq8Mp+tdDZOuwjuBme+RkEYBsM/L5V9FtGPzINwlqtplEUBf/MyjS
jL8YTyDKAXKGX8ig7/snZffz0QqOIIPAX/3xULClaG0jrqedebcNJsWybnLcXySwTGvTcuoILJ7c
kV8U2y8L4MfLWBZnWV4ax37JCaQZx0O42tvyXKgL4oogAk29EY962u0yb/FuX7+e+Zhl8s/bgUeV
04xHVc/0y3LMR23V0w+WlP06JVKjDAjw+tETV8uKGAhxqoXqvF60fqObiCHdwA/MUUNfdTRXc9dL
0DHYDNCIcWpqt79BNlj757Yx28HetkcqzUPpZ0zwInpi5SppB2iJNkZI6ogCiHM/SPucJG+6s0k8
47lqrKhMK4nsf+q0YcTOkxuFXTGCHmxjjGhieh6q7g4j03SSjAqmr4bR0XIMZ3xjEy1qHTcasj7d
mkczhopLXzVCw1q71kfZ1Es+xSLX7dQDsqtrQxI6qgpcEaLo8qTBZpj7dYAbvUppGcBstJJ7h07e
+t4TRkXJPCtW1GMv4dvVkezRqB50W7iUMf24kvZMD8Jqkzwcpwb+Vex42ux3kZ4UbprQkvNK6C2O
M5P+6uuTV55VK4ORWJeW25i7bMaF3gDmQ+XshPwumDN9zbbY5oGAEFlclsJkGMEZSZM3WED07Lwe
Ri3YOu66ndCTbWV9qh2j+kBIuXDPKF7LfFd0q9F2MegoI/2kUr1WZ5z2CLmCE0Gz8ftS9PKOIVdj
nml0zrAFz6sp40VYaHU3mEOA0KP2zTvbUN2MLoa+MWxJNy++tWnhysjVNY+euzWjy6WX5Ms9ff8g
+zqVWMAemha1BeHYiEeYJxSNVZ96YRlavLJxwG9kojX6X8gLMcs9kp4+29tmvYANqEwoq1o0rkzg
rnJ7QkcivTJJTrPN0Rcyqqa1567XgI4Oa1SqDaaXVGjVhTU3w3CLSlN3LysURALuxsIFS60q9atq
0ifr1KIlLCPlkDqWRxhbSZAn76+zdkjmLXcNF3MabfJ/gEm0+1zBhjq5PaaxN3NKXoDBYa7p2pNW
tIFZhTn99v6MpFGM0xE+odbewb1wOwkTiiIfRgXBoFlBm75CHoiFR60fg9EykYIggOWsUZfKLaMe
fnJ5CcWoCK4t9L3BFVZ+VEpa65f1LaL2fLhih7OMO1viYykjk3P/mZasNefcDRbtdgFH1L5Md81o
52hC3Cmpmqt89Ov8csyX1OWmLw7YsdmrU3E5pvY0lFEl9YAd0ZtyvTr4PsfFM1HDiDsv3H5drpbV
znC4eB1S+0kN40AfNF3XjJALIabCOOSwmRn4GJ0rPzIRUNMNbdSEinIFODLe4je2K7AzP6hd2QDB
q32EeWkjmKN3RUoBwOqzGkmPAeoHGIzx6oYJy35Aw6bxB0NMDdhExlu7tkHc3y5Bb+XBFWtWKxNO
qmZaDTcJxEj4ZAILp/S/rD1Q1/WMbloi7zh42tpyK9rZRoKTW4Be3R/ss2L00mInflDRWuY2ihTX
DZeGmGZkujpl4H6jESgGR+iWpTR4Q0WTw1uDyVZCX9MIj1Cg47Avo4S0unS/MsqQBw+Zlg7+stAw
0WuU7zuQKX4SS0442nHuU07V8hEBp2v60J25LBywtErsHIcGy1QVDr6X2OflRpJrUgwzcWnzdYSe
ZhRJVNm2ufjxgqZQy6J17TANHFurSDlHW1LhFMPHlNqy+Jhq4yKD07gwqahugsbnOHDJSDHJwJVM
hL0Pv9E8PN8u2VUYtSLTgD9ADAVjlRc1l2vmA50XPQutwUnlrq6HFs4dEQofXt+/fnkd38CXzF5p
OvaL5hT7vg6uGZxWW3YY4LuqG2+LFhLL65d5vi3/vUnCR0S4xm7pbWXs003SK3JfeAmX0YQWuGdr
PZ+ELs6UdOSFndnj72KNtn/v2aZMqCU1+dYDczwwji+ul7ReOtPw5vatMw3rvMG1tDptC7PPgJlS
p3rYErP2uUy63/E9tzv24tLUBKwiyHb46twX31xLRIK7mfvC3kmqXTGV1b4Xrb7XafHHr9/Vn788
PiRqahMFDhu0aT2/q2zWMGEdLsXYPHlDOF55gbg0/c2j+PO93D4IpA0bCQnz/xePyIAKTHlIZkN7
WnEU07biwyS1c2/bSMN8sDRhsxTZEUVnvX/8gP/prv8XhK0n3/VPp8XLz0vb9w9Pz4uPf+NHqW87
f5FM71goiTmQbWX1v0t95y+dItqCJMD/mk9Lfc0w/6LdDaCAipEWEMXqvzvs28/oTrMGIOoHT+sj
2fnXMefvovs1Qf+Lt50LkwLJkTUAbPAICX7+XIIFxF9c4qFpcSAdCs4dF4OblXuntL4mBJofn9ya
X9T8L16DraMPHIEjButM4KMQe345GzaLg6oU+5SiGV3SZQoRJPwufOtFYvp2O7kMKyQFP7Imgouf
XybDOEV1hPrMEAHRAKNIz0voIBEuXeu0FCmGZaUahTPXzEPkIOMVO6X5u1d+u8qT5eXxt0ADB+4I
FoGBuOr5byFnoQ9zR4nP2br9UkD8uFnLw1okxfe2bZ1vFBhQo9tKndcu8DdIieO+oNMrd40su2tS
WsxPDqzC0Khx6x6KJB8fMH5WN4Mjx7vBQcWxonC9yJXGfqC3lXEyGIO7kaeYPmZB4uOjkvYZ/E0i
uqTWFpHI9ATmnA56QFhF/5V2opPtcFdzfcRX+zY1B/pUzfRplcu1HXTJldtVBgkvWbuHtDfdeRqG
PxCsRVxTa5ETCU4q+7GM/Wct+S/qgycvzM9rSbtuDCYxPF9Otr/093Ki02RiMIaaFOsnawdNgB/t
J0v/y2QbRRDJJsPiH/CTv8d1Gv0nWkEMNHgX0Lo9Hnz/HthpJvAmaE4mEBDL9pkC/tFy8uKRZ+uh
YqCxwakeUBTXev7I62ilNJAYE6dUQwtTrXUu6sEvboSrGFs/uTW/WEteLF2P1wJZApSeSZqvG3zg
p4VKOXL+VRVDaT8gqSZKpD/i64CU/BUm7HiyyKn7nVrwxfK1XZK54LZ0QcHiG9j23yciPnRndVGY
YiLtZ+rj0Vo0XtUs/42A7xcfzEdqaqLLND2LduXzq1SeZRNNiEYgw+WXnXmULhw8fWfYZ2bjO0h5
GkaDr9/MX3xxyI+pYNlSKB5e5n9nVdV5Tu9NSE6XgDDLpabmztYCc5Y3/C4Y+1cfMEANzbK4Gdpe
esiKhKajiQU6HFGzX1lN4HzDki+OQhu78yGXTJJe/3Tb9/JkJabXRuOX1hjONexx/P/zO8oDqY9t
SSrSOGUnXS1f5izpTgxT3jNOCC7qxj1lnIRev+jLh2W7KJ1drkguI6rvF+9C1idz687FvNEoFpT+
7hypqq1+87D8fBXqZ1A00IdQiRO69/yjjaJjzqtXcyhoD12BDMsvhfK+vP5RXj4dCKApJxnBm4jY
t5Lk+UXmBXp0J5mBdo4h3wVTCQbUJF9KGeTk/vGlaGHyQgdgbn/+PIqYHgamDvy/dGMz0GGYnBD2
wHRvTdmw/uY72taI5w8GHhvWK1rmHHlYIZ9/sClvRd2qhhS6wk+ORbAkH7JuHD7AXUova2PJNpr4
b1XyL59/bifFIAcsNK50vV5qgVE9CdH52RpWBr3EPFnnU+EHzYWFCDNalgZmyOs39RcPCdYD0+Hr
M0DkOdvPn6xbc4FbSa9b0OSJ8AFRWMnR95b58P9ylc1fwPqIevfFgpw7Gz2oBlprmR3CosJI4zmw
fieV/8XN23wSqPIpjNnrzOefJalWL1t1XNQT3JtDS1DWFc5T79wE+fQ9owV2/fqn+nntoCFPJc74
hg9GIO7z6y1b/6ntxCbvXI/c5Y1Wg6yYuMT7rjYwcck+7qXxR/E2TKsYDtChRoSyGXd5755fdWsB
1IguyMLqF28nB6fdt9gHjom2Du9e/4A/PRzbGoU+hTxl5gu6t738Tx4OwQB0gLJCYIdvqctpTYsD
Rrjf4bJ+uooPjYuZApL0TZwevLiNq4bgzqaQDcslX0gfRJ8Xd0iPb//ww2yrFJoknnJ2aE5ezz9M
IXwUfX2JfdIFSAp6GtOGNNWfvk+MaJjEUHCxQcPW2J7RJ7eMVPjeK20e8oBUg9gcE2ydbePFr3+W
7Xd9tjjxxpIJqzvbSmhx955fZeGkP/oIaejZ+9q5LNf1miTqOSpcVexfv9RP387jpTZ7EAXVJil6
fiksO/lCxKCNsZiUqnCpB93Gjcq5YPf6hbYF9flnArfHhGpbazkG2i82RTmCswRsi8UYuZPBmr70
3jEHB6tFprdMa9SbS7lELiqWzQpAzgs6SuSLf/x5GTvxZhk0zfgKvRe3lveV1mHuASomtCE9J1Ip
0A+mVXftbz7vz9+ha3qY7pnPbQffl2m4EGRwWjKuBSfVNnvAKvQph3U4plZn3r1+a3/+Dl0uYDs6
bhaqHPPF8uuuhkNCI0d5Na7dG0+zm2PLUOo3heIvrmKTt8KUiKuw1m8f+MmjvzSpO1nVlnvoN+mu
LRkONsOU/ea2ASB88aAAmKWhSnYRlS2VzUt/l5MXxTp6UxoVjIjnHfBwLMr6lIlvnt8n8qOG5tom
8V1Qn8Z93iWuFwqZEDGbqjJrbl2pvHpvAlVl+dSYn4TSZGoTIwkCLZCX9frNc0arA+bFBOYhgdZU
RDYY5prwSKXL29RSo7fHla/L3VoAXcZanhqlPNfnZLMyq8zCu3qugtHrk3AxCAPA6NFmpR3gnxjS
xT8TJhj7m4JY3HHPSDV1rZj9TIw3zpwsIyaFIrB3BNUOxg3TPoAERlcMMM27MgCAVJAeccCsLrPT
UKjuvZO14GdxkNaR4NN1bxI70LyPmZyW6lIHF0mYHPxFxjJ0NfVIp20VHMucML/rNXDa5Wxm3Fne
aImdi72htHm+oN5eakZ53sAYrpmKDph0A/q8QY1iJuyppdN6u342c+dtu0Gy9xlNfTuy8IfYN2Xt
wLspzUTcFAYOhNBG1AeqpVOYIUpFcYVh3O+c/eAos7k30yTVz9ueHsw7lJgZ/moMEXn1ucpsN9t1
PomZpImQZAjaC3NA3BP42h+lPZLnLAxmihBWp/RTWUw0TnM5w+uqZyN/pwOXWs/8oNPM2F5g2UYS
ADsqUYAq7/BTVMuxXf1qOhulByVMjcwrK6tbA9wkoLr51pgYyFjlddZFM2irm3QovTaqvaw2Nop2
1VCH8q/fZOQfYBqqXUI9rNqpEBhV7gwMbKir/qrMGNGfN0BqrwcxWO7dYvtqOVMKTdOGTqpJOdjh
CSmQ7y96lfYDgWQq0774BTNPK1otfVZXEl65PE255li7TsNm8Q1a2nqGWMNPMBdUCq66C7krtFmr
QedDc8I8jxC+l7ddLwbEwNLpLItkSJ2kl51jdb2ljqULaSaNVdLq9HqaWqTeuEvJEEXUZIpUH78F
Vqv3F7YvKvUwiEJ2TYRoPVjTvb1YxpVe+012rjpSnncwNgxx5JdQX0sdEwH6OS+/Rp0qoPi7dKyC
Nu+1UzoFHj19Cuy6vSYyw+htjnyWNaLigyhZ4yfTAu0soP8/ftGn2mwO6RBUfWwGojRDrXTqTSxZ
9FMcFKjNQqmvqR+BodDmMznmlRetGTT+m7mymJYbfTAGl3OfdeqQpXi3fF6q8UAkQaN/rZWV2QyZ
RXPaMlaWi2pOtGo/+Sj+z6ysNPTdwsszwVBzxqt+stL0NBNAU731q9a197IuTAbXUI/MHWmb6Ryv
m2UoTGizYSJJyrHblYVrBzsCeGpyOIqk7iJWUnYwCFLcBm0JVkqSNmGyCmXsPVBzfTx4/JP2zlYa
j73ysoyQEma+7bE3N71Xb0FTiWzViSTyCxg+YaK88mHtvZwCGPRTFnbMYI2jM0zN9JHkE0HeNSee
4JgTk2SdOlWn9vUQpJP7oW2HIX876QECINev/PVgttOQ8gillbMPmj74IJw+v9Q7yP47syraB90Y
VHqZdTAGwrWHlbRjDEM8IPwtv7oVkmTEUNNbY/uChumzjWcHZFbZZnftVED/bKQXFFhOzOaqnBvy
pgfDz5ejlzK6iwxFsDVWQw78x6nMDCeG74L3L+BtvG89TW33rKpv1CAbbFtzpV2VSyluWfg9E4+f
r6UHyxxZNdDK9cD3666860oBc9JM/VnitE8ctV99UhfeLImJMwUrLV1OlUsHcL2l+f6OsCXIt8gX
pb+3jY7hcDsXMrmHeQkDDpFzZlxYQa+RozMF+VnLesHg0YCMFS2Q1JqPhHsRLdUMa/DRrdg4IxMG
oPtdgLrCYGMYTX8iOgoHVrJkk4ko2K+1Cxf2hIz9pqrcc9w0RAxBChuCiE18QZDSN7hvbXPolz2a
VmONs6T3oGDD9KIbHCyIH5mQ9ut5xttC5LpW6CryB2iq52IE7BbObufUO39RVnEmdEZAYVoxmX/X
41LJEKDYaXCus5VD/wT9hTaMphA1igvIYW81NG52pdl5X1jWhH4JgSfdQ7q1xWaPYaQEy8Yp0aa3
tgcFsxqDaNZQpp8vAxxGkOQGA1Cd6fcckmbKJ5nSgXleZy95ETlj66y7QNrp/ZIYtNIWiP46EvZx
2qTwHqwRwLPQetIZEwzo1I6isAtc+YASGiixnS/VpoZtNkRKYE3HeVQSnCAjNRG2EwK2PZhu+1O+
yOm2ICQaqQz61y4iHFp702kJMBGzY9ZNio2XdpCIx6A4RxYB5WsJtByHW8sYee9lozDjESIjapTR
K76btQk1sA+MySO/q16++J1QcHlta4KBifSWtd2FOxROuqH8OOgMYr3MjRZ41OtuMzCaI+fVET4F
IN2pMomqJiOeFXl0P/h9kzVned1oyHczgzQiqBwJnfw2X27o+oF/cVWnE2CBksLft25RnXoyoiAP
ucp+760jVp5agUwPVYpZNSbaCktZXSbTGntd299kK9Fb/D6ZY+DtwruGFhphxcbkCCCGQN3A+ztt
qh0dQNq9ydbHK9+spDuPQnrkrTnC+pYRwcYGOFm0tdTYbHMGdgIzLOtRaJEkKpVcax+gTpSvZfMZ
gidBN53VGncjEii2gsoU51KXBQZW8i+rndsU3s5LR+VdkXi0+nt6C7NPgVSJiCZJmgQh5BcdIrXw
ymJvglgS12mCSJshaoUIpE/9urdI0RvH6YQzEjE+vgcdmLXetNllWVaziRoFHvutuTKCjVpEmsWV
XdjreCjxO83HlTkbVqxscY1Tgna5PHXUEv1dUwQmuUqgmpL83LWGtANptVGMmZY5yayv+1rLffus
FYxh0gvTwkL3VU6UCuyvpkBiTUK0IEkH1qVr4y3TcNp9omwx21iuigFtISY4n7ZWD8ecDVEdRjd1
nSNoRMzBXVVjRYaNAgFoaAYgn4DrxjmyOQneC21Jh3NZAcDjYtKgK9x6yw1pRSKI0dIDWsIOnZd7
mbjDEq8+AseYxg+oUYoupOoZWC5uv+AW7PhmnPNeWUodBruvbnStxcntSmf9gGkALmuRgvyJiZmx
30o8jeeOIpUtYqY5XKSJtcVDLdLtIytF3B6iV2aENREaN94PqWndL5xtedzMYDCYRveNFwZwT/o9
Mp0+3W3hcibIGmIAROp+o9fvumGLDQPPpG6J68zWPdRr/OYdCyBbY6gNjXalS9IleOSbhF+vJVA5
GukpEMBt5MV9omesIJoG2hx8KEViiKFs7MgfKIbPkk19igYQSkU4gtopI1kl0wdR+Bhk0wl0WbgJ
fO6IIwIW2xgGkQfENvUkIrV1rqMpT+W4W0xfjkfsIRViJ2yZd45mYrdEn+3AG1eLd+3qqQtprAL4
Gll5VtybZi6LyHeYxgF1rBrMOR3oHwmEGj3XMPtvjanQajiiBWIZ3HSwILJMjA+ka4M2TpeO17AQ
hZLxUAzeFnbk9e/VsGRf21LSMl3JytRjzmzT98Zfug/o1twjAnJqKeJ0OC1xFmhVlGrkwiye5F11
JE4J9pse5niNdMcnTMrrasjIVft50noPo7o910DEi8rdoebLrgk7q7t3QS6FG82Zp3iUAH16sYBt
gTXf07W9BGTo7vG5M2b0GmciDg96eR+NJolZcQkK6mZoCrz+5OzZF542pul5VjTaO+Gmnv6u881k
gidejm9WYVvXsyKNPiIVR3sLoTDTdq4+uvsgG4YLHDQ2Iey4Th5Jlu0XiLPtNYFY/UyJDZcuVKYr
1sgeMmg+tUHozbYdJMnBtIdiPitcDho39Dymh01x/x1NjePEtabYPQkhRBsYGHPzebYZyLPl2ujZ
oiYZFyNBvun0HIO9pVkd1jjZsEzz+LSFOnmsNsFHbVlreVPC/cZM2pP9vuy9nJT4d1ZTN+TZd+aS
MksNLIitb7JGg/sbap2uhIgogPiJpyfee/ij67sJr1u/qyq8lvuhs+AQoSp17lNVjJtAjq4xcb69
FRuQz30epWLB7gMNzIeYZYyneaVoj7wVSlLI25rz0OlM+UESmHafPUihKTvsWn/9PAs1fCsAbcMP
Dth1eE7xHIWdJvD8W3VaqpAlozk5eNWyfY1guY8SFLHw2qWiAl5r03rf5pb+fixYvVlsK7ISA68a
jkUD8GgnQFZfkWZd1XwPHRRbj0r9WwoZODh4flbed05lZXHfNxUZS3ZuRa65BvfOPGjdtVmi8uPk
BUyr+zLkHOTuqpoh2Sfu7WLsSm0CNZvNlN5hOQ/uu6yTQRm3I0NQ1EweCtwElP64T+11tU+1Nzh3
qJ+H+TBTCkKvHukmBDeQxbPi1HiaD3jLw2i8M0eF6NOsxdeNnszahmAOcW4Pj5uDMtknO5pNFOQt
HLEOQHnHSWFUs3PExFW5oaDeRGtgzOsdwsvhUwoz0ULFpRv35Ce6l83CPxIByGKryCd3fD/lUle8
HLpwdjxx1A60T3G6+9jToV/hYYKwWMuuj4Us0uogFNZeZNRj87UOxpWVjyntHLpOgVF76D2gY007
zLuFpEco/qQgElMytMNnbcpkfjE5rbHlpPmePDD+xBlAqTG8lQqVLdu0P181hqqDndmiCGOTJ8hk
Ra6MlKEZS6TSo6blhy1lg4+KiK/jMZzco+fho6EXQeM5dJAliKs2J2cxyv3K9S7G2kjvG+mTOJO7
XdeH6KPMO42I3GazcOE9VrO71W6kl57yGlQRTEiteE/Jt2zBdeyhkUwcXn6BujiNNkF2FTq9AUq6
9An2i0awtV89KNgqxP460ufx8IAfZvbqLua5ZDls5wDjpZbWQRpXaaGX0Zb18klMLDOAUAjeCFd9
rd5pwl/fgEudHyTBrrzlcy778wk59jeey9TakZfk5d8hGzfioFMba+cJQUNGOBDIxnx6lEZ19OXQ
NwccKuycwvAHa8+pV9c/1bWNn7KxilLspN6vX2aRs+4Qb2ZcV8lmfi+1VX7EzoTOwhhzuVEa13LR
kksCK2ezviUPFuhcIYalOKAmz/3hSu9QPcelWOEHtQhYAVuTn1h/0gG7GFEqDdUfVNrRpgLPyVn9
rqSME2x8k+lq95Wt59ktQ0XPLuCwryXvaebolXpbWZUTRI47M3ARJZTLSz9xp+9YGLUlwnRSsk6b
Cadlr+S8kqOcvihXP3lwwCd9p7gdPnaEBZpkKXVD9b2Yqb73QEZxoBtuaxpni+qK9hZ+QycOZuX3
2Z3bM6ymCyCKD33av23KxZccIuBbhw6PBq52il1UMxyLHHh8nWMeuc+fVG1ciEa+aVr7O+fdMs46
71tTmfPHIvAV0uc0wMo6naut5NTwwfk1UX+lMZn219S3l+z03x2vUgIBvSGGRSOMblS5dq25jQUq
0SxQKbpEQRZRoSmg1qkPh2PxaMEeTDU5b/7bb+dESo5/HNAbtLIpjoORQVExvAkGy7jlZGbkvNEZ
5eky+eq6C9AghRRa5bvX+8I/dVKBKzERQXuGNchy9Bd9YSDIDk+mC22bux2B+s2iuUuCWOnQFV6/
1MvmMAdD5i7MkNAS4HZ6SctyZmvGggs739Dy8jJlG4xt4lH/cOTNVRiJAMjdxCwoal407xWaq77N
yKYcbE+ecwhqLhC2WL+5yksRGdq8zQa+CUTp3JNp/2I2rNJe2mYP+iCYtCrZy5JdJ0xGuxE7BFbL
FUmb/tXk6ZwpSsT473w2vO+6a1H6vH5Xf/UFGjo6PXSFJOd4L36R0UlsQ9P4AimUh2jqodpqOk7k
Rmh/jyv+o7z6LzrKT+76T8qrnZo+93mTP5VxPv6VH7ory/zLsCDwUTvzXP8Qa/5bd+UxH2auycAb
BY3Ft/Mv3RVwBY/HiKeI2SrEvY0B8G/d1cb9Y66nGwgEmUPhsvoDGafxCCr7Z7DGq4B4Bykzv4PB
tBo0w/O5jEXAkNnR0qRKxV/ddXf2jBA+asZGWw6c5JgkYxvjqMeQbxiK5g19iPw0FaK8r/Qy4Fjq
L1+1THKkF4FZxJ5fCvOs7fI346C54dLmcJ6bHiprkX3w3TzuxvwLUTLW3ins86bnhGcRBlKPMEB7
545rOYe2Kc7MRe43blU8NMGpMIf7QYrrIbXcCNRRFtuzSRU61nfWwMzCQq74nvpc7DK9WMhn6/sa
MrK2jMPBetwOitpMvgHepQ6ntVO1t3PGqo4VxMWiYFPw38KMzXa05nEMa066wPLSxVXaeDW0f9lf
a+iwwRcsM4pKP5lGBVzCEel7s7Wa4c7QFOyDHJpVvgN+ZozfbLGVvpoaxz7e7IpNZNGzJgR1TgxK
ss4g4yUmTMe4bDNDbMgljc9aueX4gZ7+Euxc/EOHvDRHAK5dqjc7k8kFzHnA1DeZ7UyXRDplhF76
23yjsybCsWj11/T+k/SOqYoYrjaXz4F5jNSiVvfTS8RS83sToNqOONv6cqqMA9dGForCw2up11NO
zvShNHU0pza94NHZTSWZ78BBRajhGTjDg0GAsamSIxPzaGLJbgpArEN2pMFm7zNmUPEkPPvErroj
ji9kfH/qZXknPIGsLpG3gdZ3+3xc1xvqKiJYtfzD6gTZpZllxUGSP6RFxaZrjfvF1ruIdqg0Pvg0
/Ot3mV5zeg574njT2EuDfok1zgSi/LEd/dFq9qqx9JnN9DL/KrG0fu+f+03/v7SfMt99bTW7ytMH
+XQpe/zzP5Yyw0E/vpmRPQjfQEo3zdOPpWxzKRNywXKFDgRDGq7kf69lpvUXamr01AizNjndBrn/
eynDmIqYCRsr6khmtpuD4w9WMu/RpPDPSsYux3Kps2KyhtlI39G3P5sw01ggG0S0uyStzPFUk6mF
eJmgsSqahHS+sRTTe1csF94RqAhJlK0SvX5u1W2iHfB6GEzlynEBdacFY3WecFq0v5E+nIvrybfo
HBUZMuwEAO8a25NIPlQdHXta5nPz1WF69EWhl7oM+gaMOProLqP1KqzzQZdt+mUyjS690ExjPffN
vj1Qmyb7ipaAd1r0Rq/2CSeQmXFILb3V2QGKIz6UNmgnL5dejuqIoLt/B2jZJTqKfjbQpaIR625V
GXNdJ22y9fuCLc27cOkyhGYJT+ToF65XMCANvHQ3uwVI6bhgaKofFkR7MhTQRPSHhlmeaAiU+D/c
ncmO5EiXnV9FL0CB87B1On0Oj3ncEBkZmSSNxpk0Gvn0+rx+TS2gG2itBC0KKFRlVWa4c7B77jnn
k8ql7GxqQngQtHOTk6Jzb4QOIlKd0u5lg02W3uI4V7/hJArhZmIHs6mw/fubVfXsU6ieT38mJsT3
juQpHdEEVrvNQivdblJKDfHsh+qJJg/6msxuYZ9pMjQ/lNPgUeXBqH5pGhepR9td12/aCYLFdjSJ
fcFGox2+F6391FIltRupRzxTo5eyglnkB9FFB26oEYnruBghLwTq4343yoU4Neo6f46GlqQiZDnz
Zv9S2wot96tyshYUiQSXt7WaAua92fb9Me2MrorLyEb7yBdKRoCNpe6V1vIB3lJEDHrriunTmudx
iBUTHlxPSs8X+gwp2XdQsWz/qWjd9rdrR7wWe+ZCiyLJ+mNh+jis3F81C+hgfVtl5f1QHRRZcZ3P
fpMg87BbdNzMmmLSa+z0rNx+rpxJmXiHm2ZND2T4+KzQM8Zyiw0sa16kGikd5CARIBF0vS4vFXXb
4aV2AfogAXv+4qT7NfMH5xdenSqyNpi6h/VKXV0JK2gcEVz6wueLhSliydt9UTY7c3CblxWUy9nt
+mhLwdFFNfpujca/U4P9IWpRE5a0AxQiC7ICkkODQbC3L7yJMpRoTHQ4XeQwm3TJyfpbeHRg9rei
8Cyjfro1WaPrIPw99223dTTAB0xRzcZi8j+UM+NV7+l9Zrfs53KpDkzR7HNy422U5htoI2ffuCNL
urksN3Jp5Z789UW30daid2BHe75zWCS9+0PwlgJDbOriMISBsSEhR6vnAmfQMHudlKv5M+j6Y138
b0gxZ5AlCUU/7K5nN/yzSvfHYFWJyfMBWc5+rlGP41tICvzWza2eVkmKarPlhc1eTxD4pOzjhzUC
ehdrKipQ5mzr4xsoPSbTcLJQJrWI89QY2BfC4V1h73wrvu+zTpksq+wSwZ8DauHZ73WTvY9NdgJm
/uV2wfN8syjMCA2RRwwUHna4VcZ0bQORfbZ59UibxRHntXMQluhjOfWnNZAUSbbGfZbjUk3le57R
mVhla71F8b2tw8z0tbQq/2lo21evnT+NarynxJTV63imbkbeumTudNpUrzzVO3aFY/PXF/TTNRwQ
YvwdPCx0oBdUDf9JzCiWUimoUJn2NzTn37ZlE7F06dqgbCoi40XtQQIwwSFCT1vjlBR63Ley2IV+
w2hiT+1ByPHLAfG0E57/g8eBwC9O5Wsd9Q9A/+hjUgjmVupHF7od+UQC8sWLN4RXsyZq3U4eEpT1
Toh5JxrH3ES5Wz6O0Uitus2yoPGOA+caodPP3He/a5DmMaxmrB2ufh81cKBKU9uVraaX+M6Q39E7
GHflmCaeD6WZUAzITM/Zch5liGwHFreFc0fMtod8YYvTFLDLoPCwpQZZnWlZfw4mpnRD8AhpqZ8H
dPybIp2nipn/5CvZ7+dg/pAAHp/7xtGxnHW3nU2U/GK07QOR34MNoPEa3gpo6DtFMzbNbeFwZtRu
MrJpSobSEJ/0LezZjn5X8+S+qNm9B8a4xW2KGIV3KRGdFR2qvAi3+ahaFMb+ddDTT+U37LqKc92y
OeqW6a1qnM8hZEHIw8a4alykFHlIGVPE9QhLU6MG6NeRRs+d6VpQUda75vagn+U+mIhmWVRSofsE
m5w7CptMui9cd19OVnPw8wH8gFIx/ah70BhbuRhcnZ2B7q5+GrM6LVl3dSwyo6tpHFXtPvJ8q66g
M7PNGNJ4JgoEWc9rf1CMXj2z/msPy8l382RhhKacp7mwGor2Pd3eu7U2HimgBPgc9dzr2jhWnXtq
1TB+52pO2pTqXjzisBpskM8uS10WNN3vplkeqhvWBGrHb5gmyzbMi/rs9gVYlrlrCKDZO0LMT+sU
4coafOJM0Y+hV5q0pPvYCO/kz8EdvV4CPZVO/6o+8Govi26T2pLHHSbtsftrjmb5MjZcjATy8XO4
GwE4BP4gpZqAVlcB7iVgnUaFmh6RxfLAGeIopyDgzaVwYket54j2mhOHaAuavcZO/w4cloPFhqWP
1dc0i/3jqM4o1Wq3wKKL23tsxr0RvFBlVc6XseqYsmCwGl5cj5NX+I82GFQW+SY4mKn5a1tT0FQg
xwxhr8BFaKhl387qwIqLHI1mK/jDDpycEK7sc2HN2frlmt2ogyTFghxae82AKO29A/7LE/vUaWxd
7weWRgY+m6E+sM1X9itfnt0oGpYM82QiNT/opdOPw1CY37TG2CweeVcA4ebFQD1WH3hl4x0Cg1LP
TVUpZ9fRT5x57+UMjoVVYqmR+GqXa+hR2tyHRtIYzmyOR1c0N1wub16PVdAqKtFuDRNUT/WRLkSn
tmHTvAJLmaVxX5g9AbojkASTTik5M8TlYgThwYvPs+t1BI45uW6nLwJXGa17adHl7hMBK3Tpwqv0
BrRH1ol9K3EWkFFGTt7b9KSVVFWxZJ22MnX6hY5Xc+qwGVvSq7otG+CAMBI2uRrgMTVbgZWEzJe0
DZeV48VDKAOeC+XKi+ZKXr8fHobU7HnI9pyu4fEuSxA7Q1ftyc3DuMiQLIvP2uq/Rl4ExauVDU3w
rC0xZkfEirb5Llwu1IQj1AO8E8H7ZL2Ni7v0hkbMB8NpthUlwDgX5mKd89vaP2+po9oPasTZXtiY
0dBYe7KZf9RsLsXDXIZ6/BgbmmqPqcLyuM0R/wXt03zorlvQ4UpykY1GiC/E36nBmAX83JszNCn6
Pgx2I5X8m5p6snwP0JfGcBEood/ZjA9PRJIJ7GeDb/WsoFtpbwoFOfCaK42lDVRnMe9rgCiUr0Vi
ZH0hDf+QRrIL9nlqCpPb24W3wZG5Sigk4AXKoMzmQKU0Xcy0VjRb7vSq2rYOYyooY+JqGeRlbEId
S1X2Hfly3y+oAruUVbQ8WmDv3Ld8ZqWDDxIex7alGTlKdJA3DR+aCqHkOBS2ApBkFl7WcSRQ6fcf
lAOwHWblBNeolKdqtAfsjsu473W7vtswoj8nKdjH88KSfVTA8Pbs/VyKtN6kBvTKVoM+cXI9HiMx
eDHTgXHRUdAcfb90L6Wa5sPq6vloDEH31Eiedh7sW1jOw7wd+bhP/roGF5rL7EPAevZkhjy2+CmN
BKJgCDDSL2gMSIfy4Hek4uhaLM+hnOBfpnLYOYXfvAwSPOBghpKEeOveYQqVv2iXnk40q4k3AQHl
YkxZ/7de4ERvAs74f6D7+n/7lvbFDYEhHIwTViHQ3nZ7hSYsEqvC2dUW5QrrBx/izmrCiXNPYaMs
VHCbncH8XrxCGpuKxwjVd8hHQF6vEUDa23vluyW0uKHiKY1pIAwxD/rlNzMrWkRvwP1tSvBbusHR
N/CuPFIQQz9lvnwTOJyPfVktB6+PBNBSvCCxMWmRFBkPRiMrqYoJXXO3dCrEhlN/8NqRoD91++Eu
Kksilohx1ab5W2tWehvK8RxNw7h1MNUA3W0ZT4LJt4CQ3VhTIBjVOwzAfotgFGzpzijjcPHdg+7G
PwPExd2AR/NxnjsYo6q6ZLT7MZM5QVyGvMvLFa6yVQUlA1kV2Vt77txXXUyv6ezmR2G6RhJW/o4S
n3rbZMpPsta0TlYWkY7qiuJ3RTfqPg2q5q6qLdzDkyW2pRgw5rHh2dizS5udq9p3fhKOqEs0qT2A
64VJUvhHOh7W61wN7XFKe4TBUmncdJRt8pOM5b8k7P+UEvPv6iv/RoX5D/Wa2+/3P3vB/h8pAiMw
+x9072JhhXL967/sfg3N/y7I2Lf/7F+CjP1fXUQTZGWkW1KC/+Q8/iXIGB6iC+sUthBUZN30GFSX
/y4uI+OYxGiQcoBW3NYt/0uQoYOX/AupHpMe3pss/J9qA7MC95b++N8VGf5nJHf4i6GYVdL/GR+T
JWYwXm9xMDdw4kfVrVenipw/o0GbjZJYQNyVck2/jvw96qr9WWeUPKv8QIGIGduVjmyemVaCizGh
ISbdzkY+baLQmHC8R3hM0nzBoFgmPW3YO0yIxQEqB/0zC5hXzP7mdhxEE9fuK5D50zJ3uPnsvCAU
EHSHCcrduRnEc26se/zUqt2mGU30je5x62FDYffeL2l2h4G7YxBv5/sQ0wj+BlRc9lQg7KZ+fOox
OW6hPzwuy/Ke1rSK0+Q5AoOu8nTe+VaaAWNLib4H9WWxcs6LjJzbmeaSD+6ufN+ueAztzi3gUnH6
T/0Ox6c5vFZKePfzaDtHCZ9gE/g3ln0QJWk3Dw+mL9a/nlF8Ib7L7W1op5q35DhXsGSs+E3vRTS5
5zqcy0cEOOtY5U4fQ+1VrwW3/byZUm2dPHz1a2J5nvdEN7wRA5d9pIpzu7T+FwqY9aOFDMbNIHQ1
b2urNR8XXSu6/AY3vYS2bi1+V3e968bVuYMxWTc4NoW/y6o0/Iv/1UvyHLRD4o0Bqm3UVtknTbgM
+kz7w0NW2sG77FJYslOxLg9NJ6urw10B46C61eZydD0OHofuh2HV9V3RB3+jURbuhiTGinVinJfj
QkRmT8wUHstmoJK82OMEymYnFnXox9OgcI469cy5cBKW2s6s7D9s4Yb6exiydGsMnXnfVvQex6OS
tvXSmZl5xe7/iFXcTSrI4F3sS0xcBD19Dv+ZZnuYduWlKdY+aYRTj9SP6+qkbViAKuLbyMuiTWht
Y/MPOc+1bwV4nVPrK62vDnaSajnRW/xGj5ldngrbrfeN5R4UGxMCgumyy2r7i1UEPemmiXhFHVAB
DXO7NjXNv85t+vP23coAmtqQJaN0vcdDl59QJ5KMX+Jkj63p4lma6iuvgwuFqRdRBrQ5ERwZl4+g
E3fQX5MsZOibbN70Ie+HPEumqmTzzsaZ4/ohXzgmiXbThjerfO/1QA+6uyAo7x0V7GWl4rCkkK4a
XhAfYqJFGCRMGzougyqZsHj0j6PzpCC4ef2+ZZ+U2b9LZ030QkZLmh+mJ4anqZzuQYJjIsb9YEbT
rmcFYab2WQKPNRfal2Bla06L2IFRAwVt0HWlEoaZA/146UHi1lx7huUMBGdYtPWRr2qnpD5LwOok
k+29Kj2cLHqxUB6doyjy4aRcb33wQDFtcgH8w6iyICE11j5z21ws8YC5iuq5r4Lerdxka7N6+4VV
B334R6da2aWCWxzFvc2M2JYBlqv17Lou5LS/Lk+VgOnjCNtDv85U1tHAgZwgur3bBC4npz5J8+A1
wJ6BwFJ5POeGr9S0rUsuFhXrsvjbSPkgRTtsVhFw0DC7j7abfwzSAknH3Xi0XZQiwPWTRhDpaFou
ir3F+HkYHesbaIHO7uSaOtsZkNt+EXUqHzEMpRS7IazSy8+hNOr2AUd1vIScukbcCw1OjuxImrl3
dqJNja1QZX6GJr5wzMJHk71mVLEh7ka7jF0LljTmpiVZODBkZf4HQvt3jYgdQ/gsH6F6xivl/VAs
16T2oXpzIjSe3CWlX3ztn2jxSjGDpoVNFbZxFblqnBvfWHWoQpG6uwH5tjY8y8Pcklzl1CSPWdZa
byxTgSxWQ/NhYGfFRNqniVGv0RMVvoy9tGv/KvshunOdYpfBcowD8oJJ35IqCfE9b8gW3lGG+czc
VMdeEX5IIyRiIXHzMXHcdCvz0heiOOVOG53CLJxi1xbtJaU/DIkTxagN46GtXiw5P8gONP3YYgFd
R3np0lrcp/XIsz9/DRbuDBIx7yTEd275q2AN4eXZc1AsNGM25h9G8UPmp6d6aA6qKPcQMHirOL4+
Z6prE6PELmbZd2E5/a4029MUITYuIYHjCvndGeARsPDy8rGKAw5VFquELVu/xBtPPhZak0VNn9sm
YSA0u5CgiI2c3W1EFn8jHZ9ZFRc5CmSNIL62v1PLLHcSdLQ2I/GjZknXclP/RH1zmsve3AVZGVce
VHW6m+OaKAT5lOtSFfcdw/lG9EycCgZ4GSyAfJnVS4Y3983Sb+v6OQAP6aAloTp99IDWbxfdEDTv
kZovNOpVAGgYPid98IzPwqj3Tok5Fd/eO0vkvTA+Sasdpm6+C1z9khlzz6QJx4SrhCykxksd7Cez
fuyl2rmNPqJwczuAvHcD9UAr4L2TTeeixZFciPo7CFiWFuFwZ6/mcRr641y726WWd8yPr2mXf6Su
cVJqOpVcxA3TZDZi5vOjeKrp1XQy8yvt8yuBgKO7AMRF4gmm92IxTrbhvBh4WKmKNK5BVP9Z1TNN
CvnOUik6LpAnQgbuXz/1EkeQeLJ/uVSJh4JEhpllCKDeM40oH8vwtwrkQVXZHZWCmPhuvdqmuNLO
c2jTHkxLWDwILH32lD8QASeTlGNT9Ra2OcLGgjhgHw7zu9w5QxsRSSV/kxU5Zq2X2OwtBC7oabFW
PvJ5F2lofmHs8LVvck1ebLGtuyhVe8Y/4xiaw1Eyt5JB3fzTQIEYlQ/vuc7OzvK+zDmep2yn9RKz
zpIbYc7tybT1rYJcPakuOqhVP6pcQfmK6mRKox9uWiCXzp7Jkb4h+JhHMgHgTmbjBw/fMY+iHR9Y
zKURLzI/NrivwzXc1/0C58vYmj4m6f5XnxNjJDa98thAYe+4Aftrak70sI5PNhmLWwakNrrjokQc
VFGcut3W6rDNNSbJHlHehUNAXZKsPsvhD27CK4CrD9tadlO3HNzS23ntSjqLRb6smy1Fj/MojsTd
wq1czSqmYRRtEbftc2f62whCqIdzzG5xIrv2ZSEexV4le5yC6bWBoAP7/XNlRq982RwcVQVnPRgg
f4JoOY3VD1/lsbT5TBoa7qfqjlsLDqnYqtI9+QMG0UiV174zG3SF4NFXFe2T0ywSZ/Lu2qArabwL
iHzYT1mbar6J4anjoKFG9YB9P161tfVyRtqVMFEEv9ZGf7K0x+Jo2szO8KwphEMdxrNOTytceIJD
W5cA2WEd3A/KCuoX9Nc6cbwhOkcGl9/Nc4jx0fBeFqf4sJoXmDHXsXWem0ZvPdr9JoOwSNidiYlf
gnHezIPNidONUFSG07hYGz/rHt3efgoLdcDJ8DWb4cM4VTsjutizsaWcYW8Du5747KU7XKo5fAHS
pnarOf7cHui7yiXWFzRqj5fw1i372tHHyoJ3czub4voNIuzq4WuUpwk1ofRSVdtAjbtgeXdvuGTT
lbua5dR+CE+ywaLcFQcc33liAhFLFg8jPPbHLb2biRHZv7P+u86XYs9RPedScuk9tac3ullBR4Zf
NjHAkxfIhDoGHgEWzwtbvDt1nRSUH+IN43sreWfwXFBrHcWWZ/PmKEpv4wTprxGH66Tk1WnIMnIj
BXURO+SUU2feDWxTdXVXOenVza5p8VU3HEiQ80tiHpSZekP3OWBaqaQbd3YbY/3+AteHKI3QADII
GRbGQ5N4OLpbVPBNZ/a7BqlrTG1aYAP5izbevYBAHhZ8IZ7xEsz0fxakJPwCe7sHn3wCrRtx8cwt
moZNrYOBjt/w1hAuTmyPlFeDsj9SEtq56VPQfYkKfHAdoout7pMTVk7idUa4QQ2EQOmgcS+xKjwL
bSJUcRBcGPB2Kfb3oqRcNZTlW4fCWixE+nV0vbnyY0N+R9YQu9avIXAfFjf4trLf0vT13s87Yg8s
Wqx3FOVfXrlyzTgvRV/iLAfiRyo83QgDE7p20XsbkIBfeWqln9C3eZHWoegIW9nLfkXzRMNkQdL1
/XOvg/Qth1l4+2fZcjdoEsgExDlD+GNzhA7BC3Oo8QCxfNw6gER5TEApdMtv1kEfM8/nTZax84O1
xiXpqwQM14O9ON8ozsVWF92zpYNdA/HtRFH2u93lT7Pn9u/4h3+AEGzY914Mg8W+Ne/7tXhEDTQT
uy2u6cSOsqPJoaiwtdesQIhNiLT/6dw5XriEIh3e2b59pew0GWRpxBE678Y0mz1v/kRlxiXjVfrA
kmtNbMso72rViWsbkZ9cbrKi+y+JUf1LcBSi6q9MusZO1ZFznMjGPbNUGHYRQd6PEWv7F20i+UbW
ALsL1x4uvuRYz5px/TKysYtnpRDYaQK/U6sRHaKQVk7WLOxeNkM6+7tRrsbFAbkwbx1jIsNiBEXV
bK1qdf+qlh6dTSDq+VoKZ7rPvN4oY48sJjdUQ/8s6u+tZzuz6M/aWhO21GQo7NbCOVCac7evSwNM
x0E0hHC3LMkz762iQ4mkg0fCcY/zw7hL/azYc6WRbqxXtdGF4NyxcgR/aGdi8puFR26cT2lxjQoH
vlVgjMexJ86jyK7VG5wAFi6OHokQkEPeQacsoVTTnUv7LwMHcQxFUjUB487f0w1gvJNkjwq+N5tR
1L2J0qsTYodYsnRm47cOgvhTVGsS7Kyclm1OIHQ3061/nC0e3hxSx4Mv8BRcg39Ub43x4rgORo7W
mS0wfPqgR2+U0Utzk8mpZzZqjmTNWmGzyLiioa6gpNe6Ca4p1tS4INXNN8i/PEw3vV31eX03ZSs/
PDuP9hEJ6abIz//I86FleD4+1mFdX7x/JPzlpuZn1KjkqINWwWqNcY08Wrq8daTnnJ3vci/15XI7
dmYLXUhmO5xZqfICC4IUKxjgcgp6gXmK0jyOQUMDNxsvD7PsgSWJ2Tkbz6KZClHZAT1IETof1DHF
VC0vYgYoyGkXcmAM3chSzNeBDvqrXMZupjA88KGo4MCx/jDA5cGfoiapqOahdk+5l/r6o2KZcRmh
Hx5My68mzmB6jgnyFgd7bXzrCRY7dck8Ccj1kQHgyVRA2tvXo5Dp3htDgrIz8AN+X54mPM/aOrwT
fhhS+jTak7dVWtOM3PCPOBJEWZVtBFCRipSuGO78QUm8Djdzfky7s/fd4N7NWMFF43SCuenVO3Nd
0mPvOTnB/Q6b4b7KUs56y+gJa9NMZnDf6tBrtxSHGk/+IGkQb6MJnduxHxcsjn+akROKjEoP43ib
73W9DKfWVM0ntkNymLr07PU4m4tpx1OUEoGv5GIntdfW47621+4pL0R7UiLNHkWapgCkuhWrj6+z
fucX2j7WFMbGXpcXHwUl/Gel5fI40X6RuJS2LxTQjchY/poyP5SZ9Qd3Y3T0VBnRNOCFT10RNnc2
O8dHdsgkSst6tk790E5sdSoveh9n4T12QAVvY7fAwyO9AY6R3w1w56tFLCe/qtrbtz9DxGkLL3pg
fvJIEwtBtxgCe3cLGW+8tAzcHXuI8B30/PjXZE0G0TI1F0LcdH3UNM3c10Vv7LAr2WfwiMwL1oXW
eFSvoOQMUVltdfTXhSed7k1K7D2Z2c8lG5kP7L7tSVhN9pyOPecRdx4ipCyF2uZxGL9WhR19DNPC
27sipBnRQa2zX3Ut8z0snTURAzDbMpCU94/Kqt5EuXjIjJkBRRc40pVO9/6PldX3XEdy44yt+EvO
zuJCnVeFgWwceMXwOfs7PyyupiQhmdQ8Xzi04xF9El1lzcQXM/fTadg0ENJmNXIZWZC8W/rW4p4F
A8ZOR1lIPxbj24prveXy+ieP4+kVzW/M51c0Vxb89myqgxX1cFkbl0Oyew8xl8cVuNV9azopQNhp
krtJwy5ChnOOHkyRh94C37tZneborF95/zT3mYhTqrAvKJ9LEOjnQDnFiS1NdaJS3tmxQmAlPmXw
nSrDKv5Y5coRR1vpcrJlnz1kLGGeZ6dmQHAx4diAxF60mTP4IkEPu2zy9J2cMpextX1aS3e54rJI
ubmc8Owp5is+7/GRGAyZnZAt+axfnBKFwEZiOOCDwws8Nkac5ZhU/B5Jku/C1OfSsdBfCG7upEOp
eEcajI4oygXw2KOojldcbHem5HXKnpvbSgIsKD+6xXvuMW7Nzd7Q0VlX2U/tyv0gaW/laBMM8lhF
y2GKiBTZKceONU3MFFwxsQ5YCIWwYpIiNhdnDYE5QHC2ml7dXLzpye0Xj+GndH78ajTeBfUn1c5s
Zv+thO82O1ai7Ie0G4sPSp/OS9j13xqG8l21aOcv6yKKSLDXqjO7d4zczbL8ka4jPy13dE/pYmxD
nfdJX6eYnFBkgv6g8rCNjqM0BhjAbVmz9LH6Kj8q3KIfMqjFjzN6+X1Zrs5vd/XpAesCo0iC0pWv
hBusT/AgdDYOJu0UsxiMX1nf0cAT0MjBPhYH9WrVgDOwXt6DtVsfZ9pxkN3N0f8WvVuebFbyO37R
fvJm82Bq1/9pLRlcck5IVjLbpfrVj1hBxDx2904tq0MIUnNfrEbAzBWs+9owN4ZTP2qNPjSl52Uh
tivHHGcB0b+Ppa+gSuaVHUfmVGMNuc94BRIMKijRjLJsk2ZFdDRTOGo8TDsKRTa8yKuNiG63pC7G
HfaRO8ViDO2ZVCkwsDOyFrld0s2JKy0rhupLVcEU+W/zqhNdO4fWNvKfMfDAVzTDedRFmaSgUA90
fdAesHruVhvBJYhQ7DMveiZfyjA7DuowgMDhrEBpAoJoQDknGeP01bdd+MSuLy7NLc+m29FP/GYB
3jY0n7jY/wilt6IamFU6wZBV16cJKT62lW6gVWUnNVZv8LMSJ+2cX8EyISyRl9lRU7OZummfAdQ6
sgREiJn9V8vnwu9VGtwTykVpMap+h6aVLNPIkY7GlBiBt7+nUeJZzVnLxnelWm0I0m+gDGeWEdvZ
G9e92RifXYuC2UAJdisu46hVPeg9KkQnJ0hC9SO8meEisg9tPVTxMqrHNPMBC9d8LkpWQTKF6l1n
Zc997F0RbcQbx88Sk5FSuAqMfVpgqdMUPPG/WZ5CR2zZC+2yWzmxAvKWuDRPHBpHeUeTXgKYzRO3
ct2rz8WWFUfrHrHCyYwH6X14YbOnWOSUIe0my224cfzl0SojcumZOE+g0w/jqilDCyle25j9CEml
KrMtGQPOv6597/SEHHVBIUfJvdQQS5M3RydCXTj/DtfZQ/Awd4zX7dGyXch06IZkFa0nmY/JaAa3
VLXSiWF1MCyyryVsFlQ2/K3eNL67JdJ5h4knnW12aa43PxghlDDJOSwG6IbvNg24Ay19HPR4kC7a
o8iLnl3zLQEp8ZlFvEi60Bc7WU3yUvVl+xyl5l0U3QwxRvUyWMvFzvSP1mT52g5rQHARrXijewep
bx6fOcEDDyRP8dhagf7JEO5skffXQYXGlyjK4N4nYo1G0dNnxruK1IWUZ5xSFAja/DBETNdH3y6/
xynANsWdlrNd3EaRSzHKQGiTbplr1eevLiK+KZoK/d7mZD8dA/Le61A+siI8VGFwIFIgsehq3k4z
xy+nOpRDnwzGdF97Y9Jq8XGD0jwu3RTjxqkfxdB5vxqtwicPaAnsc550nJZMeY5wHFcbbbsvmkmA
UhA1JPNK7x3dCjv66hDc2LLs1SjHyxw4JxsRL8a1ex3SYXqLojK/x/O58+yxeLJox0iWMdTx1BLd
s9SybvIo/NV1rBXjrlnsu3kGvx4PKj2aDUUR1Elhe/2iFMU61Fa2oazQRgic97OTWTvc2C8kfI2t
znR/mupq/NYC356P74CLon5yYBqa9UrazX8yBuvbdrK95JGInz/mGz05Iyje6Lms2dpkBbTe2T4C
jTxnpXu0a87nUfPVLjf4szrPOEQ5iFNeiX+oTIYVObFtJdI6D/ZIwjofWvO3o+ptK/lphOh+wCjg
2i7PjVPcy5y6FEFbChK/j5/FW/AFmvlO2fJtQXxUue28TlV0mhDy6nIG71H9IwtyI+jcHt70IoZ3
jU2l7Ni6hHiy4Zos9s4C2XcO+u6T3rcz+UqWBWy41xg/2rQLdJclvJeL2DTnj2AI3oeqeWacJaNb
EakfvJmOmvA4t1ASXRRjTcPLJLKL452wBZ0FAtLDPJnFblq8e1H82BJTykYM6DLdonYBvcqagfCz
ULb+7nvt3atiHn+KbJ78ZBBwVLSebko6NRtYU7gFXezqiKQbIhPRY1Wn2BuxTkVvGSOIcWZDbtwT
56k/m8zzfpk3zU3yp/T5Rbf7iTYdQj2c2/ohsSNAzrT5ygpY5TJyhKklFUjKtPaePaM6p4O6txlP
tmGbm3cWBqF12wcspFxprr9xKtlocH71h8MolYY4iGPsYhMPMGlRZpU5LC8Rg/+AcdsMnIOKsZn3
NgezOAe1+elM8zLfpa6zIG4OojdYIGorls24/F/Ecv4/NYOYJGL/fRDz0/yr/vk3JGb79h/894ih
+V8ZtE2XkjEiNhY30//I5dghFe3/jb0z2Y4bO7P1q3h5jlzoDppBTQKIYAQ7kSJFiZpgiZSIvm/O
AV6nRndwn8Ivdj9IaScZkskrj12u5XI5U4lAc7r/3/vb2FpYslbJh2fzZ/5UgWjGH7rNf4EOxOJP
CP7Tv3w5mgkrnn8aBxjsPr9tMcRJ+EIGIvCwQ5ek3CPQoeAsMFf37zP0Yz3B0Bh892bI12116nOU
1QH0HNpGdnemOVC08h0EjVjZrqtl9i5IS1UPVPVBEsL8Dl2Eh1jMrP6yGyZ1b6pI3sywfW5FbTW7
UcLKYwXJ7pbZuNWMePmAFBWvctLH1xHf8Zk9IOWmmammjTXF8w6IlthWWT4cLJzAATViArHSxEOF
h2Rxg8bAiglU6EY9bEzBxh/F9Kfcw6+C/BFRZphWrvgsSkNRJ7UXOk7kJPfvYAd6ZxkNb2cTkUt+
6lBZAbzUOqDNVNPgaCBjzS0CzgnsVDguaiGa13SvY3MDsSIs6FeCmup1aVVOchj0cbxD6ZhymrVn
+7qUrC/8lP6ijGzBMhEZVzaGn2CwwajVa2YV9npNcJoeDMw9ukrx5hHX2hin/VhX6G/TS4CJOrOZ
EZZ6o66k+8m3xqsh5TCQaYAf2vaJYqlINPKppDydeu+BIs65RUh7VJ4tdXoqp+GDW+qBYGvH6Wmt
MnY3ehKtLerptO3kp6aOysPYTOa7zvboxXFK7KweWGDmPJi68s7RUp7yqN4BZrkhAbXZ2hOE+lbS
UY6S+CHLBCKKxnvELN8FiXDVF70cvsKrgoSEeeVeif6eafQgTe207EDbJVRH3ksDioFoVf210p0b
p+qe7MX4gL/7JhL6fuaUm3fdrl8D+YhD63aobu1wTGkwgJ/kH71EdUf322tg80TmttPs9w7NXk4F
7Xlmyi/Cmpn/UnyP08wzHWEwwlPiKI+v/Qx1CfuEOoX9w2QIx1rE9P4l+KlIdvoTKHJK9drGxo6V
045lIYO6ASELn82JgNyTTuOhtYbsTtqcdJVLZHXCiX36NAF6G79q6XjTxW4YV/etoGyCWAXwSl/O
KDRnFDXbtkkIO9ZsGG0IIQF6CtFFNAc1C44A2JbxtILiSLfbasvp3AAF9EXT3eqqnzibeBCqDiIx
UQJ2DQltGxxTRIRnVYhcgvNA3LYbE9ODSBAztPF4Ca6K/8/1r9yMkGc593tpU8827W1nle8tOYcl
RZJsIR63mO1wMJvrMcbhIVSvb4Sf92ejRbAIe897NO87xyQl2KuTcrNiMPuC+xmb8RymX7LHAnaO
hKgEZ71gybW989wxKXpOst3Z6EOTXvSXJX3q08XKvSA34xpXFBpS4C0cgNyFf7MXF4dv455QGn3X
suk2N6qNzivOkEFfFufasCDSqGgg9tp6mtIqP0zKEa0ktZ3VMUG1S5m3Gtrja12wfDc5j9JyvHnn
u5LYNgp3X4s0/lim3UErnoY5N26hJLbbsnW0OzQQ/cGgLZo07cemsk321XSUlGXs89INR8cbkZ/x
PKhmCfYKSFcmhxypqPeWDSXeMlgG4D7ohEcH1Ke9txUBLQYlsxN0S7RF6PHvxkTismkW835W/vs4
x3Sg6UjVm2yfVOohLteetrQ3DnXBBOV+Ug83/TT7wYzqZzNjDt6IMspORiqRXp89Rjy6EDQsOuNI
PCZTfpjbHMRlchc3/aM9j/lDXvV7TuZUv6UZAHcKohIRG+TlgOf/LrVH6C/ivaaxQdOp4iLYGPfK
Q/rTMRx1v97T+9nUJu8glQpUXkSBvyv2VRWJyww9zhW30wWqXtLLUljEKWKI22v2KLe1Z53Gwxxv
nUiChDTcvZ2kd7qz0NA0zXs/NSVv3E2i26Fa4lOQHjSGqMZtlANadhqi+EOBFypr7ZNBT+jlOPcu
vOyNBOJecSYHc4/t2bU/JqyfV5bVWB8a9nGbyIsfjNRk7OLDQmyPv6XFF10v7nRClqAAOjPZj3Jq
Q6YeL9mYg9AOjU+111KJdmbpkz5+QUtWntnGODzUyiELWplCPFYmPuaQGDsJiynF3MrhUW/DckG4
npKiBwKny+nx1LXxYczdNlB2pmknpS4uKTGMl+VEnAgFq8i6Up0xBNAacUvmM4IdbUbq0OHicw2C
w1CiUTSo/b64RJCR7CRI2EBjm83A7HX0KzHV4YlEdcqy6X5he36i4Bd8bOJ4a5flpY0bqSPXoyk5
rk/F3sCFureWAv3MxBTo9PF0mGq5twrnSfPr9sxSmJViVTgrmMcbd2lra3uPAu+u1vNo53IvkJCX
MwA5xhVs4SB2MHil3MOknLtBSYBJKqWW1wsdhumXacnSXTQ17gdtnCNqu5icBn0Y0Dn3cp/ZfbSN
vNa5i/W8/qJZxXIbg9jZqmgqL6w2z+60VCYHgDvaCUKh+FRmdXKam752qRXdfA0Ep7lPZyfWNglb
EVZP6LmH3C7ZVcvBeT90WnUOzK26G4y6egAfsNykyoo4sqs+rGwK3l6JWZAMqyJ0Kj2iHD0vj983
f/8VRf/dXFMD//0++Obb/Jh8K4pv/QtJ9PqHfuyFhUNqGhteWH8mdS52uP/cC9v8FZ2eoq9b+MTN
F6lpFrQNlhYdoZ0wbOpIz3AbRCCx14bELtAaAKGzjN8xqR8RWczve2CDY7brmrZO1t7LnXA1j50Z
+SYih8LWdqT/giuNGPOwbvwfhyWE7PG3+uqHyvpvZBpe1Wk19P/z93VT/eO/PXz9n797Py5Fehxp
A/yvYxxtuitbAogyvQgP2pxQZvURc7qFu3n2/P+/rkKYlIv2nKcGLug7C+fZ1r6tOf2mLXaMzLPK
kCazva202Pu9gBDuhbMN/3BiGYhf5pZePrZR5x4iyv94vakTlhHm837o0x9eg3/7xIyjxI71Mi5p
PyTjkYOIgP4IhUJ0xspdq5LAc+evuInhQG3Uij3JqJGZMJYW9xQRM3uu4lyMBLGW5Bez4aj1jpob
fY76ymz0C3dJbl5/yitp6eW7RD+2hgDaBsEv7irZf36AGtjllJ5uwrQvAQi2Q3lDVQAKopdIkCF4
FKMevPjr1/z+gRxf1MQ+gHgfuQq5oS8vOiUVKE46gIFfZd5B1RoaCJ1i8azc/kSsoiHptHLrgVU/
TP6kB53hXFbJKtCwSJ9KHJbGWMTe9vXfZf48hnxB8gIFOEsIxuvRW2K3QaotDBrUFxqt8tqfd3Zn
UP1ys7F2kEWuQODYmI33S6FuHAX5bkn9+iOKO/CFIMPOPbQTJ6TBUNP33PiblsbsrQsrTs0NAbjx
53ER2hnhAsv7yZxUFWqsNwhKUnsb9ZqJ8shKzfKNx/3zcOWu2GUwLdjAqfSju5LU0mVPJws49ELe
oJVC54vtt9JE1/nl6J0S1gJRSKexTSDZ0UBacrgIgtZnoAmkIPDJoZHHpRM2tdUGZp65b0xCv3pX
fJjr8OVf/nHmDn4/UoZpva5aRTyE7aRtdPZN4TzL34xYY/D6gsYhDEemfSYL6+Xn2hVESzetkQSu
A2kPptnEuDWrt76+l7WMdVr1HSocDAj0Yvr3ssnzoWiMzZBkOk9wsX1io6Wu3pEr0W1zgL4nQ+Pq
O91Ird04uoRG4zMB/2eYEPskwqyLKdomkysPTX4zJF2zSeahvEpKX2Hf08Qe9/hnKjMpexlt3NlG
hFrHM/szUSl9W2RgPqcYCwt8O2cV/hdvzH8/T39r2gjLEkwWPpC1WvT81vSJoDOwcgmiFiuHwefR
GIKeErp4eIPR8pyQ3TdmcXpQrw/pX3z7DvQYcGk6ZzPbOloVzc5i39giAE1mK9n7LSkQmFHr8PWr
/GISZdkVBBYBgKPmdYSzo1ZRdJVJ4s7kmbTYPWKsaNNEYTX5Dp2XOaFl4rRvXPRXz3R1Wem4nwxD
P84abMSgTyyPSVAmNgc5lSHx8r38ppjMdg+OKv04WpjVPQSAh9dv9xcPlXV5jfN1DYaDWH/Zs5U5
Z4wsck7TYB7nMSBYW9F6g6n++lV+McB9lkV8ZiwSbKKOViZvsIvVf8ZkLABj5Kap9i5aoLDhJPHG
5/l9c/R88mL/Zqx0H2IM+UYoKr68I3NO2IAMjb3JO+Nzk1IkGokn1zTglVBvgVz3N7ELEkTzmvRq
7qrbpCwkxikPASPw0JOmtcYDPh2fnhuAsdcfxPHj/vHjYLkJ7NukWB59XT5aY88y+HHLKJJruSzl
RdRDUn/9Kt9LpT8/g78uc/RWawcRB+UAe1Ml/rw15tEIkqkRgYZE5QGfB94TEfXnej3Nty3aNOQc
gvLSmIzXqZpXOVD0qKgJb9IU8GHnG+NOm8t7lgxv63oyvgZqLzemiwbWknm6KzOc0sbof3vjPtZ3
9fI+bPLPzXWuZujDlHr5LpmY5wLbPi49ohQ8P22/Yv/17xi4KWwLd3wYooqmFQn3CKBr0kEDyUFK
34z4bzdNnxT3zaDFRmAzeFFcGgCOcqopgChqGJlF1VP9mWskZOibBqKv8lRKkDr2hBo/JgDEDk2O
ihsx0qYP2iV/K7Xs+3JzdIP0XUjhYqX4Xk1/eYPtEpXS7WfwDqNhouWo5T23VWxVmmAuQR0Yco6Z
UMGhmeJUJN+n6KBSv3IotGpB2dP6f/2R/+KJr/mIxKsyybN7Olofe7ONffQwLnueWt0VwnoCDQx3
HHbC1rFROrx+ue/JX0cPwLW5czyqpLqyKr98AODR7b5iMG8kCkc1GRTunBErFurUcSy7k5wN5Wbp
ySrovDYnEIq8Mst/C/lprvumlz+DIcGkz/6V2ZfMrpc/Y/bybj1ReNRkS+JH9Dy+HUaQ82y3x/OR
M36ojEVcmEVfn2l4eVZ7FP7PsibhQ5HpBCHK+NKYJdNHU+LX69phU2i2fzvl1HkGYX+zTP/89Wd3
PKlyDNUJ1TUZIhiSaNy8/M3G2tZYokGjoDPDK6+0xyJGy5VX4AX+gyuRqcbBVgeY5h/tBweSErqp
lRrI++qpLMv2pBGVBDSia29caX3OL94DpMr1qGiyXMAi/b6rf7YczY09G6LzyV9qDbH/fFAQM1Gl
S4kwmhr167f107duuOS2enx+606acNqjB7gkY+uvvNqhX1A3J0CC/MI+IX/GK+izvn6xn++MBhuA
XkgZvC+Ini8v5jet8iAa4+RB74ipbqq7LcCwdqMXorvOSbo5M5I8e2MlOKbMmiZlCQoTnIddOnj6
caQwVW2qXlqVB5hYQk8fb6dSXUA8w5IFLzOVpxQwT7JEnrOve2Ot++n7ZDiZFoscd8ynswJSn28t
ilmQ9SsXSCbJBMM6aqKATnjOzhs7yW8+XC5FE1KQyc4N0918eaksarBSm+xiirgiVQUsO4alxt1W
Dd0z0kgAFTTtsHv9oqs7/uXHapKLu2IEdbqIwvaP5q4JMxFEEwIeUg5lJy0gjjAzqvi0lTImOdQM
VkeHm1nNuyYe7HPi44Z3BglUB7pRH974LS899Cy8629BvG8S1mu4lM5fPgHMMu2ieIeBApsTmm6v
ILy3o76hvYidPXKbE6yWuJidHSkwCToPtaF1ePHGz1i/4hfjF4C7z3Rk4+fnM3eOfoYubVvv4dME
GrvrK6aSBsVHU+86jluh5cdfczpOJ0knUxp9ynjnRIRpQTedMfBq4lGV1sn3X/TfIujfGVrPXs5P
xOGbf/xv/Td0/P/4P39DFfC3q+4f/7d6TJtvL0qi6z/iR0nU/YNaqLHGWOscW4kg5wP7QYlw+Cts
VZEAMH+YpKwyDP4JiYDMaVMoBRJhU3KjMvqXOkD/g3HIx8D/eN87+6yfv1MT/V50+OvTYlFgk2A7
wjOZTSjMHhOIQcNh4G/pBaV24MuhOSBV6lUgbWuvF2l3kUcmQiK8eEuzQZcSHdzSE2wWlsQ6nUjW
K0AquOUHskjbK4GyxiDbZ14+s1PUQghI9a3txKhinj3zqx8/70V59eW45FevG9j1xMP/JZ92RTQ/
nwRzmypg595Pgm4gdG/DuErSeM6CAVHfdWyxo0y8qbq2rYiaRNlF8TuO7e0TAx5YHKrpU6s31R0M
wuxdoaj+BHHrGWcK8iEJEdok76eyqW75VnQ4BBgCUP6lzjn1QQMQGQCcR1IM5Dc9nZr3soLGJkZr
esjY4F5oceTiPZlsCHxdlZ2jQN/RoEGcp+N4Ih5kwcmx8eKlfxJ55AVNWotzSEkCOVqv1W8sVEfL
Iyv+92MoE7hDgYa92MvnNJg+0Kr1ObnAcHT/kqUZ83tXk47hDgTgGYgT/zszDPNa1TfXXcBr7ZHq
W/yleDERrH/ix0Sgwdsl7IHtEEsao5r8jH/OBJrh/iF4EWwovhN5LfFsKnCYCygGMdThyTi0UP41
FRgmKPIVbu4zwzB+Sar/HYDvixWGki4NG4oEDCgQNNS7+QnPB1TNgU8hvbh2Us345HRW8YG2g2Sn
rlBpBDZySTqmuA6fPaFfjeNfXBX1OXMdDwAd+vr5PtuXul4M37fyryemqI2Hr/2mneP07D+4CBUS
x9UplVje0a21JJ168eBd57Ftf0JM398C/lfzj+/+3/Yv1hnnr3n0xwNc4T08Fi6ju0e3MnpRSxyo
d12O5DtuPDO2r222D9vYXwXzlfv59ZtaB+5PlzN0PilaPxYMrZdPLs8M6S6je23kRnumK+smRrZ1
3o8gkV+/kP36hY7bMtCBzFGX7rUsaGpTA3IQVeMJfP0iL6epPx+eRc4tSdg2KKOjV+TE/VQmiXMN
usZ/z98EOBKfzXJaLA2NOj+DgMkykrxxKjqqaf15Wdc0WAGFAyPp6LJFtqTE0XnXfWl1oUS/Q8Fg
QNcaJYKcl9rPb8YO9EdF5+6j8HpnJwhTekhjB4urFQFBUFlTInv1W3SqhRGFBRlRv3fC+fNHUr63
2AOyBdWPP6yu4ziVudcAYCG/4fCAPUCUZlDqXvpkWot/1Vi2vn/9hfzirXvsO/i06C36FC5efl4z
xmw7kea1ygbj1OykHy5VlPz+wEQ5zuBnXWLaWfdGz0d/p8GPnUf92oc+FZgRmo20G9/qWImjxuL6
AF1IWOgfGSkex7Wje2mSOOu6Jj1Xy+SSzCSE/ORnxMOedogFasyNPgqnwgCUEk5QN8HgYUutN3Zr
GSNaGdJx6a5EMICAwUnKuHaDtbrileATJq06JOo5Ihp08fxQYtHPCFH0nfc5+c4Yt3wruloyEhgw
xUF72fh+2nwAJ9V86PDTY6BQbfeUwEUdQS55OopkzcIRFcPowxelNdZHNXXEIClzyG4H2EIB0fLG
gdKXNWxjfSSCSk/T3gxpyS9bxH0VMb6EY51D7LCuMSpGZljVaf5FGOi+EQQu+JoguxCd01rWiqwD
TDJrvvW+s1pL7fqqsVCiYS66XonlywnuJ2vNuiGBdNNLIT87RgMqtWgriASibSAjtH0DhLOeU/6W
doiGb3ZCyAmxPIP2GI+meuqyzD541eBmoZBgzzF/ackNz9E/wCQt/YOxlL4dMMTiM6etwZ7WczLc
6laOiyKuhuhQ6a7UgoYAUTwsIkFPHuU1LIyqNqY6BK6dP3mxBbki1gwz3qZAsWq4BgC5NqBXIe8N
JCLSmOw77VunwMyHHXPC3nfoup1Goy29HZ5O83MVYbDc0BNaYFG2msUmjnizFmVo5d9YqWiv8JO2
lyQKtkOA5aAgbpJcsE0Ns/cDi0oMQXLCTe41jrz3NDmeExnoWSHpwt3VMvXirMWS+oVEL4CWWZZU
xokDM/wTTroq2wEomJygt9V4DisFjI85NQBnkjWcB0ZTnDdh6fqSWCRfAhVJdOSTjUMRfgfiq4U5
4cTVl9SYGkSQGk2tjQFD4KHsozWYaxb1pUE4F0iuHIbRZvTJz1tBR2SQkjAeP4pJ0ce2K1LJghj6
xyOG7tHHdY+Cx1K5+dFtRqAOS5IBkqb6GC1B3UqrDbvaiC7rfDSLC87oQD5KIWsZerknb4Y0H85b
q7ae2Mw78xUGbXlmxrm8BN/VGhDvgceFeYXYCpdMgmqxHI0CRuNCivVJVQiYCr6MQF5nYikQ6kIG
1zmOdDiwpnKuFfq8UX/fGhy/V9bCWmeepBmFGIuQRc2xQscX64n7JOHgkzs2ec5O63XGDW4TWie2
A4wlJDA3ywBAjOoxVYb9wcyL/jNetvTGlW6Zo4R2ZicwtRGIezsXH2y3FNcgtdIHX5XeFKa2T75j
5tf5oaakWR78MlGXxM/XWN0ruz6MZY28inttHhDI8YIWT5QPZPzG9/yC/mM1uQNWtwqRw2SWqP08
o/Y/+4UFi2QmuBs+hD+UHdq2cb4HdrQkINjSHDQzheUchYmuXxS53n1ObZKJg0qV2beZ10ASmFFN
tyjF6kcn18AwEM+OzxSQ/WfgTPadsmx8cblPtkxWxQiw9e8wTaAB+ZoVykoY9LzxK08TaGi1yk3v
I1KvL0y4+2uqSiSgglCOgihRL53cyRKRW1hXVkPrPnbFh9qepludUgkWEn28g7KixcHcUwDaGPAd
uAPc3XoQL7YEXORE1y08+fykhamKX8/g5HRS0jMhwVFO2Dxhn/Yc0TyB+KCf7CLIo4p08amNDQil
IjWeZEcTCLxYl0DF7PrYD1nAIAQkpimvoO0X1xLHZRKkQjPOKX6tctppsPTtKMx23ijNj8mRK7C/
8Jim4jrnu/c2ymuKatsNtrjqZalZQTysWvfYxtc+ZTI/TAuF7gvFTN58LseupkJnQ1TR1hIy4c/0
Ripc94FTizI997oOsi3VxQWEXSNFieFjdDtp3YiSqDiYOb15OXT2AACUKMcy1EjiNU81cl36CyAT
gHiqoWLkisYkTtflP6OaZFQoiNseKTCuv6wxhCLGqNKYiII9jrbFdtJc88ywUveJaEHf3hYqW04W
S5JBgFqg7jeFTY9bThHqQpFO+plWZabaYBt17jtRzOd2A0OEo6wDYGgEdPB1yrX+rgDhK3a9grAL
lk9PP49lmV/pVTF90xJhfGP/jd0TYTOvvukS0DhjFKOE1eq+wEvXevZ1QwINxBskqbpx56W9ftvO
MNeAOwLyIO5GxcN2ESmh0wQTo2on9Iik76Qpgf4NRJzGO5cm/VehMqpemtvlau9wLIZ9jOqbmiG+
c4UwsslXOEbnXha9it394BUZ9BmrrfGz+y2W2YnYHCtAWN5+zLLBVaE5+OXHSPfmAcxTNg5nkc/n
E9JIZqFE6MWXZTut8IO2bCCv23ADnBB5pokTp3K+qE7m1TZCFNsEdt4TfEKqOzCLzhmiAiowkvCd
ssuVlzJgnkfZnDfaVidsAM3nODp8irpy1AYNR/RoKZumHXpRyFERBIyN0bEQ7dh6FBEYqQigMbuZ
zgpcH91aYGciiTZuaaGKF+lqjs2nBcmpP9aTsUk5Vgwbaue4r2TKV49dOBrNkGY6Nkbat3EbgFRj
mUfa2rcXUKbksOvBmE8nUV+zUjmFN2dkIINrPNcLnCaniqWAfCOiqtUB7pT1Ec2Xd4A9X5Kip0Fe
hvFTYnHDzRThYiA7NJzitMcjrkWdf1vSfK6ad4vRYqMuy05cL5jjP5utRAMU+e3M/mQhzQp7aUSN
x7XQ/G6EzFtcGm3PnS1oTpsNzUoNz1VhzMipLZRQdLTZOFhyKnmc0QRJOB4JnQxYjcYMykEFIL5z
bSLVe0sqqPUZLZ+wo3r0pEas9Xsz6hESKwpAJybePHWVzoRpw2RxEuQStWq0vTSy8sbRrNHbd7N0
AXqmuMYxbfm1OZ12QteTDwjpcn8DAtEvT2j/xgsmXXDjEOC6ceAVIxIPG31gVeu71EsfJ4/Q+DRM
ZESggSQ2RD8hKb61iRNtLdffmMvQqHw3GjpsyBl5Q63y6nSKMbcd1GJjlfT9ssRwGptWxecQN996
HnTOTwArSXu6EjW0ZUUULXXGAvY5lLLzsXEyHPbsVDBmGiNd7qFcucnEma5RBMPivMsM1tdNGRGz
mS9+5tMXWDTmZdOwAV5o7LOVl2i3ShhOd1Y6xHAdSHnIp3ApCHoeU2AAP9oi/61IU3d6vSKdfuu6
L387/1ZXL6vQ6x/7Z/EJHS2lQDy6PnIUE5nPX8Un6w/qz3SmKTA5Hl1aCht/1qF9IqeoLvn2Whhe
VaD/qj05f/hrzQl2EA0Jnwryb9Wgj2sZNnpsiibfq93r7zsq5nbzUPEleQcIOsaXuaS2u8kHJPp8
S/UbzbPjcy2XotbEUdpAAuwIa/0pzwpOvWFkbdsq8C42cUgeUgxdDN7m9w7PPy7imqgPeEK6fnQ/
ZmNy/EjVoUGfHgozlVstY2Px+kV+8dDoEAiKZmCjsfgdXYRpCY9LKQ/8GOxZotD3pB/Ja2iu0eXr
Vzp+ZrSmYRjQHUC1SN39uCGOjl4CU64PGcdgYtwhPrOI53Uf/ieX8ahn4ZfUUS28fDWDI/3GjZtD
Gg0YqhMQQDomxDfqGus/5HnZjOeFIwwpM2s/93Jcpct80JWztPeilPPJKAdUfVbvDEWY86sOs9W0
p797Vw41WupzVDkM/KBHdTqz96nfuNbecaIyGAC1Qozr3qpx/OquGNq03VeFnRBHLWGoLZIV1tpP
qU0hBeTKho6h3NianoYe5Kg33tTrl0NE9PJNFQDsQYsZezIcxE7PTBxxDcFFyTLaO+aR9vr1R/i9
h3/00mgD04m2eIRoxI/qRIvTO2Otqn0xy+pzDVfzoRkXUDZ2TpYG4iJjJjm89PIr5UxOHJrsJEgO
V2P3QY9ptISzLSak/lXh3jelgQDWRSCg7SEEShY1dLgf+rKFy4GyCeIpILPpCxgXoV13yjS5bN+3
xvb1ezoevZTaaQKgt0QO5DCAmaqfz0NsKSP22yOk516ccKTvyCLx7D1RYekbcpafX5bLRMf0zl7E
RY64/vVnM17EZlcvMAlWMTw7zYrdYOzm6Rv7Cvy9xP6q35yX1jvjMrg5kIAI5Dcvr1dAjO+buNtX
Kfa1RU4znAMloUWr/Pb1Z/jzvMSV1vRUPnqXhsrRZ6iyPnPisd0TpbEEfQW0qCC45I3K9C8uss7g
LH6sGKwHRy9qhMowZxEIUeXiWXJRTbGPNnav38kvvgb0qUghSQVAIHs8K5kWTZfRLffTUDdBrqgv
ZnEsSYsQ7Rsl119eiQtgBkeE7jnr7T77GgQdWUtT9T6DonaeUaCDiFg120Im1rvX7+lXD86kNcu/
+NCZcF9eiSO9qQyt3M+mhnfjO93cTcY3lvNf3Q49V1dQFmdlP3ZJpCJvdVBhewn8ciOF058kg8ES
Uo321X9wO2xNVhEfta3j25FlPLfRXOw1P51PAMymFBDLtwT7x20Qxg53gi6TszzD/bjU7wAIt/Eh
72vX/yKaYgY1OzYXsjSd95U5zV+NRjVv9JF+eUmO1GwgLATgx82xRI8F1YFsny9tEgDvAH8njXKP
9q3az/PQkLamlW91pdlq8fZfTunsRREmsh9lxfpJtuW64xDbHTQux8CjMjlSf+zrlMD6nsGG+zbn
+AwvH+GAj+b/3qJR/wAzUVSb2aqByLCT1S+bupLvZpkv8yZy6u7UUesB0/OyKvCYgvQNjPA1YhKt
KVx6Y/G2Sd4DI8xJ9KFq3QjPvYbha19yEO3Gq2yqp3RnUPjp3ztp5UGGa3Udb8rSDRy4IrMcKATn
U/IFEGClvzdTG08L1UPHDhy6jCAIjOwJHF7bA/HicW+7SKtvCT9rGggrvY4UOJd7fYFSuMGTqnOi
HnUwwi0PI3CNUp5a5gJzx/DGMt72ZTRtDT9X6YGwDu+yxoF771gzXGjAlkAAVR49gRjq7ROVEy1Q
QFOAgV7kCFsBgOGsqTCRw7/RYwqyqZvv4tiYcmzl+nzu1UNNf8GlzhPUlRqdMC5V2+7R0+FIbtrO
78CwuT0vBBKfgTxiZhJvs2mWkLE8IfCPu+gtSElOTRTdQibbyF3sTxS/OTlT5yifkn6Gocx0VgSR
NUQ3LXmk1PnSqNlh5s9bZPHK+GqjAdY2Re9M93pswHs1UKRQ4gJOvgE4OX/V5oZYnKjss2wzJiVZ
2XpWtGcwjaHIzbKmQBq11QDVfYazgCNpWFmbmiANEjvZ/H60nfGeovnwQGLpQiifHevOpl266RZM
T/0+aSLsIYNU+Jz3rdLmFM+8NIDDtKnwzqn5pBmgVjzci13X1gWIakpIiWHUJ52nODMvmNpOuqa9
dcjWivbezJqHLA4ocgsyRm6aiTCABE/3BIZAAsAyjLgLrKGyTgcvz+9m4S2fCSA0Ljyl4o/s+lW+
tbUs77fs8MW86YAK3cbOAJtQ4En+VAKdgt3Gip4G4zxwkmncTit3ZoagmQ9y6B9ITnGnUCVGkYYW
uNIvY5KJr1RUyWLwIwQ6AfwgepdZmTPES9EhxzakKp4wmDOt9QXhbSSCl8mXRcW1cUDlHqUfGm1F
Yy9EmtIBG4Ycw3nRZTdCltYQaJwlBw5uFsCgkSkFzpm+Qvo8Ui+pfmJ5uojJiow3ZHBwNoqrVoVj
ZCgV+vYKCcPDrYUjkqI7yy2BjkajCy+rVi3t9Lgb5mXnaVHzOZn8lIGkj/NJwpzWbxOcEQW0nFQ3
rhcaBXqYeE730TFoJO0dVXcRhqfCuyvakjxWoNKLvfMpoydbByTmHQ1I1YRWm4JnrmPdbgJBo4XA
OasoP+DZpLQ0+EZPt8YdbQWNJCkfczWnN0W6iH47SwY6IaBuiVXHKe2nYq6hFC/00fj3sulmOsWi
RXDOuwCvjz0ZD4yVM5WkoooenZ52cjAnWUpVdSB/Ytc4PQ6ZwiyyNXcmgcwMhVA9YvEc1K5JXWI7
u9mc0wBVUwcCOhGFvFNTYws/JCYAnmlAJm0WnUez5a4dkMSki2WQeI5msB9+rMD/LbtQdmHr+orc
Z/z6pXop9uHv/1Fvsbw/UJrg/rWpqTio//grP1R/pvEH2xSO7RbZ22zHV2PQn9UW0/zDRAdIKYaN
pulihf5XuYVoKAxDbDp86jBYvVzzd6Q+P7r3f62+yEWQWmBOXmU+yGtRrLzcm9lI/qFuOJ/6bhmd
26SdWtJO4jbL9O7cq0CTfmPodlkSQnDom+6zPUjNnLdxVBHRBgzLwG661NHO0ZVPT7ItS5KSWRH8
ZPFPepsaXxA1ljWYlxa9ncrcRak3gthOREbDphR8h9A32pEGYkomMhbPAU7mxcjU7IR9BB3/MlMp
hfBw1NJK5phJ9JoFrHWASZzEqvech5hi95zvwO8RD7gjIpxFfO9S+55ISCLqE+KqlThb+Cl0liuC
fBhwfuND5SaPBJg651aVxrtRzAWz8RKrNcpYW9vBuaPFeEWGaDZJiIO/0qdhsb7LU409g/iaVeh/
LmrRiZGFbE4NStOJXaU71yRVhp4rJy6MJ2hDWFrxxoIirhr8yTY9wMCtIUSEDV8ImkOvGS7aOqb1
yQI6tzROQVE3TxYdcEAqiyiTem29uO1DNi5J+/+4O5flxpHsDL8Kw5uZiTDVBMDrwhMhUtSdKpWo
quqpDQMSUQBIECBx4c3hCG/8EF57NQvvvPSu3sRP4i9BoZoJsiiVkO6SuyamY6qlOcjLycxz+c9/
buq2HYTwitRqMJ6tVyF89rMl4EIYIbUa2YjJrAmRc6O6bDYv6L3VHH9ZBVWf6iwo1VvJVSWa0A+q
vHACskq6x0NPnCz4NNBiqK9Jyc8v6EsCG8vS5kqksZI3u01EvrS9bFWTPttVSz6QDI6Nq1m5OoZe
euQnRo/8Jx28Z+M1vcb12XJwNUrsqC6C6uX4dGyvFwwPNr85HcIjIJBnHmmrYS2mrhHOtzD0umMU
eHriJQ5ZnXhOMPByUokg8HY0ftEeGH6jMxsERrODwQGDiD+ms8hlDZPxE3iJSrNdpU4J6EhNm8ZQ
2K4nQGWcARzCoFbobugH9fGS5E7cZDH9BWBXGGPWTFjDpAHSOifT/ImMc7VBP6q4QZHC2JjX2pCk
67XlCezXThJAUT2D7HviDewZebyqN5+RedKTJvSaY5cck94sQzI3ngTucDEwnMVZo+6DHb2Ya7Wl
YdokKAwyH4ENL/x8Vp4Su2itq8KGC6K1MaJP0mJAKUYcwlaceOtF0IEBz9BPEtuFIbkFX043XDfp
+KyNbAa1dgNsqqBao+EUGUYvhA6lNV2djUWOFp4+2PISrRYN4dHmyVlTbBm3cfxINxHgIge+WNVJ
WmkYXrec2OVHtJZlXFQiH4ql1QjjrtxcxO9CB6blju5QIEV/XIIqXeraohZNFI3p31rGYhZ1g0Qf
nC3KZMtOANnEn/1JvdJvDNbVz5CNNz5iR07oXbU0fBrOYEaci4TIgsIfJ2m0I6hemoA5Kq0FtYR1
qBjX1RHK5k09Yle1UKf9UGsSGzSjBKPkXjZiAE90Aa4HF6QqAoGzX87vmnRI/dWrTR3CNyuHzPe0
ATK4A3UuqtJwsCpnVa4Y+k+svMU5+JlVcB2uy+vTxqLmNT9jhfPotiOAwst3FNg3444+tR3yZfpi
MoOjfdmM/Mu47tYhT1mMVsbJKNBrcT8gXOr1sMBErHqxDuh3Yk/9Whkmxzp0hVC+B5PRApJuAtHr
T/EY3+WuDMf4kn5As8UAAAVP+HqZtEMCtlVabXFMtXakhwO6sQ90QLrz9bRmn9HCHvsGLR1XKvOT
6qKihRdLlmNysqBzk9t1IciqX5XtcjW+oDHvLOoB3WqWrzi3TuNyUQ3I9p9QVLWE0pXuR3ValVTC
5roTg46m3RfEMIH9SPddZ/552RqEAcm0QTKFFCbQyp9gVx9R93niTUN3TgucMqHTqO1UG1PtgXBd
cz2+8Enm6/QFsY2Q7tytBRGZD+tKBAORPQkjwAmN6odFhWzPtQ0XtnGm1+chLcm8ZFmpT37VZxD6
d1rzsm+sJh1HW6+cSr9u8040q1d64oIwoUNF/GkU0c/3ep7oMGv7LgAkSIujAcT2HBgHkqg57fVC
jH16uRhwxdO0tUWGteHESevUsw1dYCWgJrmzJxF1soJi9X1Ti2qYUMkgoQHqpDxanrVW0wF93UeL
yc1gPqM1m0+BigmTjBOeTgD7+W294kxuqA2ku4hXF1WLNswc4LrdWgBvcSOawaazqNPUqDZbjCDl
oBaQznVAf0g0Ot74Zm5oax7TqBa7SRu8tv4ujrzB6mwGeeTiLFo5g9tB4JKxBUeyWF0E1bASdCr1
eGZF9fr0V8Aha0ivAJ715mAkejZvk1CNSuVyYk9qHqlcmkhBGzSg97WzoAXzBVgJXs+Ad1c/wdS2
p6dEsOr2qZN4dY8Cz+mcwus1lL5mOZhMh3aLYqpeOdShNR8l/hT611GrTiG6gOO38dJxlDw7os5K
H1Qrl4tVMApPXLqbJAEB2Iiqq8igKIpcbAAZO0FOWOvtRbNGFJrCgCu6ptMokBj24jOJJXLay7Dl
eKcDfxq2RFcNbGIHdv5KB7Jrur6Tzx5fVuHqXIJPwhOC/b0+Px/HrWhxao+mtc9LoH1loGgANOCq
bmgxXOVBOaSvAO7j+g7CeqfeIaRnnM0TOuZeolBwBs5ayzomdLio95uV2dSlF33FGdYHnmh7ksSC
6nzgN0+mIT3mTo3pdB7eJP4AymFjcOfN6FDQadGk+oYuPU140Gl0Yk6SaHq/KEf1Znc5r9OfsF3X
Xd/ozWo2Oubavrb6sKo7ZedkGgEIOR9Euv4O/hxqiaIZxFrQso7X5FdivNkOxofznpvEgDge7Ms5
MDXXqrHLLOhkZOi/zmO4vD5AyNxKzsr1UeB3wnLL0S9pjzmvnPmNOW48ULs1dxAgJHKy1VlN68b1
yWxafr+sTQ2IUX1qjRadetzQR51FpbXuDUJXf3BmS7s/M6oBKW1Hq0BD5pC0cD2o5TtBMJsk3RVr
fafPDXybwSJsiIfPCe/rC60yDAErzNuhYzfY14qxfvSWqPtpozaZwMIdeUANnIbfMMdLglBEMBz6
hBOMNK4qcW3MDkcrn84dWDGLLuQP+kVtwkLQnLQKA+PIrc57jq1FDvs2rXwI4ViktjxoYVTYI3h2
T8rrqQbxOp1ubGiZI5frOPYY/Ehbzx6gKaSR5oC+AmZLC+JL4O3Op/LcD+7oCErnBXrGVSHkngbz
HsUYDYiYGzFmVrVl12koFMez+MTnhb2IRpXJlzltp64j6NG/RCD9fk0w/aZnq7lRO6OzIu10Qrpb
zMAD2qF+EZfnFWuRzOtae0lW5mPFXURfnForGHyahSNjzMs2ndBMg4Z/+t+Wnj6Z31NjPm74xF4S
v0FDplCrnJQ9fAXjmbi2HIATLkDDwEURdZqUtxFulF0AGv7VXGrPSdzPdNHDBnST1w20SvSeSJHg
5J3NQ+1Hv0nBJF4H6WeSVRQ15GLpZAxqc1qi04tZG8PCZkybZ+txeQnx5JKmSYLTecshu904NNtV
QnhZW0FG5sj3SLPQi1d8kMSfPMdaGXCTh6pDGWS/r/PedljjpKuN1q2uXY7pxL2kK6me+K2ugY34
QwHw9OsNUdMAk6vIN6clpFuh9vV4toodTbSTopdot1Wn9/hS94eHpygHwMVHIGTQiEiLHEUNp1Oe
4iie+s6Sy7xdnlfrnemqPoOZkhBz1x7PA/M136qDEBAkOSRe5G8NtFFkh64g+cHoOont8uTTbNGq
XCfhKImeySLloPmbiVEuA0EBcWJytWLiW6sHvTpkUMtpHZ+G26e+avjYrVRinYczkLeT2Ft0p1jd
J7PlaHYJwqn5UCZ12HWMGQbnVLSpXzSrn5Z09DbB7dH0lbTrcyl4OcXxNEYyatS4swWcKHmMc9sG
ibZg8UdBM+gmEBucE7YbnKbL/v8owvI0VFEL2fVjN169T6xwdWfRyD2mnfemREb8NGVDuw9e90uH
BZWs9Mv3q6n1T//wCDApFiOw3UCKwVBguaXT34aUjveQBM9kWskQ0Y2jVpMjxQsjsC/8YVNpR2c/
/Vj09iagQyytDmRF/OFSIUi0tUTfW4TD89us5uHfOTSDzfKkZWr1zZBy2/IDa1DWqnQwh86am1qa
vU6hmkD9UHb+1madloBK0bp0H35o1sYRTkuDpKWx2Vou062tN4yjlgGBNrSGG83YqNpb2vlKUe0v
Q1pOqhaEDCHG7cnrNfrWE5PkIX17O1901oZ2JJL7IHzIU6d/pLmXG0eCbgEb6+mn4k54W2eeDHg6
pNef+daRuNBAH4gaRvEHgVvKz7XIH7issh+/OTWobzbl9Sug148INELOJ+Bh6R9pBfTWEcWJmigi
2ywQB+RtKQFAooJKUNaaR8CSqoLLLz95sDbNqiZs6Lc1a00gjApd/NoRNac4QrnHjiQOJAxGSjiY
qsPbO/WC+6XQ1In2AQwmEUQ5+kar5TevxoPf4FaAHeLbj9/W9lNNX3gNePfBXQFFIbW+e/Cpzsdb
xn8jq5P+eXsH3yh6BMrcfXjLGlffZo6iwcnW9W/UjiidBc8HSDz9Q27yjemBUVQPsO+aVKALBk5p
7iRfgcoBc39aGYHKeltzbxbd/uZRBZMXprzMwpF3X7SrQfd5+Dabzz/f2hIU9vvKunEEAlNrNNHx
9I98E+q4RC2odIG0vrW5UxGXDun1po92BBQZPmcjc2rluRsgEwTpFPzfm6X5gSV4gXv0LYTQcVxv
mAYPXCvaF2P43i9kbvPuz59c5tQv5hn7jT4+/VURTdh8/bfowl+l4ELq2G/9UAQ7tv4q/W6088tP
k9/+1va/kqa6dw7ZvzynxscMH51V+n9ZPc3qxpwQseiYvim3pxLPwW+D3AmXfLMYDkk9Cy3L96C4
ykSJJRS0lUUF96yl+xhkcoRUVCv7697wzovG2zcpaCzdilooK2Xm6gGft3jCMtGpCohSnKIT+OC7
sTUs9WMzznVCEJzNRaV3EBCaXul4YoXuo5kJTEdPp2Rsj+9+Idq6BQ5tbccM3YcHS0YvAQeHfaXJ
TfKM/H0K/C3+tXsA5bjWj//8aThi/pB4wECYHYntQ3XgUP6cM9k2nRCFzBYz1XLMhu8u7Ut3Dqhr
wjZv5AipNRVH3VybqHPoTrcla4LzpeiAL8Kclok4f2GhUWhaEs+WJpi9C4sNzVkmJd0wnVewqNDL
IMzBBDXR36So2KtkYbpxJicdraiXKyr22nowffnKxAEuLvfdJKcGIlJRdLDvSTiEmZh0CURcrqjU
vpkM3dJxaD648uUrAmKFhdMXWpYq8q5FpT49SGLMpS5dznbeJVHtW/Qjn6woLrVNf5yJEitOrWH2
19e/3H+zJpZ0U9Iup7jUm6CE0v0pKuVtmBQNW3Q1zgLElvrJwxAWEt5p6ShW9YqKa/k+8R9KF5EY
v3TlC75LGEUVrNHxQ1LqJZGkkU/SFajlP991+927j92TfykJ5bFCFiyv/w3KqfCo4G2m9k20SBWN
UA9vzs+zP8BJNyovsj9IVfrMYsf2kO2U4BEb7JnfeQsOxvGXvCWaEvTJ2/Q05RcaMsc+d/djnDNw
gaPsbP8Pyo1y92saHS4y0i5MPTK7L4HA6s7h+7Fh3gRh7Ow18VMfNXcCfkz2ccKNZHq5dcB1KLi0
/SDZP+Y0Rp4/tT825nfiJMgjho4RBnmKIOn8RkwGouSdx/3HvnGLuWAH+a/QjaYGmIX/kvmlQ4FI
bMvqkvyGNHipg4XOmDlFJLsA0IqyTkouYC4mw3zo5Xzph9omhPmPe1xRYvYcJjL4KYE0+eqDD/VL
P9ezomAaxOZE3ioucUJDTZ3AGYQKpBAFCqnwIvZM2wmth0ySMDcatA0S/wHIQ2c0Ea1W8aFv7nDp
xoodK9x5cEVUmORQtWXA5F2hLEiEAJ+Z3897pTbXU1EvWX6p3sQr5OGbyIqnwOM59ocB7DnZfgot
I7Xx3c196fMm7mB5rKLBX1Gxbcuz3WSSCUot8EMn4IWjpe6GhU2DZudWuLZsypx9aUlE2wMFgzdz
wQuRuS0sNvFs4lnScAWrT1G5J5Y/MUPJ21HhllyEVt4hEbwVRUfbjeL804apWlhsZ209OvLaCqBJ
0dGeujuRZUF5UVisGQbWPo/p4Hv0wkNySiTr0coGmd4TCk70mfuArZaLY4hyzKJrcQZC04+sVSZJ
DLilwKk7s0LcalmsinUg2yCvrmCZKroInTAA1yldDVrarRjLMV69PmJxnvjcOdIigAsqPt6Lx53L
IYWNF12Hi9j05NEKjuyiUi+tMKdgKY1HYbEEVnrmSg4JaSpeoGsznue0QWROiw742o2dJG+aaLsu
YvKbI/HCO6cPZaY5zg/5kPH5QsHXLvd6bFEYbeWSFBD5FV+QZGlNHoIktDNZ4vbRqgqu+F7gDVkT
SW5NwbXWC3wzl5QUlflFVaMn7vZMTLoIAptdVOp33JSUubGw7CBcmPJdoeJpplgnl0pOOyEVHe0t
cZQk13OFXqjFl/gu4JWTDx5tmIrLFSfaygsWDQmKrkQ/vTVD15cy67CtKhA9zWUy8YIVSJ2bOHTh
MJMkTgdd1rK/vv5x7i+sofx46CoSeX14nNeb4EA2xs2QFWjbh7FIFkvGJXGi7DOvX4qnxNCV69vD
QHYbRYeVojr3EePqEb2jD590Y+gH4yMvfKK4kXmgLDuUFVqFV9O3wnxyr6FgtUnVWKXgC8aLlM3S
YDdTEKjYhIx75qM1zHt6KbNo8e28CuDsllab1nSAvhUYtl//TVz/+1yzBhBrUVch+jKRmTNg1ntu
Jj8xtCbyE3/AyNreZAxMuW93J/aFnItuzLZeiTsXYOD2v+oKpzHDJR74kULAk0izFZ3VWwzk2kDb
JLNYgZVy7NvYmJnGiqf52YuEpbGt4BBSrh3E0QJ45bZYgTQu+nK2sQGlR0K09SssNIEHcOhmgsQS
iLbERcV2HFMy0lQYJnfWNHnwyFzxXJJyKcGDZUsvjygzKjrwE2sSPAKG4TPPf0+BBnZA44aw5WYj
FxvwPJzheSXsQPYVBtG2WEHwXXR5vgFN0+y+/22NMsli+Aezhi805Drm1Cp9tMKhZN8ezLO+UPLJ
yCXKEEsaX1dg13bt1TTeXgZRWlh0ubuzxIwD7j2vdJZg7Et3iuAHLPyB0I1DWawKq7YbO7CJyde1
KJApOtx7jv2ZOckZ4qL1Q1HJZ+aDfAibCrbvzMk9A8/bqc+f7F1FAIVdfAE6X/8rtkrDP13MAzeU
Tl1Kj1B0fa8sfyVp7x6MTfLDsc5r9yFvFVBtXnwxrsEsxI70uODUKJDrPuRWQfB1Fl3bHpUcthk9
5oCtKp4RYupBHMvqoMRRNz1zId3BKRVD8ZXwckIVnOIeD+ljPs6r4O7tmQm3rytD82mWokIhhOR8
LFJT8cz1grW4f6mSyYYpnnxq4LK/vj7wdONi4mdiUqkqnoxUqvwSpbwHRVVtcw2X224UmYk0asHy
X1T63de/J36epkZFdvMOz0Su+4KGr/h4+9bq0bE8z5IsTjg+FYjeQAh34KRUHSsQLqKF+9qvF0z2
9g+21yoqnDxDHqqpokSmv5+cuuBo7yGozTZKnOqUHqjo+eh//Y+gdB9Mvv49RSDdhl//0390Zcgt
5fnZd19/KYGnd3OoTOKNCuSa/jp/QUOPVlzwB3vngKvIV7eTcAy+q3RqRvJuqsj9UpLq5mz6lKGh
qJZ0icMAqpdMAqhaii/y5x0fhCY8CsS6kwfzYSE9rSk/S9GF2MCwd8+3YOMrKpv26qV7jDmptg7o
dXHJxw8rS9q7Bv1tNKMCmRbs+ECi98DTk5wPsS8Y+/vEYSE+oPC2aCR2e/zPx5c33qNUL5sN4GDE
0qLthKx1Cq64ThDFZukuV64hmFeKqlzXK/VNb26Cws2EiZdFsI8VFX1GwMXieZV81d0Ck7yaPe+2
nwf+UCD8syGmBu7z2ZLnBd+wwKFpJ9KIIRLPPvT6t++W6MVEFvs8GnBbYbtP2Y/f6cCJkEKm7q8t
9Ga9f1MhmdXhJzE1HH+xCSNRMShniBU8N8dAEx5MdyQLrhVXnOOQ4kzZ51Lgh1NHanvm0IqcbIQb
czL72+sVvbcyBW47E5SKVTFgJ8lvmoLLTzRukp9FQSH7m9K+jrmDPMRDMJT3TIXd2A/d0jUFwNI1
oiJExwGXU2wqDFEuabt0Jf7RP77LFnVzUyvYuQvKRnwr503QQin70OsVGMny1mlpG+eCntulOZWv
Bk1F4fnVKqRTWP46w6wrvgwbuMtVkMtoaIaCJd6Y0HtkK1CMK7g0xs7ukig419emnAQEMVN8nQEU
mcHOEakpWGUAXGTkc7qswmQEVDt053J4CuZ4FWvhmav8mVaR+7uxpnJgCpax4sO9xVakYGAfqooe
6irkj3dMFU1FbcotNF/udEoSVDKhD1dzvjAn3AfraE65NrL5pxaApkA77h3TzYOYdV3Bub43R+7u
SuMfZ1N4/WNyb7oEiTM5GxtLxYiJIAmzMH/N6SpupA/rB2vPcqioHvjoWjF+kLQeKq66d1R7BvPS
RQwCZ1r6pdQl0R/EydPJ3P4czW4FfWRRE+/pg1eJb0YOQZtfStn/dPd9FOpeBT5GfwqYxlvtu28o
Nldh+/Tc4RAMbdeM4myNhM5ueL++v2jcIi+iiHtatb7jjili91m1b/9zQ7Oy/VGgntSyK4ji8lyZ
K5MNCl3vf/7136Ox+NtZuCLTywjOAStMzGzXpPuQoFPdUJGqvncBEJVJhMvZ3wYdDgzRvqCoNvYt
nIJxpu7RLyeuGazwl9zSewBpphRkprlTQ1eRDDwJxsOABbw3x7iRrhzcoDcJvA4KNu/KTNzQlaqA
NTqniw4Qxdft1ix7bvmRAttyFCWZvI2Pkn5DQeCVuhB7j2QFd9C1OY2dnFmzWZpnH66fF1j6xnJY
NLi0PQXxPh8GC78ymHscJg+St63ALId5xyXCmOba2mb4QKJwWz8UxBpB4iauJ4ddVRhgYrTEiaU7
UkUdq0CiwddIfFQSrcJB7pgr6sj2vZgqzJlOTjtqCu6Lk2BClk3mHVVhPGRy9+NMVXhvENbmeXBV
cKSRRRhCI5vICWkVwJBzGBylnBjtR7Kj+HqT/xI9zu0fTZ6Ly+2Zoci/5tFCKpDIotQrgrfXlKw+
TQX4+BYahDgQmSvJCqHHdvEV2TAOX9H/L0pv0xtr7so3iApTf/OV6+RRjqToSm4+6kXdoTlMh38f
PMCPlS1L6iuqKLq/x1fcrE8HvQyifZch7fmy775e8TcL9dGFpQMiaFFuJioLNrfCTqhBBVazLSB/
kVP66Ia2u/eSh9yw+Lw+9A9+QYEityl+zwGF6WZXfOQdkqREFzNBqUqpMP37pmwV0f0w+0YB9RH0
4V14m4CZJPIxVkF5s9FOTJjY+fp3z5qsshGLVamJ3pCFvTAxgZ7JF+TqZ0AWKmKYmwlsXoHSnzds
OH/JRi0mQSPr53Pg22Zz9/dNKacMiEXN/jeYUxZUY3kMoQpGATIwXwJvvCeeVKeiGar4Vr1OfXCz
CWXls+7kz9v3DTvlH3DfQ1vcGHLiVEUQrk3SJkeTo6J+vR2aaxlYJtptFb30OqQSpFC/inhZJ/CC
fGGSijBx9xFfQsY5qeh8cYrj8+iIqrJciZIKSOCp6Y2/W7uvwGo7SwBsSBEI4mvF9aJPtJVIv6Qa
mgoaOJF0I3wiPd9aU0F66dYK5RDg85fq84CyD2GSH6yu4oR8BGu/pruKtHEQpD63cT/vGdhHJ/wH
fBQ2TWMgWjcnorv35noV1pkKC7MN918+XKjCcBXXbbDXgVKBJOkEwuv885UFMta3/7LP/1ThDaaA
FcFxj4ksLuJ931HBVNYJgswmk7wUFXRlp+7I3VYaFSiFU9iYREeKrGFSypDjPoa78KmDvYdemOJ7
eguhG1vtwLNU4Gif5KcIIrHZIszwjcteoOOG0qaoeBgIQEoZ610e9CQHlH/+XTi3YN560tB0Dr3H
E4IAXvbvpElAKJ0pxevd6yvSaA+41pmk9E5SUdXTcUJwCMTu9zgqmgoi4BtrUeqY3h7aJRVcVDdu
rvxSRc3+R9MH+y6bEypiJDeUucpSVZxZscCfLbLkcq85aKEyZXm92t268SOxrb2PCyz8Cj5gTkmm
iSnsKeZXkyT28kWpCo4jj1RE8nY/eExFjcQmXHRueSRl/rF0HBGUjSiC3USaxYklLQYAopP4jmSn
0Byh+KbcB2NsU0lTdRWmxD2QRnm0KuCo9wlUiLnBKtDMT2yvu4m8nyYxSKFsXcXVS6+G7K+vP1w7
RqauAnLREdhAkbXJDm02UDHuGkHGRoNuDDW46SqAPFSQk37YbuhY6sGhGZbeJUCdsBf3mnENAS+p
0LioSRSM/iTP07f8RMdnT4eToo7P9myE+hwGP2z/dvcp5rvV3FUazA/9fMu92ddeRRL8NMwD8dud
Rkzb435+lhujS8SjvnWwzQZwqF7vzArIHklnUwV29y6JckBmXUVy+f7rf1M7vLK2jyTNc7K/fu8q
2V7JbId/n0KyfX1wsm1J9+r/XC/2zV219u/ri/PHm+W+NjxvbJbPbPbTPfno4X799X8BAAD//w==
</cx:binary>
              </cx:geoCache>
            </cx:geography>
          </cx:layoutPr>
          <cx:valueColors>
            <cx:minColor>
              <a:srgbClr val="C1F7F3"/>
            </cx:minColor>
            <cx:midColor>
              <a:srgbClr val="129087"/>
            </cx:midColor>
            <cx:maxColor>
              <a:srgbClr val="0F766E"/>
            </cx:maxColor>
          </cx:valueColors>
          <cx:valueColorPositions count="3"/>
        </cx:series>
      </cx:plotAreaRegion>
    </cx:plotArea>
  </cx:chart>
  <cx:spPr>
    <a:ln>
      <a:noFill/>
    </a:ln>
    <a:effectLst>
      <a:outerShdw blurRad="50800" dist="50800" dir="5400000" algn="ctr" rotWithShape="0">
        <a:srgbClr val="0F766E"/>
      </a:outerShdw>
    </a:effectLst>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treemap" uniqueId="{5D9A214D-1296-4517-86FA-B6CA90D4FAD0}">
          <cx:tx>
            <cx:txData>
              <cx:f>_xlchart.v1.12</cx:f>
              <cx:v>Sum of Market cap 2022 ($m)</cx:v>
            </cx:txData>
          </cx:tx>
          <cx:spPr>
            <a:ln>
              <a:noFill/>
            </a:ln>
          </cx:spPr>
          <cx:dataPt idx="0">
            <cx:spPr>
              <a:solidFill>
                <a:srgbClr val="0F766E"/>
              </a:solidFill>
            </cx:spPr>
          </cx:dataPt>
          <cx:dataPt idx="1">
            <cx:spPr>
              <a:solidFill>
                <a:srgbClr val="139188"/>
              </a:solidFill>
            </cx:spPr>
          </cx:dataPt>
          <cx:dataPt idx="2">
            <cx:spPr>
              <a:solidFill>
                <a:srgbClr val="16AA9F"/>
              </a:solidFill>
            </cx:spPr>
          </cx:dataPt>
          <cx:dataPt idx="3">
            <cx:spPr>
              <a:solidFill>
                <a:srgbClr val="19C1B5"/>
              </a:solidFill>
            </cx:spPr>
          </cx:dataPt>
          <cx:dataPt idx="4">
            <cx:spPr>
              <a:solidFill>
                <a:srgbClr val="1DE1D3"/>
              </a:solidFill>
            </cx:spPr>
          </cx:dataPt>
          <cx:dataPt idx="5">
            <cx:spPr>
              <a:solidFill>
                <a:srgbClr val="5FEBE1"/>
              </a:solidFill>
            </cx:spPr>
          </cx:dataPt>
          <cx:dataLabels>
            <cx:visibility seriesName="0" categoryName="1" value="1"/>
            <cx:separator>, </cx:separator>
          </cx:dataLabels>
          <cx:dataId val="0"/>
          <cx:layoutPr>
            <cx:parentLabelLayout val="overlapping"/>
          </cx:layoutPr>
        </cx:series>
      </cx:plotAreaRegion>
    </cx:plotArea>
  </cx:chart>
  <cx:spPr>
    <a:ln>
      <a:noFill/>
    </a:ln>
    <a:effectLst>
      <a:outerShdw blurRad="50800" dist="50800" dir="5400000" algn="ctr" rotWithShape="0">
        <a:srgbClr val="0F766E"/>
      </a:outerShdw>
    </a:effectLst>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_xlchart.v1.16</cx:f>
      </cx:strDim>
      <cx:numDim type="size">
        <cx:f>_xlchart.v1.18</cx:f>
      </cx:numDim>
    </cx:data>
  </cx:chartData>
  <cx:chart>
    <cx:plotArea>
      <cx:plotAreaRegion>
        <cx:series layoutId="treemap" uniqueId="{A2965A7B-7B5D-4E15-AE9D-99757990FDDE}">
          <cx:tx>
            <cx:txData>
              <cx:f>_xlchart.v1.17</cx:f>
              <cx:v>Sum of Revenue</cx:v>
            </cx:txData>
          </cx:tx>
          <cx:spPr>
            <a:solidFill>
              <a:srgbClr val="235733"/>
            </a:solidFill>
          </cx:spPr>
          <cx:dataPt idx="1">
            <cx:spPr>
              <a:solidFill>
                <a:srgbClr val="2D7142"/>
              </a:solidFill>
            </cx:spPr>
          </cx:dataPt>
          <cx:dataPt idx="2">
            <cx:spPr>
              <a:solidFill>
                <a:srgbClr val="36864F"/>
              </a:solidFill>
            </cx:spPr>
          </cx:dataPt>
          <cx:dataPt idx="3">
            <cx:spPr>
              <a:solidFill>
                <a:srgbClr val="46B067"/>
              </a:solidFill>
            </cx:spPr>
          </cx:dataPt>
          <cx:dataPt idx="4">
            <cx:spPr>
              <a:solidFill>
                <a:srgbClr val="76C88F"/>
              </a:solidFill>
            </cx:spPr>
          </cx:dataPt>
          <cx:dataPt idx="5">
            <cx:spPr>
              <a:solidFill>
                <a:srgbClr val="9AD6AD"/>
              </a:solidFill>
            </cx:spPr>
          </cx:dataPt>
          <cx:dataLabels pos="inEnd">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_xlchart.v5.20</cx:f>
        <cx:nf>_xlchart.v5.19</cx:nf>
      </cx:strDim>
      <cx:numDim type="colorVal">
        <cx:f>_xlchart.v5.22</cx:f>
        <cx:nf>_xlchart.v5.21</cx:nf>
      </cx:numDim>
    </cx:data>
  </cx:chartData>
  <cx:chart>
    <cx:plotArea>
      <cx:plotAreaRegion>
        <cx:plotSurface>
          <cx:spPr>
            <a:ln>
              <a:solidFill>
                <a:schemeClr val="accent1">
                  <a:shade val="15000"/>
                  <a:alpha val="0"/>
                </a:schemeClr>
              </a:solidFill>
            </a:ln>
          </cx:spPr>
        </cx:plotSurface>
        <cx:series layoutId="regionMap" uniqueId="{CF7A4EA6-D313-4619-A401-2503976E80D5}">
          <cx:tx>
            <cx:txData>
              <cx:f>_xlchart.v5.21</cx:f>
              <cx:v>Sum of Revenue</cx:v>
            </cx:txData>
          </cx:tx>
          <cx:spPr>
            <a:noFill/>
            <a:ln>
              <a:solidFill>
                <a:schemeClr val="tx1">
                  <a:lumMod val="95000"/>
                  <a:lumOff val="5000"/>
                </a:schemeClr>
              </a:solidFill>
            </a:ln>
          </cx:spPr>
          <cx:dataLabels>
            <cx:visibility seriesName="0" categoryName="1" value="0"/>
            <cx:separator>, </cx:separator>
          </cx:dataLabels>
          <cx:dataId val="0"/>
          <cx:layoutPr>
            <cx:regionLabelLayout val="showAll"/>
            <cx:geography cultureLanguage="en-US" cultureRegion="NG" attribution="Powered by Bing">
              <cx:geoCache provider="{E9337A44-BEBE-4D9F-B70C-5C5E7DAFC167}">
                <cx:binary>1HvZbtxItu2vFPx8qYo5GI2uA1wyMzVatiXLXfYLIUsqzgwyOPPrz6JS9rGyXPJx3wYuSg9KiEky
Iva819r65930j7vi4db9MpVF1f7jbvrtVdJ19T9+/bW9Sx7K2/aoTO+cbe0f3dGdLX+1f/yR3j38
eu9ux7SKf2WEil/vklvXPUyv/uufeFv8YC/s3W2X2upd/+Dmq4e2L7r2he+++9Uvt/dlWm3StnPp
XUd/e3W6efXLQ9Wl3fx+rh9+e/Xs+1e//Hr4lj+t+EuBTXX9PZ4V4oj7hmgmqHn88V/9Utgqfvra
o1QcKWm49on8surlbYknT+9vE/vl0vc28riN2/t799C2OMPj59fHnu15f6Q721fdKqUYAvvt1U2V
dg/3v1x3t91D++qXtLXh/obQrhu/uX486a/P5fxf/zy4gLMfXPlGFYeC+tFXf9LE5YeXBPBzmuDm
iEslhOTkLzShoAnJfe37ZP2hX9be6+PyYbi9v/1y7X+vkC/PHWhkPdrfUCPh/31JAj+pEX3EpFDK
UPMo8FXiz33DHCmqmaZfnOfL2nuNhLdF+od1VfpvaOXbZw80sx7xb6iZ04sv0vmebf6cZgQ5oohY
Pldi7yvmuWZ8c0SFr7j05dfv9xHzKXYVRVrZFGHlr+PoX4Svr08eaGU93t9QK+Gbl2Twc1rh/pEx
vpREsO/7C5FHUmhojX9Z9MlRbGHd7f2/kU3Cr08eqGM9199QHW+uvkjmP+Ak/MhwX8EN1FcneBa+
GDmS0qcEOvmy6l4fb9xDbKsv1763k+87x5fnDnSxHupvqIvdfzBgMf9IGimpeqqyzGHAYkfC11ww
n+9d58BDdnCQ9N/J7l8fPNDJeri/oU4uP75klT8XrgSDfxgmOH8KV5D5t/6h5ZHCN1LRpySjvqy9
95LLh/GXj9blX67+7/3kf5480Mp6vL+BVl7e4rcp9dmdP9maoCCWhEstuP7qE9/qx5gjspYA3Dzp
R3zRxF4/Bw3EX2/r+8Hs4PFnJ/l7dCfvL78I5Hum+XPOwuWRL5gx5Kn5IOy5s/jqiAvO1nL4a+7/
tuJ6/1BV6AMfHl7a0vcV8c2jB+6yHvBvqJeb9y8J4Sf1gq6Rca0Vk3u5H+iFUnqktM8YUwfh66a7
TV7ax/eVsX/qQA/rgf6GevjXf7BXFPpIUIpo5et9sYWS6ttgRR+LLSV8IuijotBLfusf/7ptE6BI
3b9Tdn377IFm1iP+HTVz+kU6/++RCwgXUoSRXD3hKoellznSnKE4M98vvf6Vtne2atN/ox7+5tFD
veCA/z/08tdY2FeQcHPb3W4f0cVv4LCXv30MFUA7Dx591lw/O+0X7Z7e//aKCeTtr5jl+opnjnGQ
hvc+8/W5h9u2++2Vp9SR0ZwruB+aHSoIYt34sH6FfHQkKUPeMlwCzPGBb1bWdclvrzQF4CY0Cgjm
UwZ0s7X9ep2ijeVMolKngHYM8J2vcO5bW8zojL5K4+nvX6q+fGvTqmt/e8VRRdb729ZdrivC942i
nGmFfoxhA/Xd7RWcHXfT/1PQzFV0zOWDT6OuN1tWi9orQlIP6fJByr7Ob4XnZLurmrmdxaZjk0ym
0LMR+RxXTlReaNmU6zOTyLnf5MarmpPRlEX7upBl7c2BzSdZf5Z5l012A1kVGQ9jrQV90JOd+6si
mXRx6/uyju54yRt1Gau0qXlQ0rTFVkQtXfkmoaQbq01cSJfXgR1lWV5QPTfYclyWdD5nJa+yP7x2
sHjmG5V+R0gIjs9kZAjqcAP006xoGyOwiG9lpGmZ9olK/IdotFXWnHSlKMRJIYbW6ZOljbt0DJe0
BtxWkChl0e7l5SmS5PP1teYIAoL7HJrCZp6vv2TcbxVR6X1Gc56nYWe55ElgDPOabOemMXbdxiVd
LJLAE95SV29HweeWhVQsauRnnUqqNg+sbbijl0b6Db57eZMMGeLbTfpC+j6DYSopfE4pOTCkhlfl
YrOK3fhdwpt619Vx3abHncf7Lgr47GBPKM5mQndRMnlRF6Jcm5smcHXj8lsvoVAineR6yTZ5m98W
JtPiJB2LCZeaebTqMmom3JUmvMVr5rhU7S73tOO72ncDb8N5rGo7b35wtAP942iGovmljIJmEIDu
nsu/m3Kqi97ONzwe8jEPOteo4WopltTedcTPWRXMnW2WD5pV3pAHpWdp6U4mVRbxvF1KRbt4Z7jX
jzfwCwdxjDrjtDrjwwKbrVLPTMOxGIsaX7V9qnBqVo/QUWfKBAumXUTwFzyMQhRlLCCKrtOJ14Wy
6LNlDBLDMvy1l0+cTja/fVkICDjP1avQiArNpI+gQxAsnsuAjotQs2q890OprW52dkl1cckSfxry
EHEliasfWdT6ym9Cky8UanZJGEEIJEocuh3JbCRUPen3bU9hId3cdTCoZukgH5HVwsptNHp2agNV
8BkCL4aoym9LIQikNLqp6N5q1fpRtos64Q9XnVJsuHIojPLbqfQkrkxVqy6f1BY3YwVRToVfIfos
LVnVEefTqggvSyk+zJyZ4YrY0mInMs9h07nq1ij1srSF4X86vFbgWhgDxUXXMP9c3lx6rReTaX6f
JLMqoqDrc16H0Uii7FKxRbh52yRO1X5gGDNZEjjXpM0ZKXo+yaAuk8Y7d3HpiddRmWgeNqOd4juS
FuRkjHqhNrmubHEvsmJxV6VVJXjEhRbjGzFQMi0bP6uMrMNGcNH2u3GU/nDpmiSabKBKUtILThw1
m6pyhobZ1PUuCuzkN0sWJNXgxBTGUz7AGYbFjXMRTJ7MRLYzjPbiWhXdLOKQTLQf++PajAmNtnaO
4u60SzSBOPVSjMuCoAZTrE+nfI76oGnrTO0Go2O+kaU3Le9HZVn6oRdFHG246BgNZ6Aldg5U3LVm
Y1I25mEsi/hEM95tGkvG5TwyFSHHdKQJ28Ve6ydkW+e2FDezHOLcuzGWTNP7qZt499pru8q7IiLS
/b10SrmbRQ9xZYPaWpq078y0FPlxlCK37RYr/NIGJrecJaF2S9v4n2mZ+dV9wmo7TBuYytw8mL4b
RxLmxdjS7KSLqkb6mz4nslDHUenl6tJQ7eX58aBq1hbJQ+JXvIOUJ8p9J14v3A4w6YW6tk7eoa7s
FNlWlahrfdqbKE2Ki0pOeRNvsyHuxuFilFGcprtIlGMvr6KK8eZUZSKJ/R1sRfE8qIeFGBcWrZ+O
Jog9oZpuk0RuyebTMW69JD0e03JSNszNKBBghzrt5e/W65VsT2EcoxeFIy9bZJe+njK8pJu5P6k3
BdMaH93+opemBb4jhgsst9hWNJ+XvjFsOMuUq2N2QifP0zqcM5n3+niqMloWgRSDN48BkV6K48Rc
IqncTtGMkjrMZGJk/GYe67HWb7PIy8Zip3Pusfo072fjD29UxmVqgsaYGIFLu04m+QcdR5G3nAtR
tJCUNzcI2a8RtZtEnns8crq4oGmT0uJtlo2ZH23HDIEg3tqUcuwdIWvd0jx4BWFbEidz2mxInWfO
31Qd8WT1O4tZhfXKrDDmpo/9pgmd0hqSZX6fIoOEVCXrS7B/7oqgacxE2EYkLU4f1gmtuNplybhK
jBddjg/bJp13XZV6Dfli6GJfh2bsLAxgqdBjH3fGlbiv3h816eQC8TWZxg9ySRthtSKhA95B01U9
tBYJk/+ixbTKuRImQyXh9Z6DKrwq9xPx0DS+Uc3OpamPl4w+nXUTpn4iew8aFH3Tf+iyqk8ryMtL
Fnuc9Iug02s/0+uWU2i6Xq4VLAsrcHzVfI68aTUw5bxV83L2cK0w5SqaYaC4FSnWb0bsYUDngzM+
ncc5zpvPKLcSXJNTbdV1LkVkeChGM+P1tU4oZPFkPdHSGrxSZ956uKibH4XRw2pcyFqdQzlGLnL9
i7cyf81J6rzrJ1F7+9u/CHl/n8pmlr/WrC6xAVp5yfA5T1WduuO04jMO3bAF4xtBzHickmtOVGxN
IPeKssvQwdTabu5dfFpRM0cyoHkyzOqNKXsLKQ2sLHALq8H5uhA9QzSYICdzDHXHpWS4WOiYNJ/N
XoK2hgchru3PlLC0n5uwtpUa6cnc+wkeI3vV7s1DRXkB+SiR4omt1MV6+EnNCUQRU7cuk4hE4eJs
G6KTm8VLRd+d4aR8Fe/ekJZ+7rFLHHJ9C01di+eAPXBYV9sl69b3AvWWccEftuBW6K1HZJVnpwuT
eqqPYyIZnh7T3sKnTRbDKOt2hH7TQbPmM1VxBfNppV+uh3dDBHNt0cmsL2TD+iGG2MdHUZHVHcpF
rvuvehUn401fxEWc7qrYx3uThtOYn+TtrGl3zve2kmat6fTxk8hNNjhsZ0p5jpcgA1gsntVpjjw/
0GZR5AaVW+YPm7rxuioNSRtHWFxmCSj2TVfUUXdajE3DSQA1Jf2ptvHqzj3yK67lc68yf5ejWJzm
M27aYrInnbCkLMPCiKIcgqiNve6UGtrj/qRrWnygaJTFZdn0+D2Xo1afJBmp9IIGnVxxOeRdhEZg
dBlWp0lshw+qiiav3Ebzstr+aBDKs93EG4YI47uk6P1tUSLFltvJqyLTnkqDVDV9JGrKEG/iwto8
P3lqJrKuSFy265OisvXdLFqwFSd1lkAcx/zRZxrrFxBYG415tHzgiW/H7qbhYzKqk25/9MnELUTE
62nJcaI8Hlu5VQuhiHKdE6v46FSvVkOUWU0cbSgE4bf5CAnQnq3n7dKU4cPBwHF/k4Ln9YK0WJT6
ZATLKxO4JJ1V+ZrX1OEONdPVvwfZt7Ar4kvWBAuVhYt2fdW4iJ3GUbPgHcs0otYKIkD5pXfSSJGb
+TiiuVSfynLObRV2RVHM8rzM1epPnRhTtGBx7ncIlVxFM3JeOyPSZDt0/6vw+pRTyJf1fo5OLCuq
GI+7ucApP44ozyLvbIxa59JLw7O1Z7M90t1rnUdcde/E3JRztJ2izJuTnRprWbSbynpUiUDTyFef
RMwpjoNkaKD8xRMLTqWqck0bpYxWc3PMURjfXpJZZ1Gq85SkfDgbF1lG+l2+9KN37VBMt2K71I1R
nxBvYV/eWC+QQCbIeoaorjwE/6V0qwCLFPUqKmtT2rH+pMycNPSzmApVXCrV1HO0E8y2nffHmNJs
irbIaLyQQVvwvPFCv6DafTC+GPPuPYmbLI7DSM48ma5GjdqmuTdDOjTsYxv5rSPHLu+H0oQeW9r8
wyJ6JmzQIztMQ9BRalFTai1NT3tYeZkZFg646Okh0CNwiWnzdJK9Lps6WyAeDDDN67Eew01RDGv8
M3O8RhNU/6vzpm253lE9tjdRxtZrkhIPd8zxvN4Y8V7ijqGvuvX+IqrhyjGqxehy6WZabzM46uqV
ply/eTJZ1JSIREai1U+CFnWA+rSGUy8O3TQ7rgPKHPHf9omORxuMpBJQ9LxEhp2OTbV6eewtAtJv
gRLgQ6As606bhcC+BfGgYAK9YV95Cpzp09NC0hmktAam4l3vO7YqzRadB1lV9+Jdvg9YedGvb25A
xsMavKLx1j065YTYlHHZ2ChIGtV7130qa5y5G4HhDGcpi9cyLhET1tBDsW6rf3Q4z+bII0Ek+9XJ
a7aCTJtqnFab1NHC8jSQSVuV5TbJCnjjbi8QpvQa9HLMDOC9oqVedp4wXmh/+3J7ddDQG58jPsCC
GYKbokodNPRJp1Cc5jW7TqxV2LWO4wneMFqE2cYTqwcVQ75615A2695fXn7Fi75pbNfllRJKkj3n
rg7wJNdP1htbra6fQmOG8LTKX/rwpJeXAnr8fClBQE9iLQzu4bda2/pv4L3Rzxs/Qin5xUZIPlkb
NnUkxBtt9GrdRiWrUvs0g4atcAIqewqOL+/lOYQAAgj241OMCCqAobDzg5Y2GjibO7jetdGYjvqU
SrrW422LyYPtYlE6/0jOf14QlCCAA+UbBgbKHGAWeeIILUoSXTVThUQR58j4p3rO4XtPnv3yASl5
Ju31hFxoIjVlPqNE8IMFpyITcdUV6uopYozJ4sOIZsVnKXeTaP1hl9XR4t71I5+zTdlXazznDqHB
axeBRPSDHT23dOwIrZRvkLy0kRje9Ncdf6P/2RBv1DNvroq9U42o6+DjU59HiOupP6RQQSL6GZ5p
OJIDSgsvWTeS1bzpl3Bo0NnvZMmtJMGE0DKHCPUNbod/RPQynUEANuHoutVr6n2YffkQBziQJpzj
EECn11GHP0MhU5J6LHHcu1eeG7BwvOjVcApfrAG4coB1PuWSoAR6ed3nsoMisawB5AXuksFnDyGY
up+tth7372P0Fq0KBlIX7e+JiFgVB2OW9umbKsKMdhckiUX39QPdHbgulocbAGxkBnpjf0LcYjmk
HpkSfo/gDkcN5UiUvN2n9H0sTz1q6Wsk17m/zltCFkTtJC0glJcF8dyPVotmoAYxjIUAAmkcOm6n
UpLNeRXdRWappDu2TV1G89aLyhalwuy7tdB9eck/Hx6DxGuM9IkhGKE4sNtEJ1GRzcTdCzWCQNjN
VC0030k39jDf1Acy+Mn1kDoS4mMytWQenNkOqSX1+ANDoAdgHARg4M2PHADG0fmhF8UGtYOpO+9z
kjqNMnHqkrVuKyebYC68HzOxiDAt25nVwWSAkjeBTEnSX5c1Wsaw8qirrgHllghxjbSOXZVDWrWf
X5bZmrW+SSsaBC8Btikk1aCHMHz63Nf7MfIdaZbp87R3RgJQCcIi+wp3cnxtsVi+xvyqG+36kdZx
/7PColRpQLco1n2Ag2BNnm/Dbxha3FbZz1UhPdBDGYgRFM7DTDrUwTySoJTauAeiW2ayAtbn6tJR
eeJ72QqeNwmInJVUmtdyu0qXYjgXSNa2/AHGSg9tDLAqVxpFhc+g4T9VARMHWWCqhX9uI6ZQOWVd
Wxf9W9TEaV2FYzM32JynywHfWVTlwL38fJm967Guo9PWuCKLw3JZyHwOuLUCWFwZokBs9BIQ5pUq
TbyUaIXNBOSYedkMxB9FWoG35mmE0usHbkoPKBgchQKLMYpQjOpjoO8g/cAyq2aohvqTllauhde+
74mi3qCeoote67po3kfPfc3XP/ZaNfoKfDWNHUdWQG76sUOLwyjOAIkZOBKlDBXAn8win/K2jBJb
f6rRqblmy9vcF68ZTfh8zlv0dU1goqFYPpTJNM866BM3NkmIgD+qq7hZIu/ElSJbPjivB2bvgyWB
mUxiKAtznPdyVY9tuYEJzYMGtl+7LF8+LIVaKRuCHg5aSCF9KMhWZqVV9qSUX04TdMdlhuokaBcS
d/6mli1vd0r3q+7yaWVUNs3j8saPV9DOt4A5QamBl8TOUw8dWhF2tSxBLbSqAgFmBkeHa8Ht0l04
l0cuKIrSsTL04qicTmIB3u5j5VeR+DCQYe22tB+DDhoaNNv8B7ZxGMIhfU20RiEgVl6BHpgGj+Yq
pqYuPi0UKG0cTIzoug1Gm9nilPfNiEDxc9GIacQiMGYr4Y3cfbgiOrg2GUs+fuRLvxrj2Is1/D0B
b2po0GFHGV8QK0fWd238WiOwwE5f3sbKlD+LilyD1dFIXJIRBmry4OQLH/rGM6r8UIqq7HjQWbRv
D7ZJGkSjJG8runWRtunbofVXAKlOpAW45XdssAEgz7FAv8ni5rxA7309Aan156AdKRjAzvdIGjZy
mew5jIgkQQaqIK0DESm6OntCYId2SFBdnEZZ3q2eP6BSf4OBKF3PAc8dB/P38okP45rPkaDWgSr2
OMuOcYPnAThXUVKNTatv0KIS8OPSOTafs2FZ7VagyBInCR1XUnVCDYePuHskzT1VrybN+2xk0TXw
ttWkWZOi+z9Ja8bXENmAFqO7phhWbneRAEjmTTSWK11PZ0B1H5ymDdzo5SM916FE1EAVz4lEWMPE
mH9IPgJ5aTo2ecNl0uZrDFseobC6lVX/bvb8XmCc+OsMx9t9zvx2KuJ760mCwmf9UUodSFBPwKOY
T/rLJ+BjipMmC4hFb20D16bxT5GrksAvKSYX0RphyEcAyXmuMT5GMJchzS73wARg0rUe13mBzqhq
mxUyePmA6wv/p1QAQ2+QIwR6MMyjCHDaBw3wOC9T6haZn+jKc7kMdVlq/kk5tEw/asL+vBRU5yM3
YUATNMPh2cqIlXMfq/hkX7kOEvwYOgnWlD+sUw8SIN6OCQ2DinkdlTIK8+zP5ViRLomyqTZ3JMOg
wlNjxVS+goWOlyuhMPpDVYakFI7pQLsCPEBQLIS2YcerSd9kI0Eb/LK0n0ZEvhE4OgiIwGBw57Gq
x789PN8ZIQjqOk3aY7cwkrRbJqe1lenxzyq9/aNdKlTDoW1jsP4mKKMFPEbQybij5TlwJIwGxaHN
a3CSF0yAFSNvy0jGsT2ZgVpJexlNaU6nOYwY8tXHtmlKAPQuY6JqtmXRL6wLiSWqLTe+kyCBL/hE
LVdvzb4YyBVgcv4mqkraTK/zOBkMRnn6QaUUbF2GEZITQOA6LTeFl9UwkSfoTHt4LAnyPeAF7NhH
NFePDfYeBM8fpTkmJUMGAGmxAlTjwDzU0Jb5QLAr1kPcAP9Ury95W6wwo7dH3WpUVtAbqX26pEHe
diVdgqp1pko3qtZF1gdfyLgGgE4SPEFsj9ge0vII+S6Nv8JLuhnAeQL1zhXb1r7FkmUOvHs4Iwh1
aRwWU9kioGHSpMiKGw5A1vBLNXdG1KeZIt5KU7WDQy0w7xkCM84tbzZJ3pcYCAA3qDH/EmRJ59so
9Hobj6QMGo6pJvbWNKbW4zZulJDNezmbYbHvMQmzpkOgk4SpS9u1GG95n9aYg4g3sHP0IrvENZRm
YUkBh/4xgxRp/TOpppF9onKaO/8ShG5Uv6uMyXK2zarWI+BoENCmLsSIGQrxbWVn6HYzTmxxc0A8
cGZDCNCQSj+cxRyNF7lpu3YJUMuOKXge4zsUVWlC2mNBim78rEiZz8kmEoCCq6DUVel+r8AJen3g
7/P1U4xsUEzH6sIvgShkuyopFOuB7z4igBjJWBHMuerWMnNvGsUjTlnpIgeZ4Aza6ToYHFElRYSN
rcY2WJ6zYMy9wbxHR2P967oyXrErUxnLIInj8VrOqcw2czpGx6kY+ElK+HJaumk4Acdmr7RTLJyM
TC512hUE0wyDex/BqE9ELG0bwPuSz5mri99jktrNZGgElqTg3TFoGJCdrJLnfk0+2RzuWI21ulBj
Wm+0SBJol3hul+lJbDOb9m+WrOjIljW82/oz4QUsVpV3Sd1fMyrqcye8+Lwc2m4rWwxHoIuNTwbb
m01iRv+drpMGTUGd3qdtE22KpI6DWVTVRkamOfMXVu7mqEIJWdVS4NX+XIUiq/RuxCtPfTAFn91k
+2M0TdF9Y/LiOJ9osQSzyeQuyYi9rgWmRoIC5GEbeNzGN+O0+LeFV0mQTH35fvRZuiWsI2eCmCQN
rOfxCwECeee6FrPzmY7egdZOAXZ03NxTDCEBaac1vRpYlqS7eq68LW3L7qodBKgwhIJNO0/9GW/d
nAeyHP0w0iZK/N/TgZn5FO1Lf9cykdGt7esOAHxaJnMw4L8mH/xO6nLjRZ47Kw16mY2gXfZuGngO
BL+057LtaBNGfmJvSdbWF5MW5LxVdLXQSK4FWDyMZxOA1tdE58Mp5jK8szTnCdv4iH73dBx5FSyL
TxMQOrX3cayb8aHxvClkKV1u2zazDO1IjbHGZWlhuUlRFwHgFtdv6mXMpzPVx00cEFqnlzPVCMQA
+8Nh5AU/w5R1UZ+5qXE7VvfsXBblFGAG4YMc5zvSR9GloHCfoe27DUhvkgbxVA56I2fLt0J31WWd
CPdxrieghQS1cdwGfY4GKg91Gss68HoublHW2oCzojq2aPADRsru3USr/F2bzF0e5l0X3zTJ3Pzu
prpkQTP1UxhRV2dBhv2hXPPBBsPxpmQJxeSPbw1rkyKsliG7zcp6CTB+VH7Av6k2QPUG+s5gvOW0
Zs4Pe0eiM5FW4rb11XSRLdQNGIgRPRaNuiDqvQZcSR9fKN+zaVDQ3Nw6D8XWxgdymAUya5u3alT5
DoFeqdCkiz7pqE3eoslHYzgm7obZqj4e+okeZ/Wgbh2PbkYwODdLUy7+cVOLOciaMn6YIZDjpNN9
vwVAOV93zsgocKLBLGEedwFJhuFUmbw+boCQ0iDWrbkxVWc+86nm7zMX2c/DMiwPPQx8M2jLXgt0
JccEmWLTTE13DeTTC+RYDReea/NPC7HVMS9oBFgHgw6XyUwEctmEiESy1AdTKXN1otEHhHVbZce5
7N0NgCGO/Q/sjJKK7zLF249gjJu3pkrcCZ0Lc12WbjmP26zZThohFwRNmV5WgnRnrhfj26qN3Hvn
++KO5wOCA2vm4VLMJZwHbOsbyrv+fHJ6PE3HiVswin51HKlSbEDcYPIThJw5XTwXXURR4t4tzE9u
fJB6H5vF794j4ccncDb9eqFeBwBEpbvCRPICs5eUh11pio2/zBWHvbtqt8SefZtjOORtPNm6CdFW
kp0bs+Zj3fUiBu2zLBfOiP4cKEcO3qq072O+mBIxu5y2XOf+CcU0WjjUi3jjDzHHzIjz7r2IAcC6
mKVYUhPO5YQafKN7DFv4F7nkg+62BP/wVnRBYeroYvTq+C34v+LSE3P1oejcLZ6JMYKQ0g9tiQom
63V2OZkM2K2saXpmbM0+9V7Uj2GRjOQ1cIL+JmXD0BwnrOAiNAnV5yKyzt8ZUlbmrEz8eoMJQ7EE
AyYxN75ZSh1kS2eGoORRdWk99EPns9doyFqRsXMXjRkwgkQnR8fTSjTlGz4J752uTFqHanKJ3Sam
dlf/zd6Z7UaOY1v7iXSgeQAOzoWGCEfYDk+ZznTeEOkcRFGiRHESqaf/V1RVd1dWn+7Guf+BqgJc
aYcVIYrce61v7WT9YHkHGNHTWz6My9AGcs4gpxISBcfCKrU/+3KWhh6vpUfYVqtD3HjEp7Zs/Xge
IdfKqYkKVC5Nxg2x9/DxmGoSE/UftmJffLOEU34HrY9E7RahRLzVEGb0azbAl5DYR6TQWY7CqZ+h
SdxYnRfnLHbhzD7siSexrb1bw8qcY2x24alMwaoc18nPsqVWZealCvqRoX3vp0rWMiD9NDZBWrmX
IUHLXcc0nZ4WHwX7cYMFwpqwWOPwbquYm5tYgjC5LyZspy3Utb1d4LmeWayHBjGu8awD7xR7mHyQ
V3uCj38OHW/hIPLxKvGIOOMPWqes1K3PWT7FQD/UguehBHjXmMjHvEsjM9G7kYIbrPkMAKHZtVvn
OuF+f4G4w8abeUizpeu3bLsfB6gHLXODu0l6xPvbvAxpAX2Zyeg09lIAlDNZ4et4c/5DrmN9CbLK
FQ1nJFV1kY4JTGK4ya+RCOR3W6E0SaTw8XFZSJR0vaWxiRuUcDRYGlCj0LG2uqD5sw/SpUBhZko/
TA12Uo1vWMJgcMM3bEJrmXdUTKLO+jVyVTfyIipoJ2K3ZNl9FNjcfARmyMkNW8v0a2/tl32n/cee
ii99JTJWo03gL9tWsI6URB5DHB4hNolcAswq9tvJx9NFJoM5WCqrRqxiF3UBjVfUnGf8Rc5T3kqZ
+9qUQ4r91Wr+TfdkPxTLBMCsd+Qe7FsZNpFT29ruOGzSx0rR5KWA+iDbwcKFxHrAgqkhpm3fo0WM
T2KdVdmpoujv1DIvL2ZVuu+M6y05gWfoizrgrjrxha1tPK/TYVxJ9jKPYdRVmi63I8mC+3h06W0s
gNMtvQJWWaEtauOY2K+zKcxxd3E81WGBQ7gNK7uqTkT5coH4uOmTkBupK7WFrlnHnjVprqyoq4gT
CNBQU81J5XhznQd+8bITZKAJiMz1yEB+tRIP5VbvfpQXnPI4/Id8nNqBob7AJZBnnDrDwRRV3phZ
0Fc29NEXeMLuAJy8Oi5hxQ+FKNhjwELZWJ7Tz+HMP04MMlKPxu1QxIS9LVuslzpLluUtCYk8mzgh
ribSsbIZIOGeiYjxpvsQ7MXgbIMmPHlgaEvOdouGbyNNii8j6aPPY5RsdxZMYZuJdTklgBlegYXE
43VPc6JOWLje54QkqFuxOV4XYfotHa9Nup/59dR2sXpfbBkM3ZQPQPSAOSz5ac7mYWmUHJwGBbUv
sLGLjUVNMmEfqfNgYNn9JFT8TinVYx1PuIaaTQUtmxGv28CYxZqgXmQnnpu4aNHC20mi1hr7MxeL
/iTQtdFmFEkSfsHBu8m6CsrN3gR6zFstWHAzrFn88Uq0HqLdjqYefCAessyxd2NLgeMBnedhMQSc
/kKy5A5QmbwVHrhzLXuUNHdOGfE+xtoNjYIBbuvBTu6b1h7PCh5K9GlGwF//bsFT2RqsmO1mZpMz
NPweMP/gdhTz0Jx/pNCfyYEXVN+mHv1bHaAc0e1E1iDrgpXDMAh3m71qNU1vhbCuGaEzt1MYrOHF
bEX0Au6rrMCro4arc73R6bihqDpj95u3zq2UMpRyFUpP8MXBcknoFgWNIVcZz/MwE50UFvYkWGks
oialnLJ0tIfe5oB8+NiwEUWa7K5trG2IX4cYNXUyk/3zrMw8PsRLtKkWXQUZsaVV+bKLRkamn/wx
CGM2pw+5SUhZj9E6JF8naM7B3NigdIwcgHKNLrwf6ZIvVYNu26WiNjvlyjQFDtzMtxRkVTnVBlZQ
6tvZesLHW18SSDqNMmjAxONkoVoltYNHVJmDNGIdPvf9mC59u+FRAeCDlFAyy9q6dcn1oUetNp8M
NQH/qVblbNZRkPl87rIVFNgLCWNQQUcBhF/PrfRpELJHZsSI+5AGAPkNq40BnWJrJ/H2f/CgKkJ8
jorNvq0EddnnTGYxffkdIwjEFYXRU3U17eOIOHGLzOUVKgXJeuVo8Bzuxfc+JaHLjzBldjxva6Sq
4c2IjQa0nksIcAE6W8K2HEcEtmP9aigEhfJOo6B0l5BVoU8b0yuzjscd3BXuFo48trD3pDSz5W02
aePn28Tg7e01ZlbFsWqAYyecvCQ6E0Pe5VC5h+QcGrP6BYT8oFHjoHfo14MQJcN+HOilHcHH38eI
GaB0FxV2TF8NKKLK9DjognsvwAdYePxDA9jfTFva9bNLh6kTG1jwCtrBvJR3O0q/siPBlBPo5ZZU
wtRRulZpV/g9SY8g0virKM30MQD3ret4QSiuTg2enQ4cNP8eziOqLFhnVI7dkquKtlaCoHb1Hq/A
4vbc+N8sunM19PYRorG9AaEw3C0hSZoxzs09i7znnUg4YgS2AqIogumFVW4rTitKuKJOZuHT2s3b
OB+lDpGvcaXYZjj7dvwu9pCM2FpTTuoc56hpdbL7ZzUEm0OBEEwdKlB0iISJLDvKPNW8Jbx078FO
nBd11G9r9FyOw5i1GMk2f5Mh0MpaMYvWYN4Di25Esoh2KCekujE0G+33PnBXxQUVdTw3+0j7A/Jj
lgQHbuD1fTTxWs0NCdNl6VIfqptILcXbZKcUgmVB4n5pICgOGTrUwqsLL/PQtHGYGf0ZUC6A3loK
5D8a0MarRYEUxSDeIW5denTevE5X1OH3DiiYq7dkLLpizKdz0KsFPpjJ4Mwi9SE4oOLYG9WWc1YB
lgo0PcL0xI0pXB/UCVIfN6uYVtYYCGbvO1BarA1SPZkgXPA+d3HII+EePW52m1akrDoG6vdHAKwe
4iET/V2AbVh9QXO50aeCcXmtupJ4uEEFk59lWmTDO7bIxB8Tm7LnZUvIPQI8/fdeRvjky213CFIQ
A2Vk3wdXiyHcPpYuM4+bnCjeAuJ1sJkKvmA3LTiczjGrniPIh0VbsWU7RRAthnYDtf1pS1LkG7NR
pTdzyhiCMzJ7WUm/HHQ8h59zqaK6KpCQoXLaYe+p3deAJ/wFWc94aGOjLIiQaYa7Vg22sqc+l8hN
qHlHUKknm8PlVtMV2kU33Ii58PEB7BIIwDBB4LHtbWKx9QYwS4daiwLBl6RXK4qC2av7xAhz18eR
Ldsw60VxAKIrPmyu0MjD6RnvEpxq8SWVtOxrjgL8YQ2uFa8q03KuUVP7oc5HUsFZH9eBtjjQGTIB
kEsedw4FoN5zIfJutIh+tEnIh25fHX6mzxD0ANDMRWsT8XNTdO5iolyz6cy/Fdgt7K3TsxTttNry
WWVSG/y6LFvREAxQgXi83CcTiW9LOo0FAHbieS0jUt0GAY3f/TSMZxcI9YgUCWuQToi/wlI3M/yP
ovLNkCkmm2JLB9+azTNVT7LUpDN0KCfsvzKZblkU++yg8y17DQgV7gLlakwgBizc15Pg0dtQgcWt
ORDhywL2OeyKLfNoCqoYluhKwox3PGL0w5g5uTU4N1HVoT5vaSLX8vq55Q9bskGGTuKFXMqJJ59X
8L99bc30lii+fJZ6WWpE6aE9IuvTlFVvseQn+dYHW9ijtnJBE6DyuJcGbICC7vJl7k1wkgwPdSuH
sXjQRi9nna0wimUx3kEXKG4CEpavUIyHAsugz99FvCedS0P1bKWPT6NadNwwW27Xai3kgLpnSDyF
UuWNSuict3sVoHDiQ+WOcxbb6Rkp3qGVELdaiaWeNmuSmQ7lS3Q7+4UitbJFnynx7nNFdFQLZUJw
V9nY8XIiPxF4C9s0S/XHEuX+MUpJ9L4gG/k5xI9kdeDwwcEv/AzDvrx3wE+Pwmo8daX5iuicfhQm
9KQu9RJGeA72x6oPRlQ0UcqPOA/kjDZDJW1ZAJvGT99tayw/MYgdbenQqKzIOu+1o9HyGpRT+sJo
kvImhap/EmKOYNEhAzQmyTdvoP7LbhTQg+Q7DqiR2xZeLBCIz+hoFy6eZaqWNHvQjK7Y5VVZXql5
uSKXDVLCecZXeA1A4ZaH1APy9scthtEbt8kSAgI6hYZytp8QMfT6Ixncln3L5nQZb9hScp02JJWh
DtrSZukmsXmN4KzhtYHcZVU05GGLSEi0o2wsQz80csxl6E7GO6iYdR677JCm81Z+yef5ipmtYpzc
hH0so2HWos4DQdsGPu97oNYp6H8E5VDGg/f3yGjjoUHAMs2AQ1Cx/AjXwBeqhdGKCEmnxOZHCid1
6Edw7KIn13gj1uAKG6Rn/R6uTzYpNVqYIXG5lK9LuRHLWiCCJfo+8AaDYxfGFmWWVm2Y8xV1oUiM
Wt/NuNvI13gVMfhmW1KUZPUuKHaGG4KcNasaKNbXd5LmfVhNR9o7W6yfTNDvcVYPpBzxZ0hpFrm7
DbRCw3zLvCJT3riwKgt7+Pf23K+cH1xDMMAhrMMrbgcD9hr4/zMjCams1CHyqz/4Iq4Agv2dck6y
WYKKUAVNDUIJNnQBIrgDg0X3Hy7gV7v5egFARUHYYQoEXEKYQr9ewJB5AAz9UHwff78A/jt7zMdq
wooLFvhiv/u/f8xP+MPh/n0OwLdFIFvd0z8mu/79y//5sHD889v80X/8z/++jpn920/8z/3fJsr+
2+86/liuI43UX7/pejV/fy1czB9Xd52h8MsX/zTO4V8MbPh9QO2/+MNfpjn8Ms7iz9McMEYDFNjf
UYB/Gufw57mW/5jl8PtP/THMIcLI2ShBJjy8spDXEY5/G+YQYOjjf6UhoFs8RL9xLwC0/pjmgGle
YQQP9zpgBbl8uP1/H+iQYAREghfEDNsSlClo3f/LQIe/eOC/sRJRjBgEIOsQofX0utj+RPxqxEPF
aoy7zFsCHnLDSVgvCcJ4zVhs9ikPMn9mzs5jF4ajftNLaj+OqXIAKat5/fSnT+9/ASmiX5+tP8iN
6mr8A0ws4/yKrP3patLZi7Gixl7idY4u/bjPpDbFgobeWY1snN1S81ZYEQy15KVeG+D2OAoQ3StS
nJ7F/L3SOnzAa1AUttMUfQSiXEZHn2fkR4TkoPsPz2L8F17hN9YkL67IODISYRn/hf1IB0gTiLbo
C7Kxfd/mSPh+tClOjYMu/JKBY3QRa4cCPfBe5CiN/BgmR45zOIIktOjv1CkVNUMgshZS9IJuiNMQ
XpnMRnBFC6OPo4GyjAZHtTBFqldF11ukgTPXYd5Ffj9Iavl/YIL++TZgiwkL3IgcawMk66+3ofAB
GhjQyxdQitXr0pdRXKdjjKUhZuMeNyerF0Gi6fO/v/2/bmxXruWKnBUYY4e1iP9cL+tPdx9iV58K
1c+XudyjC7KO5gIDH+lRQl///W+6bpF/4it++01VCGgNoDgQ8fIv60zMyMqs0NYvsGvTrwi7y+lI
dOnjehS0C1fE8Jok9OXSwIjb+H9aNNdF8euvx0KJM4zowEBe7A5/+fUAbQYcIHBsinXMwLWa7OuI
mYnTEQFc1aEBWGof4tYft2ndYMaNS/EDCgKy05VP71wODaBJNgZ1n8Fh/wjVOE5aWnr/QwRWtGEA
26HJYMHJG0wS2s1/wIGif75RgKqwbQAHwpAHnIW/3qgwN9mcZSS4jwzhXwcUzn0dBaOeU0CSQAfP
Gx3Gd8Qt4bXuK2JpONSHBm1I8VMX+740nvYFSjBmfwwIM323maDF+d/fYlDvf/2UMQ8Ci+g6LxRJ
gKy4Ytp/Wk65LIcQycTknqVIsFRlqyu6H69J/eqgrTGIUq3hk+U+M0DyaQHhaj6qWIrjlApgnNPK
nwWm0ri6mLb+08b4cvIKhZXIVvERPlnZEmStGrMwNmDoRoLWiDA1XzYRKDRSqLl7UJSsRscPiCi2
lN/AT5meY9Y/9vDHXD2ZYr1osn7QMQ+SNrcxPsjBx9gbUrPvdbiV7G6iWflGQqi3NC+jux3lT9Vs
IUUVi0U3nIJSojnafLm30ZYF7c7cN6HgRRoEvdA5cl0ciFrNCVGE+MMKmA8zCIogGuqdjuS9wmgG
SJjzGnwxHD66gPx6QpJRnKK1mr4PVuR47hM+vgwVcUVtUTueJZGm8fgcUM3H1QP8AtehZl0PUeQi
200IvcCw2xBjb2xMScdVIqGKVg+UwChuEcjTNzhq4q1BHDdHbV9Mnx0P6W0sK/GSQZE6mooFMaJe
fP9a5ovsVOjYfrBj2R8CFNVfIa1vP4FAiawBsBSaeu5j2x+cZgsejm3rfG9NeZALoe2kE34z41sR
X0rlgg8aDnrNFGMBdJENaNeSub1O9USaRAczh2Azdv016PK0JVHaDkqClmFYSfqQ6K1SR5cU7i6H
gDARxHNWzXkNNwZm13dKaBzvb2oL3FU8qCS28uVb7DnTiYSWaYwIL3rUYIogTq37EfiUJuBQBqAI
LJ6WlxDo9Yn5JDGNwT0gMGTCCgIKhbfZzoTgPNTTuK0dYOU+bOSkI/JA1zAHWTD6YqOtd1Ol73Kl
E6yojSyR2hqDs/CQB5SRB4tHJ++btRTo+6MErPVhngZZ1Si6Ibl0Du5EE5AqqtAPEKQLAZsRZI9p
hdjAYZuKiXeKoCo4ZHPP96bcM+yYczzC1edUBhNwBd+rR6hhHDR8P5Q/A2OLIWzDJdaAb0pTXjI4
gOQ8J4UuMtbMTq27v1EhdjeYVT0tELxUdkfqXqp5OPgp5/4mVIqLJoshADSFy/x0lBi7EDS4rfGn
QPA9aiEHj7zFv2HwAHskAA2h5/kT47zip0RWeupGRPqed6MTmOuQ0qJbulFVzDDXYqqPRFoxv+Aw
Ts7obOLxYASuoFv01O9dGbkdDQnzYrvnJfiZLsCjIkFmReYsMbVranuS9KYtQGiKeigU6pMZM5n2
H2gyqxz+iYa3hAE0dD1F4ZDeoJIf8wbw0pq0wzKQdjdkRFe8SVFhQgXSIk2CWOEOIYLtwW1IpvQQ
CQKCoKBVIboIyYflRIdo67uxSimYZHxfHVWQL7B8esSt3DZA9IVfEXyR6Nc9stB4juJLtCMwMdSl
TYPkg58AVl9yUfmlndHX3mdmxpHUA3nED1QQ0ZMDxoVE8xuckJmeV8Sc3EFt2T7cYmKR/pCyOPua
OQJBtIyweBGdBufWqXwfcPEgu8ADJhjV1KA17AaMy3ibtg2VBeuZfUHbtr0LSRM4I1tPuhIRLXi0
JcHrZNOCgSmztNEF3lOSPimdRR8iDYeh3nLMZGk0xky4DuF8NtxIWHiw0gtolg9DUFSvc7heFydj
qzoWk6Lq0flUl024brg3dJtxYQuYi+gWJ1j1iuYaq5tjl5RtGVVuOWlVkfiRSVA1z3E5V+nJpWwz
99rpa/FJvXvMxiB33bJx/Opl2XeYAzHXO8CQ4vrmr5e+YX/CdUFYuqTZjHdhVmSrazou495Uo8Wj
I6Z+HJ5mTBOBaWpQFfT4M+ypsZ7pwxqlHlpHImiI2415ReaeBxS64RCaFTYhkp1J5+0Kjg5fw9TG
O8IGApPkWifrmb/CNqnOyPANZY2BHCPWBdznr9sMDwBeBvPPiXahuu1R5rLbRYArfilxWhzVHEaX
terXNyD8+Xod+jDE56XsK3OLjAY0Ky+LFeYmooNHEeNjvVr3/ts4jdmjMwqy7oq81fhpy3mvbmCX
8p8YOHDdQ4Z1oi36gDLpBtBo6iCQg/kUhIQf+CZ6yMcptjkvN/o8gHq8hSfFsjaLZYwk9JSlOI5o
XL1KZIH6bopnPCZ7QJLqlM5LtP7g2JD9uYywpDqQLlgjLIPBcoDlYjscMtt6G0kT5w2pJm1x0iY2
ROm9si+yAkYYeJTp573SMvoOrM0rDJmLCgtqJsZLOR5dYagNtPJJ4LZsTQDBBoN9rNX3zhcwE6xa
EQpQNymHqHGzb1fIEX602o9iGpflfs5dehdoCPYdXWdub3tMpqFNmSlOP6ASUd9D8KsgHYtB2Xqk
aoNMvNlyxSng15cJBv/wOVr2pLQ1YJzRfxQaLAVeDABQRzEXqD8HRGzvtA8Di2kgKh9PA2jvJ6cC
sh8lPPShG3aDRTrEmiWPbpz27MJzcTXqhQ3z+zSiIBA9qhvVbeAKgOSW83B1FAuOvUOpqYtc4mRr
JwA5xx1DnXCpqeuL1hOYEA0RsMU/QTqNPjAqsdZw0lWvWOtcPc7VjJyeiUWFeQicAnBw5g0Db7Yy
qsfRFh8zOPlbu4FtToFaTRjLtRJkqXC4Y0V3YkhwN9E4eHc3JHpc7gopaPIIKmXKT5g+Bb9pcC7o
70cZiK3lCvZejWrM6PtpIrh+iQkTB0XLkQJ7DcOTX1M89z4HvoxcBi3uf6tK/7+S8r+ONv2HJoJg
6nXE37+WUk5//6so/umH/lBSSgylxWAzdEtIhcFKvmoiv4/FDKoIw7WzHEH5Co045mb+oqRAeoE5
iJwEuj2kNP6hpGDOJsKeJfrzPEbEIY//L0oKRJtf+w3IgTF61ww9OBwmJKj/0r4O+YDxaJGiZ7dG
WD2bQPuPlFh+K9YCVQiEgLS9umkvYlzXqdZAT0kT2jJzba8wEPBGgiQhTblM+Xnfi5R0k112zBAJ
Q/cEH5anx4ihN38aMXfp04qRDxnorgQgiofYiU0iVtjCNl5i9AZI6rg2PNzTmgDcwcQc1IbIIcn9
tEe7TuuZLVW3IzEiO4vpGxQl80LOShFh4U8F63vFfPGthB3WatgSHSReMLB4/DXGJgJTz1oYmGl8
V8Watqri+f2G2QI1t+ZZTXFwKFSUAEqebAiEJI+GF8GYf3I01BdMi+LPnAVu7jDSM6ANK6885JyF
PVwTJp6nTNjj1R/tImBpN/2WV+dYSJQZtDy6IZZBTZdhQe2ZoXBSdMSHucVj1LqMrIdUF/GnqQIL
PiB99RLFLu8qmn7prQfmsXhModuT5NHETJ7sghmlNIofaQ5rI5tzzB3yQ147WMGPSRFgDsq8PWOI
Dpi5acJMHOEK+i0nsTimxZI0spjH24hzgDy5W+GuIBaOKOLQ3ysg25eNziC7tdnNXbh1a7wgeiEk
/8lsXqGTSf1BZUPZ9LJQz3FefcsIWdqIRKRBmY5oBKSemmb7pyoNgLkXfEaFkAHVQbi1QHX3wqRK
nhNXudsEkYHHQUGGFyMY9TihX7Ml31o0i7fTlaQAV8rgEZC0xhTA4Mkujr9McuTNPELniZMRLQU+
ERyE4xPofrBqbjQN6lH1cXQ7qVMVu4vHuJNWuCzuogxXGiCS2IaW9B/2sgh4PSFDYBo2LxVeljEJ
hV9Etwkak7MPzfcJ3//QY/zeU2FnHPvekeq5gHr+VMbgZDCWhpFa9Pt+QTmqEQS2wXEM3XLcAzM/
g2yOAZkZfYcuI731IPiETFAKY9nfLy7Z36yE8dsFWtNzymjUihQtfJ3AA27XcdyOhhG0jqu5zTFQ
CWm7/N7ifC7gYc4465aSoax3wU0yY5gHJkkJ2zp4aLUhmJSZ7/o1QJiAArMsBx8eCMhPi55MrfNn
vxn2CNPvIdDTa+QlRglO6XO0hlM3l+KbEkVx4mx5xfCauZ7gXHMkiQ4jDlzf8AHEN2Z5NvP1Tvnv
ICshwEZa1LsJP6WmgqfoK3IjNhvcb2VVdcSIvmVh+obNUD3EgrtDoOAZT2Of4fhS6WuaB1vjGOwb
TmQIfj/GYxWcC0KzGgNn32xB1s4UXB4xKSA+MXVGhvlOc3huq0YKYAZKTBTOv7wC9JnyljuGU38T
w2FEdgVOJ1PPqMynJ1Fm/cliKEvt9zE5YbyGe+Ju2o+zHmMoCQL1wOhQQ0h79jLZTuBpyAi6VG1P
WwqKBZrsTYBo5WVDmYF2o8aQvy18mVmQTlW7RjJmj8idJPwO01YuXJbvy4pBnnm+Vx9YAtgkjeex
puVAHn1SDg+YE/MVsw3TEwxRjHAaoq+5sBlSCDDWviiJtxxyKlpkOOLbfpr5ATIdlnTYT2Dq0qmb
gO4/emy7NXXY7yDKYf5JMfsvuwHmYgn2ZyhH+m7wzn+pvEMdxIdwfVmle5lD1MY9wMqHhdMUYnU1
GfHYZyQ6JSB5FErjtBD1lKHGVDtbTmCKyALlRU8tqu3qWbPip1jCreljFx02Wk6mzko0SnWQ67IW
gBwRF0oHDuaxQS4VkSZwOwEwNrofylgj9UFXh0d8FpiCa14pQsxReuPt/BsRRg3OlmD9NgYMMy9p
ygwmmNEtzh9GiZBTzTCQ82Y0JdvvXCrzJwdf+iWRBI/IuGHpnaS22WeFCW5nunMUwzAPsneN1T80
ERpN2kQBKVK0ZKJ4XqcAkQ4ShfK8xGGJbhGUiq7YDHR81ScAZf0DxotNL8jxA2bASJPiCDUKC7fa
N/omylShn0v5TQSz6muJOCSCbqUEYdF7nWKqo4R+VaSiyOt9M+RkRYnnI7EWvJfbgyeBrf0nGCEw
l7A9tnsNQvrRI0cYtpDhnUS5PAOMZxkmbNWp280ncEHr11WGwxvO5H6GbmbuVbLzB2Kz6idGaxhA
HBNJnjF2wH4KUCdfeFiciiiffnCe5N8zjECFDkiT1QBMslPXV+lwyuCzcuy2jUL94FsPEIEjK4JP
EXISLV+N9dndlKvpO8hORs7cgMyqMSVweyJrmr/iHKk6sMj9wXgfAzQtCkGaaMT8thMwSvdtHIYq
xWbUk9dqnO2jQ0YEq9LT4HFguRJ1nHD5xjwZL8kketAHGG9bNHHF91MFXux7qtfxGVzTywRFDaF3
mC6nMYKGAgUeDyugyvVhX5OVNGg/kGaO1UB45xHfvxdgP9+QU9l+IF2zfinT1B7mgAHvDvqqr2q3
+uAsI2YfZ0R0ZI10T/AtDb16QCsLFjIJSqBNhRfypsAAri9V72ZEzXZiTiLSydayga0eAA1nn1aw
xCmC9Il+ZukV3glcsl5yLaYTnrmBHU0cCo+cGrwpXHnVJYUM30ilSdrNAyYZtZENICtO6fAM3iw8
AhAqkMowMxjJMmVHbM+sxPQuy5tkjIs7v+n1HEEqgqefhq23YJomWCaQg8XeAMRKuzUEsZKzGDEt
Cl2gjpR4iozSrYJJeDcF1vC6IItuXcHECSYVGnj8fZ3ybZRMF/XQG3g/GBqwfB4xDGTudFp5BGiQ
m/6Ro4C6J+Em2iTO39OeVh8LOvOvwJaXQ0Kv/Ae2eALV0Y5L0GzViB0RQb/wNCDaf1/tafHFZnK6
EVT4von7bMfc6cQn78Um6a0GYv4KLBrUUMkTl9artKqelxjDyTAzTQGN+n/snddy5EbWdZ8IEwkP
3BbKG3o2m7zJINvAAwkP5NN/q1oz/0jU/FLM/dwoQiGxUAWTyHPO3msPGC8yO1kQqclmxF+XmO8o
lCxUSC5KcUf2927Y02TKwAO8DpoN5CYW08C9JDr8fpVvfg8bq0FFXnqxcQzqTH5Nw756XoAyd1u7
SubTAMthN2aoeta6pWmBsTg/ZHF+JyhKvzaVfxMv47pOyjFCTEzpOSBPw2l57/QhGlgf/2MMCzRd
Q1yxbr2CvWEAKGrXeGwsVm47Oh+hry1v5dQq/sLcB0E+UmSHBplhm0tkdqnYhUUc33S9pTeTpeXB
Ql2zA6/Ur7Wyi+0gxHA2jWTjDW35I8ks5vsQMf0fXsbwjU5nlaxzr2+fY9eXH55Ty+1YCzi5XE3d
RchJhktizfkhZpvVraR0EcqnbZw54KKd7LtCaF5RiPIPZSQFS4s9XWrZJC+FnIunFI3jTqQuQAtT
DudWYVHhBveCU94CvIsFe8RyirH9lQbc/bYZ9kEaogCrrDj/Ci7LbFeJnMYEoZGLBkopy9s0UutT
bpjqOHmOeeYXFliF0/Sb1GmPZbLv96VqEAKHdnVoChDKVq5f1DJPQ8RgqH2nrejfISM2ftDEbA//
q5L//xG3/y548Uh4f1Uk/zsg8PPf/EttIBAOIP/5lRBCSMO1EP5njWwKEqbgqOBzRzpyLZL/rTYw
URtYNtgEfKrwzyzmfXjEr/ERNjUyGQYh+gBghz4f8t/UyJ9LZHGNe71GysDQIa0i/AwSuO69BBxl
44QYr8nCLeKHYBm+tmPoVO0xEzzIzSoPgyDJdn4HSco92/QJcUOXYK/8fkX95qj4eJWF5valMpgk
YzNBYhqLDGVn0abdbsizfpa7PEjdND278TTyMLCaZXJg76E51jNq4KnR8Soe2EslZ5Z8hH343ihj
2EyyCcEkw0vlaDMnp2NnT0W6oPiTo3i1qvaKhOF5V8sjCzWYpU3gxJN/HyTzkIS3adpvJpSteIPL
AO96RB/9upUcWogaK+p3eYWM18xe/qfS+e02/7veUkjQ4F89Nud6SLv0vXr/vbbH/O2v/tVcCv6B
/xzkAg+P41/BZf/vwQkdHqlrYjR6nF+PFP/pnzId2/6HgN0HPCIAn4IE5N/NJTISA+5vNNvw9AVy
hv9KpmN/kpmAMWGXajumC6uL7tJnRUZKB3xAf9we3Er6wZq5pfkgkkZfaOerbd3ga8O06IuPzvDl
E4Oh9rCUlTwabUpXp7XGCCqcifjdq3YI50em0bAOV0GQG0+BKpGWJIriuRZ9GJlJNt+Cqx5+ZK1l
nuckLr5gVOg3WCtB2SalvNQC1fO6snx8TQ02NjMW7bTrMS/s66b0HgdkIn+DpmQh/L1mgjPgOB76
JE7DtQv4mVaVwY0b61FB92/N+c6jCbyLlyGMrL6//i6+9+9ukf+gRfqkcfh1PEbfSB4BQrLwXdUF
v1MPWIaJHCXP1WEyWuwlcfEB7meMkBumf3Oka1/wd2qQ65GgWyL3MlGHsQ5ff/nvjqQHz8Q07hWH
STbd2qJPtgoX19ihPE0fR6twdgsz24f/+ueh2/CF6XEzBeKah/77g2IU76ay6orD4CUY7o1re6gj
PcFdD7ML/OG/P5pLB5YuLDkdvAT+eLQ4DLA4gLZn4jnBLq7aUm+RiZrT7VCET399rM9Yzev5DH2e
VpREtGJ52/3xYHMeF0mZi/TQJHNhR3Yiu2IN46SGZoIYO1mS+XZoB/M8dfm4pwfaK6RUXvdf/2Za
wRCfaHuG/NP/dFnpBPtLOdjZoRnyMlnPUJ/XHjECT6FHkf83B/vzPeQK04T7GpCr4zifZWgtKgG7
b72Msknr+zpou3Vv8ASz+c8TVCtX7gWe4jz4m+P++SlBtuWBxgOLCxz3c+gKLsgpjZE8H0BI4YUc
uZqTPUxXEh8+qb++sJ+OhYSHz2c3QoOdVfBPwlsHZ40JHCs9pGYT47ZfYPEo0S7XoZn9/NfH+rTe
/jqWi2HcIchWgEj8dPGysoceCq7roBc9meta+uWxAIhtrv/6OFel1O+e/d+OYyMfhCd4vV2tP96r
gwcm3qvn9ICbALn0PKG8XOFPZ0gF2uIxSdOyZzbbA0bQwBjkRpRx8ttMCjktKWb/YaX7dO9cv4OJ
ING5TkiA6H++d0Zcb1gie77D2MVrZTJCXsWamZlEpXBE/Ycy0bOXv1nPf53CTz8d6Bs/HIwV79Dg
egl+t+yNsUebTfrpIaGV+NJmXnlEgL7cqKxKdq2tKhpMxPXQiFmYJZJlMyzjYfKq+Tsdl6b9psaw
POZgTvbMNsujpClxlDoz7v/6Cv2n7wl6ma0BG1eHKdEnhScoATnBQjT2Aq3Zx7IMDprvpgi5RIUH
t55+h/JXS0YQCVqQKb+IEXkK5jEpD0NeOydqZHmYcYvfhIbX+VtvTOqMkjbEZvjX3/XPd20APMu+
YpPZkfwJRMasuK/p4aSHMhQLCl4q+TyqOigyf32cPz+JDNK4ZL4P1owH5NMKC2CXk2J06aGean0P
kAM9bpXX7qnoHPfxr4/1eTnn9gywhUJIDuiZ0NP+dP6XoHM7Z85YzqE5rONAjmuAKUNU8KhsmcTE
kZqn5WQOs/9qlFW8w+be/82JJUb8+iT+8XaFlIeGAtU9F/rPyXetAuvUWHLvD1O7HK5e6GDVh7Ot
DvGg9L1BtM6Hm8g0StOBVteiEuy7OJ9bhlpYbU8dPvVjOAzLXT+G1sDkIFNt1ODLRBqZl/pSJJ08
JmljkRVmy5/jPBRfgqXQF120M7kvTes9+s2cH60ycE8jPlC16srJenCH3HsEyy3AoiAQTOhyDGuh
UuPJ8Cd9vyBIGrCYJeNtSRv8vWAq/6FxjF06A1vzKpwr+bMMDFcdsViXULNGJQmqM50OYFEyJCs6
adc9Qk07dVU1lvOe0MD8Ro6g/TzZtoIMKMfSwJ8knZ/F2DsM2lFZJhhksuQS2zzZjsvSYrZj+jEk
LN6gy9yfcU2LOIKyyJ9WOJbiaErDeNgymXF2TBPZDOHn7L4H/gCaKmv81wB3XfBQmxn3G09/nG/z
OuTwzBkMhkgolVZ0nvxX7Uh3Da0QSOT1bzu35mssWLI3TTp1QBTSwngKa3u58J4pvjSkxd3+Or3S
m/qNVSXiXtlNkh9r7RfJQZqxZx9B5iTAzshe2TQ6ydTG/7VaMcI4tb1mhUIaZrxVcNdozovZFBH6
c028g+LcLW6QdlErRPKEFNZ5AYpTGDTlRHV37TVW68zhc5DNJhc6mvGauVT6gSMUt6ls2yXehehl
ECjCPHzMYtt+DkjNslaGxbktsT5+oKawtmZbO++ZC4iW+VWHLV6mpb53ESL2UZ+3850Ym/k2XZwx
WZOomL4VHsLDGT0XYyvB+MO+3ocY9eUxAOsYo9MN+hQ+g8kGxixrva3g9g8rH2nTJSanS4LvSbtl
1SPUuy9dQ4joOhlY406mFZvxA5DMZJOmdcwNtoHxqd4TJIt7Rg3cvS4ykbuWfL+r75OKwXNr48lL
ck6YiJ3lEhtFdsyDYhNqI1/PrTPfAplstgxKTMbCut6gc3Gjxajb+7hP0oPAfH+aGEyDVy7gvlmd
uJh2pY8D4si97bvyKe79DbSC/L3xqvyycLSIjpx/W2p/R0AbGWZEotBvy+zXIOCxU7jMRI3b2cgH
G2k1VBCLmi8yvardog7DSgbvIo84q9YXLJy3Kc7LY2YCZCNIZjsNSX0MeUhWiTGoK/uOaKmSn1Xk
AWEIOQyIZcT8aHWAMnrXeWUWbF/iMr1tZ2Y+42jP63EJHGJfLJRwTfrsAerZLJ2yToVL8uYAj1H1
1bTLwxK0g4ZRlWjh4UTHH52GyQOApw96o+9qMLpNZpQ26hanWll6tA6GCL5C/JF4mm1VRMsc8FYb
wN6UtnNEVWQiKkhvEi+d1rnjPY2jPOGzir/2OAo3ibPMx6QoWYCd6x6ptJYbL7XtSw9S5d5Mi+5o
wG9ca+2dSVdZaHg4JVPJML8uInH3oxG52i9mzRyrwsXMEDG2s6NZO7W5Qibsn8mx4QvVBWYFjBSW
fna1Y2/nqZDDpgcLdupNs0HM6jqodzzWi9wXxTONmRgrtJgeMWCwf6i7q8qV0LLlkvuIsulG+1sn
74PvWUnrkkCS+ZBAO+Cg7KIvbSweAneaHvxpWTa2hhV1ff+4K+hFYxKlqinvOmTskc+TVhwceBHW
ysqZzLULe5E8mHkXVh7ueuGnLEUVeUSO5I3gx6FPHA6lz8D9ty7Z5m1DLZzdMI0O2ARllbed6L/4
hW5QcqcQm+AtMfCCjpate49e8dbNrPKE7zXfVhniOsHs4Iodjl/6LJ5w98/rHorSMZsGgWke6/Cb
nc2dXLkVUxvUIq1xqMgbOtoN+/aVNTF+0WPJjZmxd6BEKIz7AjHfplzg9tWBu4UTNr4OThX87MFq
E5VXmdaTVbr+yzzpEIGji/p2GfApozNhP1bNzR4UY3gzG42HkqBbImgkKjL6xt9TQYf7cEbPuFLm
0P5QQB3xfmfLsentC0wkcQllyzAcsP+ZmM2KLUzl7wa/CO+BYmD/lra0Kf6zxKFN0ZpPRmrQfcAb
ceSiho94uPWalzDQJ6I1nW+zFt09Nny6BsBj1kHdgHTzuAU8Ek1QNkMDm1B5bL2gH5ktpM5zvnT1
HXGA5MlKMwPD21gXzmC6tplANKM0dyPe5qMRVhcwxiKS2KDv4qZw927j22dwMh0meu0+Srcx12Uw
1btCYGkvdBe8D9dpCQsNovhuSu0IS2sLq1K6wS4ZK8Az1WTi+u4kkwox2zeDCOpboSXb/tCuvZXq
jKzaLLlRO6s0G4tdkVf+KwQxmjh1E59ITQzqtZROcViMcPnRU46fGaMN970DOQDtaDh2qBQr3ulO
OLVRVY/uDRW72gEJ8ikAzPpYmEvP09WrC46H4k55bn8bdDOUo6ZLQpjYwb7EdXtABWisRlDgp5qh
8yUjnGIHSK/8yKvGxxOuwuYFbmKz9bws/xm6JWon5av6gJqDXlJWtF/8Tr2VfPSmbWqniIhXs4qo
k3p8FwqFLYtAZxxikhVyXq6ij5qkAu6X6eEEUI1QrTrbcMVTCEfWt8kI1RoqJFAG7PHdporj5eKH
Q/3hA8s96jnDWBvyDmwSW+8Wd5FrJ8j7O1OMHVDHnDW7KXhrsAhgKeuj0bmac54xFlR+9w15eeAA
gKzm5GdC/F/Up3BveLD7ijKJDKOGzNzL7CrrJp3c4RkZx/jhtGnwGg8hQ7/qiqJET6KD61QK5bRf
RnREqr3hOcvRsjIkVqU3viy9md6IHB+xEYyFCbUuQyEw5RBy0M7eLNYC8qYg3sG2GslsuZihrDn9
vHegvF6cKS3WGAN4ZwDEX8gKGwaIeSxOCXiNrJn3ppz6o9mWClwF6UssZ4uOHwM7s5YIXc+AFRwb
BiMedkm5JFI3ijttPKVFKLZhXnPdeCnsID31R6XT4ZuiNqLCSIp1BaX1Z4Pn5g1wDrcyHSVxSXxl
Iau32nnvCVt+WVzLfidr0fhpecN0lsESP7mo4yOz5mNnZw6fzSodV9bgtm9SOUQkj6Q2IlJ9ZmMs
N730CDvLmwfP/hLH14GmZnmVheSmKr+QGCdWIjAe/HEGOORXGh1ysHW04UEdQWzj5GBWadLT7vRx
M5sVPv6AGnuFHLuOwjn9yAsrqaD4MzAcEmgnuKX3Fk7e7eBNP9A7hDtqeezvrRVuc7xsUV56R6sr
XRgEo7kq3WGLLDqOiOgwyC7idhbZDPHNLXeDNt81sze0a0Ows5aG5N8SA4PTp/Nj4xECag1BfMmq
8aehhL1qdAkRaYQCmNLY3cB0mI9puxT7UNAesOYRILhqyUNNevGR96B3qfF567AROjpDjRUZcwkq
6r47i37OzhB/dzlpdyubDVdEUQ0OaZpvJ/IBEIPM3t4lzRLU8RhQmgBmIBCQF0Qt72azI8SpyNQ2
6LsffWvUG2XUemd6ab0qm/CtXYxy2y7KO/WK3oGOxQGxMJJF4z31nC0GnIV9SnhTld2xNJrXqdS3
JMocSaJ8Vq28sOTSMCrS/uS1+mfWxF+YCz0Qs7tT7KaRkhXvoUgnpEQ0KX1gjKaLrFi3uCxCw3Sf
a6wrsP6sD7TubKyMmEU+sQ6Fh1U9tMQ2G9RpTvxpBVj6WzmGSCJKutor16AiiKdheNG2/obnhZzT
wdo2fkFC9xIu8YvAjggUpQ3yo9MqAHfLAjsntXem3oxN+hVyAfqFPjm7zbMIxuEJgDDq6y599O04
2ftM5aO2GYevhtUGm3ka+/1IDXMeABhiVABUZgSLOLp26n/1OqfapWUDgLdD3n8g85P26ATvBM1H
mMy7GnbThmFr7iBe8fQZNQ5I2aScH1zEg99x/yC2wLZJQ4cZWheInTVak33qgxJCKUkZ43xXICrn
86wmz94Xms4TjQuS3A9x2XNH+xPwgxVdTSeDPoOYdWt2cVKvcvZDe98efOOmH3qG7bCksiutiqap
102UnHkIj2Cw5GsQ5wAfpMcDyFEZMbiSqRxbEQopkkxryqKY235Y1ywv9JmuM40F2NYrkacGQKCG
GqO23FOW6vmm4R33JWjkcjEclyo59Y0NnAxP3GSwZcdNHy6UHQOkRzV15MRX5rU6MSEq/ci0Nd1m
3sJs28z11ozb/Jjkk3yNS4Mmd+z45oPZuf3GQyOg6HeN4qOuJ8+99Ml4LXnDHiJi4qoOpe3I1qEw
AA8r024P7O35aMOrjE1SU6CvXRI3t5hbqa8mr3/zitJap+RD+isnUXduq6PcHCusH0h1Na/8g0W0
VJR2tjzaiUtToKPIDwb4Fb8mNb+ONyrHACTntQfp2cxsciQJ2FnLr7/+lzAorQfhUfbXfhbumN3q
PeIC9d6VqIUjwFR0CQJIn5Nm22NQbDLr0ZX3GOacTFQLMIbIjNz+ahSrYmaMMtfXWGH6xkWZKoLq
0iTcGWQ2AbWc8iP6x2rnlW73Uqc9PyDN+ETWEX3f0Xi5c9PC/FoOgqsOb4/vjEX40LrVfJfP7He1
kYi9zgcNPGhZergM/C7ASfJJuZR9zZU4AQ4ra8h/v3q7h6Hw8RPkVx5oqumK0LxkMRgwC0mBvBIT
utsccinKkvtfaOMc1rF6p/mX4rjJ6CgG+oTvrrNWJj44WjKNRNxYxRosD1o251w0vbhxsUue6kwz
IdMuzSup8+Ov+86AGLIdM66ArZF0IvzV90lPTgcQMeP6/RIlfxoV3bWVQZl1XwzXc1IMTNlM/pVr
Nd9AaOS00aSMHFPpi1VhLq2vrTi4afriI2q8JbQ6WNd1qreewx3QO4LPDsfrBxaZ9xhboYFyGXaP
Kmr6+b4K1nPli6+l4E/yymkPmMz4r3XP2TK9mRvWtP3lMvJBm0XDtl03kyG+JqbrZOu8z8Nd2nHf
Jwjqz6ZPnxVVBwW/aVjypzYdmkoZd5Ot+VCUsPU7rUQIgLzOx2cCFcxzaE7yOCayfpeJmBFmJjw6
RsIjzJic2STsOQiDZv2eM7w/QCA17NXSjYUYIYZL84HigF9YWdhgVhJIGztgOVU7LC7WmbqlfenD
6+ktRZEfBwCfl7GrrQcCIDN2Wnxxq8uT76Uu1TtiMA6Nt2g8FnD3Dj0tV6S6gdG9a9ROsaAj1zf8
XQgk58Ti+zG43RglJkRq1atvlQhCSMIy2HVjK4+i5+r0veRhn5mVSpKg6VhU4a6HXYkL31suNi3w
iypH+dpiZcFz6mnzVMBWuq2I9Ty6hc0376l83HXFcrgT6C1AhrdcYqTEGHYB059d5dJScJHJRXnQ
UxNO4cBd4mvxcRUwvDOKBOXJLJZnum5dCUy28BAgsT6GDmcKq5HxpCkIfvoSJ84q7K/3YCsW7jxX
yWOKtB73nb3oveEP4HAxH6VR4CXjj8CjTo4oMOavXZ3Ob/MYMIXq2JCTictLZpOwreDNiPjsDN+q
ukmmfniCjBV8V6Mjf6b1HB5HF03pCkE+we/p1GwX11/iFR4epPRhI18zz3WhR7WoRtd+TYN7Xai0
Xn5rP//PRPN3Qgfu8b8UOhy+vyf1H0QOv/3Fv9RBJkIfmAPoCOiYgJD5nTrI9P9h2TYLgYWYwafh
/y8SCaohBm5CWB79d+eX6+af2iDHRBuEaEgwjSc+Cnvhf6MNQmbxxw47AgtBEgdzxABHNVSET43+
3JQNvFzp3biJQ9knWS1O8M4WawPCgzvtGkNU5nZ1BOvjFY86VS5bQcv/kdTU2w4p7uzCa/sJ5ML8
kvtGekLRNANXI/sYY0HlXYW3ugsxLth66R+MgpweINPTxOataqRB45s4vPLEZqbbjWORZTc+EFpQ
cE0RbFMgZgeC7GwaPwNCxcWM11VZOJjZ6ZPgv7VIVQiHewrfHm2vmOS5sJU6dwOO58Ubm6MVttN3
mq1vTknzyYEohgO29ne06tVby8g6ctzSO4D7frdB//F7g2Rhx2uh19RMrfcCbPqWC2XcIJCXM1XM
uE2YBrX0nkIrHkGe8ZIsxy3N32tPMZ2yWyNJrBcoJGdnsNWavZGKOgIbHpYO6lg/NBVQKfFSEHn/
PCMfvZ2r+WriDF/mGY7wKEgJscfy3smMZu8MrXXTwh4/DIgTKG3QV5UjQDyw0OmFCvc97BtoCqpS
G1d5+akBSrQramP86HJfHogwt3lxmQimr1t2nQXmD5spLOQzHAz70Ep/DIPVbsIpnb+6ZkD3O04z
WGs08CK6psGbZQ35xvWzKx2sfinT8oX8yfRCgBawhGQaX2UPOhXeJwDEPAWCoXDNrIj4RdFKajZI
dzsNy0dfz47HXiJRh+sd+dyMnbcNTOzNtD8Lcm6soUlXie/3fHtY+zSTRnsnRttbeBkjgoTuZsYP
DjLpu2Xp9K2cEhEl2mnOiW1h9krF7HIUu95ctQE7jGFoKkA8pI8TUu+zW6rlnBD0ebFCK9t66DPv
ppYEAIZ1kGQDp6hWpsAEM+SG+hmyfR9YdR1zV/rZdG61TPezW3XnXga6Xs3eFH8HSW5EBYiDfWL2
IF2XQfknU4Vs3wFzCuzHi1h5baih2FaWqKLGIy0+Drrhiz3TwCN+BLRgfo2HZH/GHt8i1wXAs+VG
OaV9tqK/G57GEi8InEFnAOPKQG4bTjgvG76U33iKfdTSPWNnItxkhBfzsx7o0RPcEu79NPfOrUsq
pyYZ1AZMCxdDxt7Kbg0QJ+jbUV3jot36mQhf0pERAH6ek5JVegf1INkWsSs+Rs8stmQueN9gO2ua
OiUdWeap3m5qDRckXD99BXti3xm59NcU/+R3ww2KcTkxIqwnw+mjIJD1MYCcoLDHoOpdBkvf+S4W
XH2lZ3reTED7bFuHzsrbB8xT7i4opuGLS9LXfZpWpE5kMjeg3cYprVh7Ia2C/XgUhPwkSCcBke6w
WlAyTzhQ2nHBxTZmcEfIwEynQD+PczNDMmrMbeKKgEQPpsVt78hLAr/9jmhsLGBB+5RiKX8gbGPf
Vra+paE7RfUMcX3gsQaJbM0HJt7TPpi8+i4rLeI0aB6Ci1TB8giUWV3KbqRVi/76LRUmlSZAwhWz
y+kANjyRhwqZxSMlqBWFNRj4WYlLSX0lqnq6jyHgnZdMZRGLp7jpEMlHtVshvS5Tm0WhCdexPYmD
bszvbKK9G+U01cHCi3WA3uutUrMro7kiPvJ6kaG5wuAg6Yx5pILkt1h2/6jDZPlR4hCLtOEve9h5
zr1PbCKWXBPToW3TEDFTN9/5w0xjT7KQC0v3p5RB0XNVCGfbqCqOiCLyLmKujFVN+XYIY7D7EgXp
K8i9ZL9ghIkMWBib1ukXY52BGXjlJaj3CE2QLmeNsZqnxI4YiQw/MwkimUKzfugaz2SqUa6wZYp3
chlB5plFsbbwdu+CsaPpTB5D8mrpmLS+snjo6no4JqFXRXbbqpNVxP0d4af1dpoDfSfMNLztINU2
mAGl3jhAPnelU1PS2jPlfh6M6wFw3A+oMPSh/fkbIHq2iKyZ9CPzKYlazzXOieE0q1q50wsa8PRX
XfHg0eOHPFt7r/RreDZsT61h7qG0SvP5UiWDwYIVT6vJTZ03CpMKP3qT3piyqqCy1ub7RDTLeu71
swTUHFnTYu3d0VMl8T/Q09PUnNeKtiWSguKBJKADuwdCoFvbpMUrFi5wZbnh2k/H+0nl8Ysxu2WU
DSV+V69KiLPvlmplNPH0RcRewySs8Y9xkKhffMxwz7rJ3LgX5w7kyYPWw90Qs0VvClGciHQENs29
95RB5z9KNDA8EumuCs3q7Ok4OYT0+vIFt+E8kfezsm0ZR04VB/t09oYtoXzFprMH8rsCec5yle8A
BQ9IbbB5VFpAcFUlTrHBSrZDWQMy7NEsWXNBqEYgy3Pstizfk5zek1SonYEZ/qTHzv9m+kXx0XbK
uHG79r6zS/dRB4iKF6e7yUPZnKfJ9nFLEWRAVc+42PXHZxz9w9H1yndySfpDkvnxtsnTejfS3d4P
qNBwnYLSJSad4ZaTxs4DJKz6TjdM0ALeXCN2oXszVtarMVXTOeStTJfClOOLmabGvtCjey5Vmh3h
+24huDURSp/b3HO+zMZE6zooiw3VnGQMNRZPxFKq3dAHza0KejOaO2VvRSN/BAxcaCEmyS7o6JPh
Wiv2XV3oc+I400nBJPs6hlgD/W6sibYpmjWCc/2TQdhTUlbENOSZ/5hLvkJv5n3E92NklNmXkVV1
oxLzTXZYL8raSW4zVeNWNpbL7M3nRZrOc9Hk1bHJaMo5RjvuaFOE23TO5VsL43LH3Lx9m43KW8Uh
MYX1aI0H2PHDFvPU22SyrhDCYW6Re0MfiMtNMSTvxoD1tV0YH/rY2o5hiAAbeSDs2ZNf09PHFVIy
ZivqOEoCUUeJ8Ivna2vnkU1VfqqagFe9a0qsOlMeZLd13Zu70I/VTRE729Kz1S6YRYvxzCGxfka0
CT8dU2FixWfqa5YdKxv2scxSSHBT5t01rmLY6NBZg24KZyC7Rl0601tnstbWfuuqHUwUfasIX4hy
tzWRIJCh4gbT/D4EtNLozZLbDG3dc1c5/AdaxCAL1m6t528V0RVvHrWgYJv7XsahXPNFfpZD2Wwz
qlm4W+T3oQYUASEUucE8DoZoxJyjxFHi5NVFEaKF+cnxNtNY0g02nPi77Ftr7VQaD3RJR5Xpipgf
8jy7Zd/LGEQU28ny9FZIxRuU7JCjZh0gEIDdJn0YsZe2IX5iDHBXPXZwYDxTvUY+H2/MlAKYrQdo
pyK/d30cpEhQl/kkJckMTWVlB8GlfgNedG3CMwXzqwHeSbx0+bHFYI0W2ehocRBssGp86X9tErpD
W5NOGm0jce+jZYMQs8TZjTn15reZGLhbPePFQ6JVRLbMra2sdFGZj8EssQev5UhI1Df0O6PnEAFS
hOWTPzOkJzgBAQeBKHMQ1k/TMnLWYPfRDEKrW7FTXmUtKl4c74VJMkc1XSElIXjeNaSzam2QY9+v
xniZfyhPJd8nBI6k0nTuV/6mfoO2J7eLNaqDXCTWRHMM5rXogvQ4gPq4NIr/uyYiGWZwurLzpd1y
ROOSh2GzHmICQ1KK/3oVq7n63kphXqjvg4NnmcRyTBRzN/7gPekEfF/Tut53p1BMhLWv1Um64bRx
ddg+tGVjr9DgtUejVOW9mJJk7dk11X2dTMPeKRAjsBosa3Z9Fg04tjDW1JWrOE7zPckyzsYnje8k
qs45tqJlC+CCo4EfMGP/X0rowgbHY+BfP8/p6Lx0kP1xT6eKgJyOBtQKtzTYGM7cw2QHLmkV/fI6
ufI2zgJOqyjC+XGewng9koQjIzz1BPIQWhBlfQeUmPwIiJRk3FwbSyq4DXgLZ1fk/4C9GYrAqlPY
OeYyy57ioIBjydaTmqkbb5aKAVjp6m4bXE+2JAGBvmdP9eVaZXJjyBEScl3NI/YvBR8k65pHKUvR
A2vifx1o+ABUbquHPsb2CJCl+dIymf5qqqBhhB5/kaUvzo6lJiSclcBfbilg92Q/E3YwipMflupx
hAJJuh+hef4FQ4pzXyXNu6/bAoWrJk6UJpuAsjUJXvupjp2JEwJdOi+W4iUTKnsGyy13gRVCXVto
k+4ohfrnvB2m76NBJhPO4/jUlbFa842qbdZmPIRzCxe59SByryg92Os0aM/WmMSnD82ujx2/4TLM
ruflrvGvgJQqLNKHNg7ZiTWatIqRaQkaL8PcWL4OD1OO3TXROju7CbOUEh3/DZneFLCzx80kjI8i
qPUzWehXXDEizmukMouGcPPlJWepoFs7TiiIMl/fGkutmUEpueuv/GlgecHa1txXrXb6lYnF9Sit
PI0IKzNQ2YX1vsqkSV6FGdfUn9eNrOm2Z9dmc51W/8feme1GbqVb+lUa57pZ4LA5Ad19EXOE5lmp
G0JppTiPm9wcnr4/ZtrnpEKyBNd1oWDALjuD8x7+f61vwT9mBAvXuCt7kHgyTvL6sWx7L78wMLNb
+L7RqZ7VACZQmpTwYJZd5EjMw5REphcNSnZ/afhasnOiMucHlTY+tMVQDbdTryXMr1rLhre97HQJ
AmLdda6J1du3EO6dcEuI4tqUYR05S0saZZcu/nculIxEqw3nIBq2gebWt+Q9D/dfiCdnJeZvqkUd
2wrafg81PMUVwz52TVQ1iuLMMvrzUJP2SvNNup4ENblDDjYQfmH4ZOYW/kvzYKX2RhPNxo6MtecS
0NNNazjhay4V8Rnl4zr+QlR5pCL9dW6OqRs4AoA0HntacoTGhR6Y/TnyvXO3Yq0Y7BC9fH4HPjoI
zpHZwIN41z2+ATZWMDa9qj+PTZoa/OUg9yjccvPzMP8pSX5VkqQKgVL277k+GxAJ8ctb59WvP/OX
80r/Fz+hI7T0WHDxov5PURLiD/BZBwgzllIULu7/lCUtKpm6gR7b4sewpcyGqT/LklCVURFQRfTo
eDp0Pu1/VJZ8+wGhT0c9RsEU9yN/i02Sf/+bSj0ECjV5VdntqDyhCslQ2aH4oyo419Mo8Lt2U5ym
ThcXq5+tmt/u1QfS/KO319bx5pgerjNU1njSzCOhNXlBE/GvQ7vtO1Ot8ZM4rJpMJINunO/+jUP5
HsOFi+mBRsPbC22sRBlGjnJaGA3RtqYBOAG55hq9R/2F6eGjq+JW+pYD7teBNPn2UJMxpASrCGpr
wxAD0kTu1rSEULaD2/1yEv+tt+HIX/HzBlpck6DdQpn62HgENbpLM5sbSK8HIsdoQtfrnNdBOauw
CBJWcZY2GzvTJSDg8gtj15Ec/8+DE5w9v8WgMo+usx0iArKqtoXJTrVxpiytC0Ju/ln6OEexGUNN
/E744yDCHx1Fhp4lVR1028YXTsO7WZCXYw+1q9ZJlQOe/fw9OarS/zycMU/Gc2FWd8R80b99EHat
gAsZbYf7zoGrkjY/MLe9eiHTIo7CE7R5f/pa//YZvr+N+Jqog9oQtoTxzoARRGnSexZxtQm1OJTi
fsbD8sv159c136bfZsqf12XS/SARANcYOuq31yW6gDTUOu22FsVHwBTaKVPmxUhVn3Jobi8+P9pH
d/H3ox09NOBi5MHaWUcxqUd3SmkjVDh9KqoUi9JnhdWk6ffPD2kykL67QvZZjm1BPOOFPBrKxghm
AL1v0ooR2F8IFHf3IZ3FvVNO3o4M6nTV1UinRg9TgpAvTgu2hRyzXRc2c5nCV+tuMPtF07vVH8Ng
aXuKZv7CDNr6ZqK6TUhbCJeknr4YmIwPnj8xCz+tiuQdvHvjPBk6ZtnyGcU9mRwLofWpuxgGW60J
HWZSl4T7Vl7Zryzu3trMBvGkT4gxiESqzl1EW8uwCv0LGJPhF9+C/eGpMT7PX7jNX0cfQ+JnEICJ
1qK6GxFwE9noPhBX1Z5Dn78OJXsdixxLAGYgfrKJ1lWRNKegdBX636FVC0XqHTh91DksMSnnVOxB
C9agsBvwtXVmc87eWttPKev1WrXtqmerB82z8e87oK73LUmJSx8+7LIRmruhaoozwkJr1JXDAcm/
XPRa1i1hzQFjyeyTSKR3Harfc+Bj9OatKd00VkclTGsv6NdOuzp2IUAJ4mAGZHWnejTqDxoSpm1S
pBoB3eNrOlrXLVEfUFnCdNc6UXvBLxebz9/W9x8I7UYWBnz1zMGue/SyEudmd+gJeOiSTVgK9SP2
dIqaw203BRULbOTa/8YRIYYSqmi783jzdgBAGqrINkzbbYNxy5BinRnhH34hThsL/jFkz8fPj/d+
FmRZzmiDdxIu1jvLpgwBfvBs2m0yktVpKtHvw7Jnz2w24+rzQ71/TbGFoqrQWWbr8I+PXtMQGlHS
Ezaw9T2F4kWrDZxbnfvFDfzwKHSIWabAAuYevr2BOWSHvEWssdUcKgBUZHxtBxbKu/z8Yoz349hs
cqW6xGqRlCz76DhprCF/q2YE92BQSjIkDbQhJ3uBjibMTumypODF15HgHRrvAVTstqQZ+NWwROf9
aDjFrm05BgQu2zKMn6yL3ybCGsnyFCtXUpjM3HWPA3cDrLndiL6F6WeJSeyNgvjVRi9/ZGXvXiNj
6bd0sdRZPk3WASh48MUTMD88J+IDsMlBHHi33QuFppFlZcktKVHFXm/sta/T2puKtj4PJKa5yO2q
bxm04mVGwM9FN0fuODEJRb5XlDiEsx+ZMahzTAzYNvqnDgT7so7b6mYsuhjlTIzOnRbLoRjJUdbb
rxYXH1+AD+3AYknP9z8/+99uKonjfj56PTcV7hCNxGrT9SK8ixjFlmA0k1UgURDmrtMyYzX5Afb1
sxe7t7ho/T3VgmAJl0mhZSn9K8xb5a0nph+THRQHy6OaDFJ4XPUpUnArabMN7PDqiynh2K7IOoLX
4rcrOHo7+5bIw7Ac5XbUEmoUk1+QzkVLMdF0vBkNg3wHsSRJ9D3VNbWUc5fp8w/E+vAtwCg5I1Hh
Chx/7t7IWDLanZyDZwEJdplnf2dZdekKCYfE119KBGoPrmlEfxCv0XYqXBJgD8Ro5hOqUG5MXZar
xhEuYaVGD8LK7Kq5QK5vBxsCm0hC48dYGAZDpYvSlY68ngDV1/wHciKbnaFs/VSzjWw3leWzq/Qb
Z+RAIfnKywp2vv3FPX+/dCOokDKCAGaAWnnekP7+0tiIS8nGZECok+yhCLYuRMKVNpGMizDE+mKd
+MGwjeLFZucpcL++875Sqsb4xaCzrcLi1SebhFlbJQsQcv4XR5p3XG9XpFwWYFrTh3zhYrN/e1mE
CNLCD2zepCa8JZA3fEiyaabKjOwm7DGF0Kw7mncIHDxfn79CH8y+eO1NQoHAjugsvN8eug2pBAaJ
DkvHHZFUeJdA5a4JqX8FlvCdLa/zxQT1c+357lptOEMGUWA2TIq3ByQcVQ74ZuWWbXhx3Vmse8YA
pxqm1aWlph8AwW/LOIOUO1YsbgQQDszqDS3+6YtL//BlgpPEzALdhx7Z2zOJO2TVkeL77T24bXpF
X06Q6LDQYppEdpS8fn6nP5g0HSINeMyohN7Xpxw/SUMYRDzksRm2YQX7daKT+8Ue8cP7a1DJ4E3i
9opjsz018LA0RCW37JGbpacG4lILktWcwNP2vQThEioiTHG2ZOs+QItBNSBbD0o7wb331Rj5flMO
SYddIZty6nL28ffaj509RTLlZJAeraOQVqhsprNRzcrNnIDiCu3lNnJbvH8pkMrP7/hxes08QjMu
Ir9G/gWR5Phda/Fhm1ahN9vRENH3yp2VI4SfthcyNmyCVJwSzwzQZPTb2uij6lQO/q4V+kyYwnnt
4hilbdmfqcgCYWi2bWcs7dCWL5+f5wcDzYyFmPvpxCK5P7kEv02FkQZnFiJxvXWGoMEyCLFeSNwF
Mzf6i1vywaFgvguXAillOO7O0TufGLKqGxf59RTkrwIu4tVURHTn0Lz/G5fFGtSGqjOX1N6NakjD
pha6Z721zbi58kFvbMrRDU6Spn3+/AZ+MIhxJMoiLBERWR1XKiD5hUnZcaTY0sNV0BbVTR7W5prZ
DbHYkAu6v4h5Pj/oh7eS/bWggYFi2j8atEMc3cQM2fWW9AW1zGe5L80Gc9UA3PniUJAHeC5HoyYr
DX1GU7iexYj19rl5pFx34WTwiohGx2iHth40YSR6TJB5UGRLp5HmymFNnpHYqXptw86xG9bT4Fr5
FRQBPi5ArPRuAjlm92alMGk0Rep1iEaIbYdRXkfPJaFCZylNObkJoyyEE1QYCOUKLgktpFPSR/CV
3UOshZwwntgazgGAVe6Ez7ohgDxMI+PWQWVlrDKByWyTGDlMbousbPPR72kDQ1KkWIJHlx1MhFWn
sYI53LSJ7mRWGuOeDq1vb5FY5mKt6ZVxyOnialvZpUqe23nReWei7cbgCmhmVmz4Z63H+dTIdFh0
AirqqkiVCM88FwzpqrOtMtl0aBZuFBaW4NAUWrmj30/Y3Bg2JonxUXyfwzwh/LkjpWrvhn1YLb2u
LNPNmMYjXr2KpJ/TBJOgEy8dH5nRVkrcPityHkbcd4rUnBN4jIFO3SGvYCHnEEIXKvZIqnUJZ0CI
ELTDEt1I2dyA3gJ/W7YyGS/7wFU3RSyadj1qte9e62XuhWvgJ2G3ZxE7bGoP9c8GnYuDoXrmZS/R
B/rbomGKWmfBXP7TNROXdU1D9I6o0mw5ZDm0cikiPGrJrBHMve6KOu+mU3b1EFRm9givV79uCxxB
QZ4MO21MwAHUPoCmcVPUcoOBqrgOXIqoIiJohuSYrSlSfOF+mm/CTh0sNfZLs5LPCaKTBaqaYNUl
g7UhOOZFWFq/VgRocA6Nu8UzpK+B4zpbCJnlghXztEAtQYtSVMN3tyXxQXQoXwtXPU+1Y+9wwU90
c5Haxdk9is21ozn1pe3nzdrQUQhC6JuWnR4bJ8hcojOr53mwWyCYPA7uBzDFW1szEO/RAietJdgH
vkghZKcdiwrpLjNmiZWU7mzdGPZ1S4cxnkimjaf0guR65EWiOaTDYK4mPUUd1AKqTqIAhZab5ie9
Fa1inuxl4IlrIlkGlHgIFun6TaAJ2m4VmPToJ5au10GYVU+FJ/XTIgLjNra1gym0bV4drcZ22BLe
5lGwRvxf2vsmI73ChUawt/QYOeLoemuKFAeTFEPgpsYmtUe8IB1t5hgsiS1u4m58JICnWNMoplDX
BY+5o4V0pdPc26vOLTZKqwkYsrVbJHLYXgILSEJYemsdswvPoQYxkfhwjtk3XMeNpi7rsPGuZTcw
L1roTUekMNlAZtCoFT9k3Vc7z2rjHVx48rVyT70KifB4jPuJCleq4nYayUerIe6zNTf1hmSfEgTs
bVp60YRr3k8fclPHr+rink6ZTBkkkrDrv1Xc+/O65y2DXIxoLTX2OloHCDttuUFqgeuY7GSEWtzu
wDbtUZ56I+QH+W2MQCjAEoB13wMfkGbzjRb4Rk9CKACayTlvXc0s/xgQnFQ7C8dnh0+7cXH3lUDa
TjVg28kidT3ModmIx25WnulwW8s63jUNd2rRpkW2mlBl3UZU9S/NLDFvg7xI4z0an2aN8qNGcWLS
841VT/ZwTTEuiqX+3dED1pPUd6GHTEjcKibZP1rphQ4daNLZE2R61ukwSOdGYH969Snud0tWAcgi
K+iTq2n0hjssQflrUzX4kcZcGk/ELDUkiVf2hY+F4xvJAD0WQjluW1Yst94okm8KHRwvY0ZGUWvW
hwmMxjIeCrE3iSR/oApHGySRYMQJxuNNiCy/foxIb/ujhqK/STHzP7o1CesJ8MtsbxF8tIGCLx/g
WILId8u+XzmBnberbpJ8HCRAIBvWBbweh5SKhAXXvpuVbIg5kfNHrd8gNTZUvsvxnxCREIfqvg76
OWDLjg1v4SOJicGoiNpf5rQG91UR4XfpGUcOoZ9EN8BYgMW7eA43ktup3YNf5hLdOT/0JDQnTtVJ
1b0yh64/g7oWXsRejdsKY9BZ2XreqYgEv2pV8VbosXOjWtOeFqxEakxbEeq0Hm86pTsTJVRpX4QN
n+q6KGczWzekm74c4IKQYxpeZFml3GWFPPiCj6jmo+LpUoSvDynQ0guMxtX3RoXNlZgAFsiY+x0n
6bidiCba4lONdzD2R3LNTcIb7Kb6jp+/wJrvTCQQpHUSb7mz8c4ecn5Ww2xnNKI+VEbin6JGrL63
0LMfEZCY68l16z9KrI7ojhFPEmpQ5MEhpBqx7fxWvvi9tC/EVGs9Ggc/vBgApKIQcvBjvpBQJiBX
kMhnCeBVPcK9U4NpuVr1PhwjLfJq4PZFlBSMUF0gCUzQjdsKX8ZFbJfBXeVEIfyWrnxyQiddtV2E
TM0k+RCEiMci0u4scx0iOCQHQA9WIXFwJ03OxcPyG+6AwDMuhsjaLWwDCE618KLzawdan2ezAseu
RcfCArfRpHO+WOtTxFnF+DkPUd7yHwTK99Ai9Vm7SqYKmP3Ed04Zq5API15/9GdKvrihsIG9jIhj
0VvzluPjw6xAbNlNnEfqXpRt55JAzUlmtp5ee21TPVtJ5Nxo/kRiS1X00cXo5IWxwKvbPGb1NFx6
SErv9WpIr+P5cZtN4J3aeGqva6E4UKqNGywAaFtYZEQXQnLXoCKNl3qoja/6hOxUG8gDQwfvBdcE
mIl9rUfoW62eXyyn9Jol+3Dn63Rk4E8K7TDBuI3WWh6Nr25FmQ+3Go68BfUW2SwKoh8QcGolaXaA
EiArxZoTXIuILdei6mQ97nOlHBgxHW/SpNUNQ68jeNMYs6KLLE1KY5kjmLrUrIQiroLxQylVepHa
IwfziqUv29fS09gzKT1PcGX09StuYONehAQsqV4aPxyEQd2ST6++YrSYXkszgXTlmAUchwbi/g8C
niaiKEi12mlVxW1xmMnlVodz0Cwclry3gCC0a7/VGc1cR/0YEFNdtQG2kq42q/NWjdW3IQmgzLRe
eBE4aFNaH79bLD0LwRf40zXMHGtfaGH7UCPa168aUPOM8WWa2/tyJByAFbV7xp442FRdgPwJLYFL
3bTFQVwHlvcEsKM9D/Iq3KosUzvhoBWumTZPrUakqELdML50hKw2pMlKoDOKzLYpem3Dkv9LVlWF
mrCyvtt+SC57RQJdJUjWQ/BdLG2MJATcVMi48FzhzGz4DomoHK+NHEIFixD88CIJ7tGRQ/7Ryht4
wmfEdsT0ItEtI8lsVj0Bmec19R9S5dUhyauGw6bOhd6TMBeRzbV1rIn2uh5rSGy16qIY7eCG7Jpy
D+mgCxl0YX0ZBc3GGkP93o7bgxqxM8d8m2d6iE29CN3iEEbFiPTeYgno0/6jhPrs24QXpm6BDrRU
1ovKxKHGY8CQBsVhsmS9LhyjWg6tOBmGRDyw3tZJtB3K734/95nKdhNRWd7XQenSLQM9u1NkUjzA
Wwqv9SLqN+5Q7ZwSebHfa4Bq4rrE6DA9U//Lv6W5O82JndwkE4EqAz07nCVGMUGUUJrKfaqBT1CB
hvw5F9UGBTmNL6OrACn1/SXUD31rJYm86WrAEBaiwutOcpDODlwEXH6xoDA9LtiUimc/9p17YjSz
XRy790Oiw3FQIax6naUc0R9juSjjPjqLMQ8tS8PcB9ZkfI/0oN8oT9MRrxnTyoshRyGoRekOrGHR
p5QKw5FgKBYX4iER9rawhxLUTsIAXCbsTpHK+1Dpff9VpZ35MFTCOPdzf0K1kIvbKhqSJeE5YsYB
2Sc5fNN7w3bdq1HxlGxFOvfGZV2Iq6QhuWkYqh8TrSbA/WEbY6rnNYiLLIxJUCgqhrVqBAeTJ3I5
VCQA0UDAJteay851WNCLMHlOxiE9hH2xa9M6Sxa20E7LMRmuJt18aGPgD3yKG6LYEhZqNsHUgdud
58IO7gi5Y5lBKETKEJgs0JrH157eTKs0t7wTOcaMXnq0jmy0gKnV2Bd5ZRO4EvW+QdMim/bjWKoz
vA9MOwDEUj44pzhU4ZAQ7WlhbSIXc85KJEwiWWRawmdED01BEWqTx9wUztY2KMBTWiuZsaaKkkYX
a8Ml6vn6dKSYza7OVXG6AH+bHrCd6de2i4A1cYddoIDAeDI9g/1dnsiClFgpyozmaA9dqJct2HBQ
vY5Mdsag+Y+woxbsc56bsphDUO1pWVeOmhOao5nj1RqPxE42+9J0vxuT8yNoyvqJFWv2lEmChRMp
tTsktNrGUl24bt0uvxodVizgmAya3n47LcOByFyWQ8NOmbmKD5pV9mKlXF26Ozc1cMeTCVZeaH04
Z46ObnlB+QaTr+kliCK7LGMQKg07ecrzpLgyay+/cmLqyIt4ZABNMPy+ZNLUvxcyiV7qQAeGZmr8
YI0K4GA3SXkD48zrHxtWPDy3mE0OkX3QHZTmWPus8phR/KH6xmxJ7WzKDNKgQgqS+5LUoVvWx+xM
QeGKQ5iC9cvBybyg4qaIIMcuf01FQVVBTm3wpMvE+J5GDTN9CWTsUgIYesKNxSZcBLHmL6spkC8A
CwmdgmPmu+sptckvqQcGBhkNfblxw1aVG+H3VDRQ1PJ6ROBVBpS85OtGDtQ01phl8GQbNn/Gr4as
WYFSSGehqM5rVFhjm66U5CzJjEQutSpQaUF0gAaTL5JYFPIknuyWfaNeKCPC3w1Ra8PilV+eNI/Y
UNFTflxFRHpoW22clwAtHVI8WEPunyYRMKGV0+QsWpHy8pS0ialuSW5P8KQaBZ4m7GICpmBU5a9m
13HUrrZIje+F5T/9upm20sJuYdGejJeThIYAf2AaygX7iXJr+Xa4tGpyqpfUgrj1uG6LGxv9WLHN
4Dfcz8oCnBxFOqS7yqAKdGHWNsFDrT3ZJyPM2Ru7R1HBI6TfugROzfWlrk09pKmgLKAnJghnC8LG
jc581apX5VAbXXSmXUVnjmZEt+mozG3Rkb6bG757lbp4xJdV5em3fVTJcTdQhg8uRMdF70ylc46s
yjnrGBwcu7wRWxf9vxLMHc+Eb5fafzQiSwcdwTvX8t9PcM1eYnYv8YKT9U+hDcgfMcHO2dbvGgJf
O3+OhtEJ2xqWmc73s0Cbr0+7gvrfoY+lpi94D1nRYToGYwyYgiJKQ28F7lId2/gdCsGGm0mY+WsJ
4gK+VOF1c573NEzZRaSAgNXzEjJzC7hmGdrAOyPRzXWdlfqBnnSzI0nIuspDbzhFyxTfT1PU3/VE
nv1qg/1Hg/qFBpWMh1mt9fca1PMf6vmtBPXPP/LfvngQ/yBEKEdTuaWTT9H2r9SMuf/zlxWebA3d
tVwWghChqcjT1/hTc2rZ/Cu6rTMaB/kDRet/ojmF+f62sKvTHpkPY/oWqlPznWo5asWgiqaCiYec
4X7sBclulqE1C3vKSCKK8rpeDVV5QHVYGwuSbtVan0LyWR0v23amrE9tAuPNRzuiilK6GQbyelCW
oD5XDyDe2XDek4unHts0b1ZtCAWWlCA+EV95ijpsmxBZBNFMbbt+NOjHyfJboQJ1AVQkGJaeVvQd
CUHUeFkrN/0mzgWm6SbJl12TKgCh1dhuHeYCtPikCRB4EZYgSLTRGi7FOLrOJhq8Ptz5wpg6SK2J
/j3psApScEnTl9rVajCatmLDT7D8BamIEhN4GHDtmFOwBicD3hqW8Y1gPw6AptrK0eTfWsT2mQcw
WiOYN5vNTqgVkM/Z4A7kD3GC5YkIQN8uSCnIrSsTZe+VTzv7ekpSdVFn4D4Tlz1kH1FzXQayRPfU
N+4O82NRLxNRTiHewhZoKWU6fD0CSGd1BsH1rq0qmJDslgOdvKxdYNhxt80DM7TcrWcXhMy6TaxP
+ooovaYA1Ak95txyJzaTy3ZU2l78MgaQeYxLIKGFVxTpOgY7lA0PskKQZ12rlKy7BkkKSSdkhwKZ
SX/Ftc9uep+lY9jkmwoDMGtZKBAEvFOLJ+09IGVvQ9QcqXv4KVuLSnvdKbc9lYQCR6uwRkhd7nTJ
ph9UChlnq1pINb84CMIA59nTRhsSWDzAzvpMHeh4YYU5N/5MtG+kpMqVExJnsvt7DIPINKdvQ0z2
cvPS9nWbQ4FKJxZqVz+/4v8MeF8NeIYx95X+fsA7i/8gY/S5+B0FYv76Q3+p7s1/CWJ9XApYto/k
zaF19FeYrv4vATPCR+JASRp/C8PcXyOg9y+DoFwQIQifGHTnnuSfIyAwEJT2MxmbzvkvhMj/+z9v
JL7y6J//F3zoyzIuWvl//8s46t2hIEMCJOjPIkUX9ImP2miQg4a2zqRxUlRCkV+uIOIOu8ZW8Rb0
EPVQbGljXuLqNbT+7mclE7RUBL0M26r9jB25MI3VqCeWGgjhdaaR2ojIREJtcMYj+wGfJPUxSdnh
tzt9+av79vupz2f2W08ODCQnjNMKZYhpz0aEo56c7MDTNlNzYoX4JAm11Ja/Vias08/pGyPg+PyA
wPLfHVLozEeCWgHz1zu9jwa0pNIQ8J7AVjkFBqVh20fM72wTIfi4F2kNu8NoKKb4yNTqYdkJ5Yqd
73Qq2CDnMso9HH6WUJPCHUsNKeimrdk6FLeK2LXWbGgG8k2FcYstgFB7ERTlCZICIsZDSFmKNLIA
Z1bdAA9f2kNXpLhwqV+caI4arqHZeiu2wfYzHVi2YUntcSif9km4btwgyUn3Dti79I4mvaXDEwGu
0rJp3wQSd/DosHdoDIuXoLcy+7mxqGyMQqPEQyPZOG+8EhsYxRi6cvDDCXo35jPXMdk2qzoKzVvD
0GJQyK7k2mST1N80ekCXoUNlAaJM7A1rvAPVN1OxMV86pUkdbIhyzogUFms/QlQe7pqaqTRe1Jpp
3JqEy8oTs0QfdI4w19U2kPec6tG0uiI6tI3k/QtBui01ZnZ1jX/XvNUsgA2oo9gpPllmy52L5cD5
jG3JTqGpPNbuimXntAxYOZsLdlj824oIvmFtJorl5jDVulpoOqGRl3BapbMomwIst+gtrj9JC/sZ
Yndw342Of6+YhuEy9ZA+V3XsXLHh4ad1yn/hGlA1T8ERbSsfI8Ao1U5MbB3W3Me51xDPa+kYynZP
nHJbTzfjRNWbap5tGidsErLoMM2PxJ1vjl/H5ET2lVWe+OgJjRW2Tc1dTkr1Z4B1oOJ7ejTM0/Ww
s9B/eeSwxAbaaJCRdAl8g7NsHLd36Zia2VoEbrjK7NrAht8P463TmgQRgyR18SsHQi4mCszPYdLa
Z+MYOveaco3zXlXZpWWl4bPZi3hHZ0N4SzY57nMRpuqhsiBwboyJVzbqgZYpnJHeMkp67nieBXBf
zcGhZmEDWbynqyjbK5NAA2dlU56k6di43N4+xvp8obcD/Bpps6jI2ArUFmkyo6CRZa0S3kgYtPnA
s4steNivYwKB5Rt/myev1dAPlIcp/SYOOehLMhztZ2kW7I+j0jduwSjweLJUqx14GT3PNu2nLKeg
X1bfuDN8XLjJ+Sixz2IVZtqu5CPk8+HaY4hv1trkcoNjszKdbZrp5YltTux0gkE2u5DKWkqBxmTl
Zdk1oPUJGJBVdNx6t+w4CqzGhEIgX5u/plw37yJ9a96nwj84gWVmNrfM3pp2r3XuVJ+25G83RKlC
RthkIw2ZuynvR/8uFnqeXgcKAeCQIxlfBsqy9hM4O7Kdx5x72WDymSuYPftr3w+5EZWeN7sg87Jh
IxhVokNVI8uiDcaLTNOJB1dqPt+xg4uV7XMj+JWhtxhDC1Gat3E3m1vJVYqcxyHzOvMiIe8TmlBo
pOUfrtVTCHUofhAMB9QQgntIZ9sNwiZ5aoyGnj5t6rB9sQKvTR8aRgj28UMw2Q0JvgW8qMUQaoGP
sznUmjUB4/wSbrTkIGvQPnB4G+M8wV8wPHhdUKc/bHaAZr0QI0vVdY7H3LzImX+memF2Sejsg8KE
2wioxNH1fWRiZ4UtQBcSbVmoP8XDBDcoDr3zgqCYR1t1VBQn48ZV4dAvoe93d5SttXXaygi4WgWz
pYOBYWXY/K0goIiV021cGKRa2ivqv/ZOk73Tn7Lwhrr3EEaikxSibYe80xIMC1JQYMzzbvx+XjUv
rVx/0iBgLVpw9ot0LGiCR+BLdkZqht8zGbg/hhB+BLC34qLNnNOub+pxnRJOceWUbvhkW6pY53NB
uyxYrcLtLJ5QWOUbs9DDYMlaF+okqMJLP6QRQKcOx7k5pdlZXIXZnZlI6jDUADaT1g4LTQ3DEj4v
nNW8ry5UNuWntlDduuvd7IphvXpK/C66USK77F19SLbs9mHCjBjTEaMWWwWn9SaUTnbX50KGm6Yt
ilOfCQxAcj1BifXTjWcJ1F10mYFDuS7DnrLKWyad6rGA0BTRSpLFxov18iGixsytzWMou3S5aLHQ
yTyvHPDLYazyVRi48jVu6MMCIxA7c0rCTZ+Z5rkdSpeIedDEI6wDlgOrGeB5UlPzAytUj9kSf265
d+nfbULbuEqCstrOYcOrhmt8TNKGLsFgKmdfwMhQ6zGntopCIbhBPuNsNYmDw0bFstQSbfI2VJWd
c/qr9QkD9rjTi2Lc95rh7ye4l6QGNOh9TdEta+QVu6iQzq2K1fSi61lyQvjKdNIUDV6Vz1co7xZz
Akk6/6PG4/sWxsy3S6K6pNibZOAJ2Sw1O2Q2UJF7i0lIaA2kSV2VJ5i6mt3nRz1SVrIQc+Gezr4H
VrouEP63R2WfF7lRb/sHCjG0kUTMwFC1JmuMz49zpPj6eZw5OInlskkJUJ/P4zedHmE+Tif9MDiI
dF5huHrDmI01/BtKDAaMf34wF60ztxNCnn8szDX4hrWQReABJBUMlDISeyi+MI5ikCifH+r9Qpb0
Qo/7RqAQJOtj92JNWkGlDbpzAHpmnBcdS2+7x3tHW4xyuAsu9h8fz2AfMtdVdEfYx/g/g3hgirO5
DdUrCu5/TUEksTBjQDpjNSIpVX91O+c37+1ifU5LwlxLtiIP73ixPsI+QorQUvF3ClZXrjYTWBlQ
mYELYIPBguo185GWK/5e1xKmj88v+v1L6qF25j6j8URloR+pjctC1PqApPzQdTGFwl6z9oPRlyf/
xlFcAzUidhXznWY9w2RfBETcHWCDNzu6LvHWRS3zxbv50bWwoaTDg82ID+/oM3coLNS2xrX4tfRW
TuxmS5PG7T9/TWykHAg72e2w3Ty6Y2md1zFMUftgBviUsdvxUtDXc4f1GLTGeVsNavpiS/d+/GJM
ZzThsqiacNi3XzhA+mDsM0cctDJwHg3KS4dJVyxFuqz01wUEb5M20MQr8vljez+yzOJ/vEVcLfbX
40ul20rFqLLNQ9rxdQcl42TrwOadEsf7QiD+wSXycmBjZA3usuU/GizdrG84VG4ehibKl2NulCeT
bLEKCV6YdN7BDfNb88+vDwE2rl5qpyhijg6qdHhUMNOMQ+bUDfIxGvaZ7kVbNjpffuk/5dJvP3XE
wIjgQEEgln3/pUVe49Fa1tFPSLQiaFBt6B7kxVyTDNOcl0mGPjOgBnoJTIxdBWstea5qNQQboUnB
5qK0n+H9yhcjkharTvqT0aWXOlX2xW15P/Ci5oAS4jMiUY4+NpUWsd3HpATzhiOdtJYx4LxvM45Z
AlzBsEBUC8v6z5/EsceWSQwpNl8V0zPWsXcm8hAwnBkwxx00pB0NsjqL/UM7DO2L1xhMmQCv5/c9
iY3zusvqb0rZKPVgaQ7XtTRr1JZhN81RHz1KjPH/s3ceS24j27p+lRN3jg54M7gTuiJZLEeVSqqa
IEoOHkj4zHz6+4Hqfa5U2kc6Pd+z7uiWSAJp1vrXbyyGbr//gv/umXBSslZQMZi/qDJMokc0hsUe
zN+QottkiGklhnPsS6fO8GdFqvL7D/xl7/mL38OSHoqfqgs18ec93xLvQdGv9BHvY/e1hz2Yr1TL
MIeb/Y+a+n/3YeBGiycvSdu/rM1QEyGctJE6Sob19yhtoxOUG7oczxR0Sb//Zb8c0/yyEFY8xhnL
jfdW/lAtqe/wktURWhmNJXZ7rCw2Il3i7z/oreAcmQXH5VI8ePw4JO3LN/mhMiqdFB8+EcxUEF3a
35v0cOMaGs5QvMdpUffXIp9AQtzEDU8pkLukIwkclKPlcg02rTynmGASJTLTLK2xcRLPOui6vWn4
QFmgXrA6ywX9mNHt66sZzfT9UEMv+ZOi7tf3Q+oyUgTcAUj/+6UUymqyqwLiDI42DJfNXI/NdUVW
21Viqn9cdZHPzhpwA6aKaGTenvlDYtoD6pwOEy0G56Gd8/vbBtmHgUP/Nfkzf8QPl9vrh4PR5Voj
zpCtj/WKh1HGm7dU68qx8AVzj34r3a++b0/Hzo2jpwsg4gc9qE6rS1I24D//YZPZb5cI8h/0Xlgr
8clLpvNF4fDDEnHLeMhIrSH1C7/KSiOywZkVMZSv4QuuZxmHn3wL/7UNpkxWf8vInh3odEm2twcF
X5/kHHU2xwoUURcLXoOMZWksxo5/JrXTOXQVDI2rkb//PsACFLvjZkbFGhlJgeldgbHEgwfl5qlb
lldpcBlcoaKwxHHqlOhXtt8TbzBLoLE+LsD9CoCjGELSlASbMJnt4sYzjQIlmlVUD8zf8lsstQyy
bDL/vlEWHpBw8SBwTANuWyYkWvMELI3/bh94Y0TySidOQ4GPNwndQs+bRrWaBlpnR/KorDUkQm8s
V6OVthCTcCX2BrBvc5qb14Vv07BnLGSB61FYpfVl7sICUNzI2S9M3xYwVCG/uMf/mX9mrKYb7B6A
KK8iBnnp3p8KuqK61fxXDQP7e/EJ8xjkJSqXugYOi3hO6xIOJWg5uSgYbHU07lBqouJAZoc8C6mr
9N6pmrI5FQkuBQ+90/NCbNSL3baxKlGcG21yX3TjYLU7LD4gjqHSOkEObiA4Cqv/InuTXzE7DJu+
On49ujdday1Q1FzymiGx8Qf56d6rN/N134nFG2hb2Ll7mnia8PoEso5dRsiB3PkCN9kNOAjI1aBT
gPCwUqR+TU7M30jgdWx90rNTH1qZj8Y7ibAQsk6hubXI1nGBcNLS6e27ep684WxlBoFBBcslvadf
xS7fUsFMopmRuYdp6kid3CAaNNYabRM0aJsj3NMJK6jGddpf2cGcBSeX6LD5kEoDutIgrSm7hfcM
phVCytRXsqSHxa87AmVMRlN2j1btdeVVmHksMAhEvn1rZB13w6UOALNn9ekEr4x96jfgZkT7Ir2J
AUJCyL+qkd8gDMX3oZ7g5FwgOMxG+DJOKq1HF7rCaxanabztxx4O//dt5ducLeayZ+bAycPXGrEF
NENPWY+WtNJsD9oLNm8PLsc4hrSsIowu6MzS0uO5koLEb3DyfvykMkhYO5mBw38fzZAK/or391JI
JC61XdgE7mtl5QsS2wHPM3al/SEzEwT+cv0F/gjImIJdBSc84Ue9KsxM5gSWFGZ/XUUJ27QSBpOG
Urk8WDeeSAbMMUHPHvq65YtYJtjJTpR2f66RSMkX8mEdYwLo8QqovU0kxxtPliiT8hx/h7GLM/UV
ihlLNg9b231QlgAFThW1scP+m4OK+5gxAKyzFLiCteIyzSnYwYMTfKAwLwY8A6HNCGdVkk6B8V0c
6wps3ig9Yok6HGA3qgSU3IGg6RBIIneJVzFxLybjmbFyCECmR6wa/kMM+VoP2aD+NCfFhBgDgf95
Tnr7df6vZ1KDf5qTfv9Df89JA+sv2BzovP//WPNfc9Ig+itAn43pEjQuUM0f56TQQfCFoJDD4Qq3
nUWY9685KdNVQDAvoqlb/CPwNHszF/3dnPRNYeJSEiOh9XDbMMlG9t9mU1soUyfTTJoDZFPqoKJO
vDung/l+iZb54dH8ebB5+SxUyoAl4E64b7zpgiemDvSBVn244OqalKnbfHSiJ8UTOLXtP5W/L59H
MWIDV1ALRb9UQp3h2AHgNJ9XLWOi2RTcuzlhtbeDXKjdZME5W2whrcd5mUf9/scGb4qiCyrDJJVK
2acuetvyt4bZQxnt6oNmaPGlKlEDctFO4UlBsDszI4ieYtv8h8Xf8pM9npYDqrSM0N/qOSG05d0c
BhVFi7XQwNPhC6M/KploOfv/ebXJuJjCy+TjWL3M899ifLlpSGH3XbRPjbi5DqCOQC4aom0VOswp
48l//v1jfTvXd8ERGeYzGV8sb4AW3xSbCvcOncRywr1DEoA3+jH3rL6MNsPZpbFSIy1mWKJMClRh
ndvJq59qQROxTrFaIg8i6IPzoGwShLrJGyfYy2l/smQkPyo7/MMqgCP9dh0EML1sKA10gBAf3mqI
a5z9k7waxr2Hm4z7aFS2F5PkXaK2TRpQkapNrJnI2lSVDJcHz3pkD6rzMrTa2wRZ+8dskSRUClJC
4vT0W6C1rKUeGv71pZeVWVqlx8m0mcTV3WTdoofjOZA9ScE02j19p9Fli42xDb4vPGndGl1Ajz4G
DPqEoSAZLAPvOIu4vnWHWulTODkCnmSnca0Ni9bOrzvHk/dgR9xoWTgV0Z6aycBPgiDvM2GGHUuO
qFOHqIxeGZCFmR9aZHNEvoQYj8F4Lomniib3QdZqPtVmSlvqe0R0TphXAEksB0GnKvapnCiYjRmO
VFQQB8k8rRXPI0KiZ92ZzuF7xSmnSTyHDMfuzb4nQjlq9WUymEfb3Oq817CDO/G9QCJxiTFqOsiz
0RrWozcsMg+dUQiCxxOqpiL5TElLScIcgNL/MhYd3Y5fKgqMcquyp8QlYgo1BeqAbjOGM0DOyHO8
VEdxB69hZCR11mEbPSGB9F5RlzKvTfpo2zozZaUi9CykoDYARfopZux6WasEvNMWpA6+ZDe47fdf
II1Sy+A4AJtATbgt9DODqzU4QpEeI+Qb1WHhYmD05mOFQYYxZNEP6TRHT6HgPN0MxQiOib8H62Sq
ffe16UOq70Sw+VtIw5HC94vcJ8YKkKVZGRgpGms3oTPszIVZ4ogG37OR2IPN5F/sce0epcxlqJs0
4Hi7v5kBqYUgL1348jNDrHM2u1EJbZju6vL8XTl4jBdDd5vC3McciBIYR+7IvL38P0Mck2NLG8O5
oVO0wpN4wK5h2sxJFO3GtmcBp8v28Jk6iT3y5Di+tvrJFOupn0dUbfhon+m0rc5ZDUD0I/mSOA7f
IrLrhbcKq8KW7wSYPBrMuCFdflfmpiL91+APkBRpmYfZGgK4PcT5Uf72PTKEK2USWr5pEVbFZyFq
ryRq0yNvlRSEIT7ZOlLPIJ9YIiOsntYzXV92PyvDnj/0PP70qqdgv+oJAMUxySyQVIVU9Q0TCMRV
k8dz7h8F4ZlbmSGYiOsIZZeDsD5t5WF2WhfqXe7cksCL9mma93Gk5DVqIPnoVyOaBhA0XruhSJjA
dL0PUutjb9rtRpADsxqUtO4MvNTOc9pCdhziyXsZ3IKs0dTpZyzsokxeT4GBEClsErjgpt1QrTf6
NuzG5EuLd8UtKtHgCImeOA6zjhjgaxcRX03Cw4q12zcrppLEJwg9fImydBmpGKQtbFjc0dFFjY6F
qTv10QpyavzkQBmvN5bhvh/SBBlZ177WVpDf5iSiuPsWrT+8n2AZxXcXuFYVOGCksIwwtfNGeeaa
Yy3bDPWzvW/E3NII167UAip71hA9VSolbSFIlqLXmyZ5vox9ZMrMHrWLeMbkXZakyMyvJBMmT7nn
c2A2dvGIkVL+Ie80G+tC0InNnjkATjaHUER4/kRwuzZco82j70GhyJCO9PyMZMf4NvQIatNm9EH3
wnqpOsPQB81gPDw4VacdxuyilzsHcgCpbLbjfNLJ5PlbLBGOZSTi02yI5L5DHkHnGz0i7WyfyqF7
VZVcTv/MeuqraNzkI89JRjnnvCes7Bg1JKqPRjzO6xIOyo2I5uAdsCP28EzsD54zGgSezK21jlIr
gKHadOEuqu36To7oV3eaZPkqDcWmkT1K+YlExo2r7BZ/ktL1plXlxPUtltfup9Jy+P/JGB+6914a
2fGnKJwzELVWxM1Oh3S6KzspRvzs+sI4wRsdeXRVLFZ68JKPKgibPdKGENWqY5KWMjAosgQxHKip
++dGhtQiYvDCk4P5IFDAxGttIxgoWdm7HBZumXQwsnoFXTkPbw2puBaqhm7cIKXhC1PmCGbyAjsW
vuayaFEhknNBCk4ijWUpjUhMN0SOWrcO6YcQrrB+hDIW8fdMNt/GH3De7WdezboknThZVWDSqOSX
aVZGZnSCI+kyyZNOEp18wucYzdsF5303MfhKiS9aT4zkwT9gc58iURrrPGz45JzLhASiAA0LbCb2
kkfo11WguMebjg92Yu2+apVz4F+OwCBFNAiiskht1GwyChjmOgShEaRLEilrXiHmgflCCkj/pXZI
ZoA+0LEibN3CDyu5H3tE/POmunTZqm3oKMvBC6gYoHrD3bt8re8wQJuicTvGxoIzBWiZrtsSGHRS
0PKGidq3IgSGlKGyhsw02z50hlFVrryx/AQgyOyi5nm2W5He2d4CuGbVAmHP0wJ41F2mgrPbipKg
QOEPBGKsyjRpUQXNoTkFAaojl/Fk0ZMokrWeegd06z37qcXBqjojP82ikySzlCMCMme0ksc50CRR
NiYUEVc7Yc+5GFjvSAEzj2JMjW9Dh7gtHWfELXxnqhzML6Inm7GLD1Gn4yZv8d9/dDoGfaukkzT5
XeCCDCQyW55oS2LmCkCKa30UIdQttKNDTeA6bzRHxvyqL3hg2fMaDaulaxhsbXbmxiOyJdvihhab
T5ahXM/lOVFavvMdNI/vJp+wRbFGzpek4bkscOfhqhKRduBbJ63KFu8PI7He5yHVcnIl58FbMXWF
4mg23jYzXWyEY5hGmwEKKHxGXB8qI6IGIUXOPBaYodw61TAhyU0xMkgVHH4cZI4liuUbXn97blAG
H4opNT4iKEPfNeAvhE08V48Kq32Cp+tKSfiG5Th7/A7MIzBQT8FsomtX9TFiXOcBlwPC6slGBmdL
gNy0Va06KdtDM4FPJENJDCdcK9QtHBKrfCKAHuRyWA1+VXwD0vJ24dTEe3w5KqhALTEv7MB5zanw
re6Q+pbqLpJ4VbKuKQzG1rxDfm/eeZWaNiiCIXCqai9xV9lSG8fvpD+qXc4lusnbdN5KFx23Obg3
0h7rB94293ItyyM3X3XlMptgBk/sWYjRdRKVNyPeqHjxpurOVCJ5DyAzPneN7dw2U5U3ayi2FJCy
vSrh50MSA4S0zlR+9dY2ZvObx4Tj6KBzIOGb8DJAVxxFZjcO90auv3otU4lbd2QL7zzPmdMN6p6y
odA2JtA9bmAyjGA9cIKg50T3l46chgMSAjTIxoE40Fbc9EXJIq1STpvMxyMA6iO2qTDvSgYeqphz
fMqWke3v26ilS/oRsmd8E9BweAALFhDE27ZfT+TFc+OJvfAuRf8kQWq7hQ/4+8/5pfvhg5bps+XR
9v/KwgYhHsa8GcS+RFdO7C0+VY9t3zGScLHevPYhd6XHy3H4+899O5LgY3G9WobCdKbYv77pEmnJ
SydvkADLvPRfBwOSYNVLSIKENyyQclWrs++nnMXttFS5v//0N/Zk7vLpkU1XzAbnS1wmyT/MJFSP
pnS2/Gb/nZesw85+DJdTN79QiIeEfJuVKTrakqXyxsKdw/3yFf6jbPgTYmeCEPzwtjavw+t/fcf6
bl+rr//3/9y8knD/Wn/5CbH7/of+hdiBvcHVYJTKLMtE0sUo+W9lA4gdY24P4SNOezgNgqb9LWxw
wPLQbfHeXWZQsLic/wbsnOAvFiPmWj7KX7Cof5Zy+maOzccjFUUlBphA4gX4PDv7h7VV06F0VVro
fZAgPMUCwa1PiUzUewCfCZUUBuc/PJ5/g9q9PSr4QJh3obnQfpyQNf3zBw5llJJD5qO1lHn3gN5n
Wl+G9L//lLdbhk+BaQyJygW0wxL9zbR88HpzAhqXey7ljEGsbB+KpuOmC1yxNY25XGFOQdHa5sa5
h6vz/vcfD3r65kTEvo6DEOoC83oe8lv+Ci1viG17MOyb0uecINNP79ClmvsJptlJ2gxUZS6ZWGBg
hHO0iJ2YaBuB6GHdA4y9a0CBiTqKQ3XTM9ml7rCwQQn1jOGXXfD/lo2idnRKgwoEmTzWOx6ead56
CBWTsUEVZwpe7IaI+9unFOVrjH7aY+V77cc4a9VVjPyfMUeCaArxmYOZCriy3pst8xg4ZuK2w/zi
0ZbMa3CgiI8zjfArqoDMXKNCU9/SxZxnqsvpqRzxjelzWZ9iCxcf5hahhWmJXZ9StGcvaYY3hpWY
/MFZZhTLLc4wlo8JSDQFGPRgGWM2Bx4VJWDCsW+tsa1ynSviY/mZZtDbWBNRU8J/CTeBxJzDa3UN
izhafH0SG7+AAOM+LGQdiFfBPJDAFISr3k/1DVTobB+bFVbscYZj1oilDYn08VGDa1z5RChirqX5
Os4wPeGlgOdPrv13vB3Ma2iGt2QJlgzoZPtZMUFaJwEeehnJpe/TIW6eR1PzZoh9NPf+HLGHZqK7
naGm0meGtG9bLFHmUaj3ZscfUWbXf1jc6U6xTLDuSKgpUUH0H3Iq9ZNsmuhUVSFPJMpbFwPXakYX
6I8avQyWPtteQFNFHmFvm9YuzvjbREyBSI3K7ab77Mb8a4Lmns48JwVyb8gQFoU7tp+xLlfvQ2NQ
V342locm5OWqgEpfjuBtm96pu3prkgJ7EH0YEhm+2CK5hrwyrLg4J7NV7PwwbW9diAjrkknXV3IW
cYSHPL+rStPk0LAa2OLt9BRHjb6JWnxmhJOqKwDycGVJfjGuGeI2LpbNbrTenZGY0xr4zt762Hvh
ngPHayoKluKExvOrhaXdlcps9y5xeRMXLx23BkGsDKTWRHiPPNciEbQtkYcZWpznJKQaRJ40JFyc
MbVqP5MKp2/wx1Hv7RmBTs2gblN2bbEzinr4Yua+9QgFl1lhUuqdRa+3Jt7Q3KP65FEvS7QkYuvr
4nWw04VaFIqaN4GdgbpyLdY/slLG80kQH8u+eJ6NnrjNrKvukvCbOUZ0fNhQYGuDtb59SHvvxbRV
+9GO4/EJyhb/wWY+cmWbsFZdlwBmTPa+Dm4gbkXusSghWK9lyovyA2PYxa0r7kTluJS2s3eHsaD1
WGcAaSMgxIsBaocyo9A7Yk2bF6fy1HXuGN47GUITWRk5yfJhzXw+CYO+XmeOMlZM24vN5ceFKZug
b3rjLJWoUdlmub6ZQ9V/EL1RnBUBg7hFIHVdW4MFY7pEU+vPZrYfMI4gqDEmMcUjCfGzKH0zZNUC
Ga4V7kwfIVBgK2AqBFtAF+3t4NtJaH8IC1Q2/vPU1PPwOetG9zmzaoDa/eTo2t3j0GbUW8c0wTAJ
x6JgngE13TMxc2rVulK9t0I1rOE4Q4+j10FT1Wp/xzr0TPoqG1JCQ3oouGJ9OzYRIg1W2NHFqmMw
e+OBLvBseOOti253F6aB96A7zI68QDq3nZfQtMW3ldE6i5FvQoej00NlF+97z7W2Y0kS5uiqT1lY
EYk5jV+K1Ca3qk4+q9FNiRrzEavh63IixHHelt4k4Wig57AYU6NM64l5bNGoQOc7Sl1EGwtTyjXz
32STiCS7xaFd3RgR0N+aROWjn4dHoxAtGib86laCIM8DUwFCXzFoWhM45iGwKKYGRLn8lgCiETjq
1cHV2LtqHbn1WdVBtrXp+K5zINub3s9nkp3ZsG1eWdcZ0X7bkXHCQStepG1N5sEkV3pfBXTLYnDC
LfnEeLQ4xJRPtZVfpWawGHBU5jWucBExHNY7ZDnRDvIQE48a7HFr8+w/92Ke/bXXRoZeVZp3uErK
YdrbIgtwyptf6ibuTvhs4KJgm+MhwVwF7UrkF1xhhA2ruP+MkQiBLl7CnccFHhL7zDWX2nLY5jjQ
nulErJU1FBiATiN6rrRguB2F8iUkWGCFAE1e1zKZ6N6L4jmiOQ7WvvQVoTsTjJHAZ6wUeWG6DhjS
UyE67QPVWbhzoWwEB8H5iqadQyRdtQXjqJVgX924ZS+uZ01abmOb9gEmcb8hNppd1W+TpGhXdcMK
VIPlHYXfyfcQOnLcpaqJLPF6P5cbZzKao9X5+lUAWR5sVelHkSOSXlt9tJfaiw7VGKv7rHD0ZorH
xa9NuNhUlRXLvYApgI/Kticc6iHoyR1pYmWRwt3hh26KcNcaU7VlzqNXTAjUBr/w/GPgY6oTmmre
ubEi6hJb612b0lOOSfVQWgZ3eWbOhyxzJF4x04QNWhI9lciVcORgxeOwlR4wZ46X2Fn3BiYb+pRi
Ns4VwZO3VqvVUWFvT/vlRam7pYGtvqLwvE1jHZwiOdj+2p2xMgYdsb1N5abFjei1dcBmMAC9Sf3u
Ggdxh3FMoNxV4M3BIrQr++sUllC4zvGt+Cqqqio3blD7ZFAyJTroFg8+gaILElXpPZO2mWWQrbL8
5A5J/7lyct+8sXp30kyKaivxniNm0vs5LUirNJECMcBaMJwg9aZPGIU1ayzyl7pAtA8QTMsNM2zi
2sOpyq6JakZ7FKsgD1h+VXronKk7wSdv3HUn+x5QqsELT9Zh3K9zWOB3AJPZXqe1+GSL0OjXnVDF
8m7M1aVEAg/iHiotvc+9Hv2PHXsczgJaaxbD4YG/Be3RLHouHMEp/K0uy3AjYN+eRREse6CgTAhi
k1yWxGPyFKQZszkMq+50lhlnoxEwEafMIUG4yApgTIb++KepRZjpS/FJEqMn8DfiJVma21mNVIXf
i682Q0uaW6r/gudAjkTWI2x3ZVULfiCVsreUof47SdA51kUUjIAaE4aKOUHvB4TT9ansNDnWZg+G
2Mwcxt3CUcVrFofP1AOFWUVVY5xrIlSfMttJ7pKKSqP2fHGb6Mu3iNqPjrE09nHbLoeyrtS3Iacm
yaKA8iRqW+ueY7D+4gi/mTZGgp1RT5l49JNFH1jhg7ZRvVBXqWWMT4Qk8+4sHMnqNbI+dZVUvro2
p5zfP07z5uJD2FBsPYseg3HsTCl/I1JNg0GWBxtL2NUiEX0MK4lfn8KYUeq42dY5misrmzGHwL8M
nAN+TXko7Kj97ibwkwb9R+G29RZ1WHqIgCg5OBnoaxCx/9wqjY3TVCJvh72bUW2vfT16d4E/LLaF
+AwqlyIsjfg1cDTlfUDg1ZY4cWevh+YliWsWQ43nY48N7nU9i/bjiBDsDnRWvp+pcv/ArbVoSH+C
gJYvGxJ1wDAdWQfT9J+/LCSNIpgMp98buFsDEtb+OyVY3KaVp3fEHmOiSCosV/bEKkMyGG5M7oZj
UcvmNRfUqgH2gDe/b8Mubd6PuNTCIQjAO5YvFbi/NJvJ2PJemJvuMddoYSBG+Dj34dieCMmcrrpu
TFFkl3qrHIfDPh6pWnJBwwiqw9bA8fRMlGZ7dEpf78fYa76IrAweQj8RW2Sdeh8bXdOu2sEzNr//
5ta/6x+/v/0A3z9un58fZ4ddcpMkxrBPsOE8Yq22MOH6oMbap+0eyqWa1Q4DzYlN+dIrZGs1PEQc
jsn2+FMz+2++TEAgAOAFTTUZeeabnt0bDUeUaoYQ13KnkfUn8i3jX4VROimoIsPeNUqd4NvEkHmf
hU6yMyz7NczFh7lOnG3mUS4Z3pxsRlE1N1Nnu88T89CbTDvFtWlWzovtFqm8EYmoceFM0/BAhkSx
MZHXErjNhmbCnO8ZOXp3pkUGYIeg9yxLJtAUkHpXS7iGbko137UjjNXlhLEBUs+4nOKV6QXqG/Yp
preyQZqNFeYxtDSuT907N+VhHDnAcKxcpjRM4BmrFvxPGppTveqSipP4UqvLWrcPddkuZ0q0lO0F
BX1UkUh78Wt1nSXrS8aYfDoWuP/YUoNaQA7JhJNnog1CcyEIlC/EWyFJwoYymE6LwywPCZEtV1I/
IPqGHGsyRWCMSTCvA42hW3s20La74QfV9lMTu5h9to4oDoGvy+RQUNJsYkYCBWHNnRVvzD7EHSvO
fCucVh4V9/XFqxMEU+JWNlPTd+bimhrjWzHhoEpwneQQTrFRppQP4DySMkCRTztt7um+OWJDt/+A
4MBf27XlrXvPgHNaRULfXMQ5IUZVn1Q+MhXJGEyNE9WViV58H+uBhiKt/fFpyMqXoKN/1JJRajiX
+Dx3inDVy7OLCqjFR615+Fw6xrmDLnywuDgeCmcx2Ciw+l6H3lAeGPU1r1IZzauLqIN6H0kryjje
pzOE3eJDACOqNeEnzzT9fondal3Ry0gJv8CUnIzD0tvVKbrBlNHHvHZ1KXFaLmfmEzqBdoJ1+Smv
A2dF7RQ8VE43PpkWucKo45tXr2dmbLp0WMKie8abHsvB1YCTzQcbqhS9SIkbaJCR6Ru7nGxYhBIT
HA50RjEBk8G68TR7pDdHHL6kxX8cTI1H7iLPDCtNmjrdIabiLoZgKXdiK1pQOXRXpKVFyxWaVhzd
ngoAgCq7/TgzIT1ZMzALTo7RKWE2yrguwK414cF1XKBXNeExa4xSpyc0N7T3s8qg8YIAEQUmbqsC
fCjIaJPDudbfQnapxuUH6nnhV/eTDPDzHQfabdNL7iyMRVcIDfy15fKX1sZSOC/fWroRIFaYNSyM
plzegTPjNbtsVbncNWaBMbsALHnxWubBsqtyf5WbM8HEUwYysjSvGZzqepNKt30w4R3N6yanFLnc
xaImG3PBetR1AbsRJ7puBtdxfB7VAko0ZaCuYR+rG9zuw9NlGdoSCIbl3Zp7OWLbcXGDdXrVPlwQ
n9ph+VRIt9e+BXLSVnTBuPpn+9KloCqJpDiNMU7RF3jASAweg9vS2QI4LtpsgDydhWpXCAChOU2/
daFWN5rtVq+lSihGZpjVTGZBr8zFixfbaizLKYAj+hRKshGj0ft2nADnavztVgkj24PU/CITSggg
jmYLNhhmPNqxD5yfFKa3FqPRbKOcJVgD3M3bumLHJLLy7uzC995R8Jj4zfhT/wHeHoigdov2o3Zc
gDIP36PPSQ7i0puDel8bbPPY7sqDsRgVE4/BsUZHH+M5CVJjICFcYU+72D7rjL+psgF74EQRv4pL
/9UFv7lc2LJAYFUvsl+kql9NUy/lMqwQmAUVxVLbm8Xu+9LMgC7FYkFcN5gRm+QinAT0iU2LvvEU
Dn37sbHA0Kw+AVPDqL8+zZWT3k0undY6MQcOdwOxW1NGzYtMuPBImIhOc8A528y4W67w1+o+m7XD
CymK0dr2tE/b3qc8H3L29LKe2245hnvsu67LvgSRZGpFzVt0/HEudHWdLaYy6YJ6UyMttwAN2osV
siRcPfZfRgxiX1ML8+5gFMBG3bJ+SBnf0+oARsJw2sQL+nUpb8MIhDTBIutczRMokss16QeW/Xi5
G6wBCBjlZnoXcOSDOwGiToaHP3dieFwVM8a+bURJ1Co80+eOaK6IjG78YKiEXdph+Ic5hte+g0nD
yIuMAIgPqjTrk8b35eTZFLEoQ5ptSonw3PdzJ3adJpWymjERx0Z1wseNMlmQdH4ymxJPmApFZcw5
9vE7zcsvF0d+jv0LJMi01kX/g2oeSsS8ySUlSM9pgmOp0WOwE+JCjq88hdJAs1Oxsa8GxwEFbUo2
hUJU/3JxYWcWPT05WUyrMFA4Owth3wZc3nLZs3gux6wMeBogR+q6a9zkA129YrhvV0s/0UtQqA7f
tg7Q5r1YLMEMPQNZTP3EwzQ53tKJfVREDreWPwl6PIe1ZpjxWZKl82KXssoOteu1x1mUgIjLUcnM
0d52hVPc6dAueJUZftIErm6dNuJ+SIFM2JMd6HQ9BOoG2TGEgDYYvy55CFcDX31VU2yijiTJgbCS
Rnzqq46So+11eSBLgiZGZBAegvoFrSJP7SIGsvGxnoE+eQZDyUy6nub2I1UJnv6jVIzSmeRH1C2j
l+HVZHLIzi3lRNPEVLPkE22mkReuwkLfFDaQ+uVfLxsTLzSuGMMau8/ezJ1KpId7qDU0DwnnC59U
fNybuWFDZ1S4SeBxyEweK9sVAV7Y2sv0jfA1HdkcqJ3si28k/jT+Fq0pv28BigMM6V2bznS+SHQJ
FZg2wtbjFUACv3g+BGU+7+HsQbRcHIqXScwAoLIdvYAPK5oxPA7x0PxnVPm/Excw6vqtuOCu+5o0
P1uwff8jfw8qMeD6C9p1ZAWYhaGTXMK9/9t1kgxz32EeiQkbBmg/Sgv8v2zIofy5yyzyMsT8l7TA
+itCoY7XxkU/6JvRP5EWOPabWSU0voVhAFK0SPMIfH4z1Cv6EXerMcruc/Y2WWFEsUs8pRM8xqNY
uO6Di2y7v2o4A7tdHBNzSo7WlPnrAvfWWd62F6fCoIDnDZGsGJxz+t3O0INXWZic5Liui6ku9omu
zfl+KFvzS2WK2YQx09eEaHYWoYPsRqvhGmlSuwinqyZyid/hgDguO+6bw+nYrKK+DT8ZCxVA+qjz
g8JtsdlJNBbkQXn2wjm+SnSjN05UYgpeZM20rh1/xOkd6nOBVbHo2IOOiwWzaXwKsb6ElwXGWTtR
cOunU3bItM5PkrvnEEBvfJlzSlTXFJG/6mo/PXf048x2GqnuJwJqI3bmTDiNI/jFK9zuh5ApRynQ
l6VYccac31OWrIdk9j9lGFK97yc/zW+5RAx8LkRwR1AkvCGVyTRbl/4yZ4RsSJEbyWhaUVJk6l3g
DRA0eRPqY6yaGmuwCOdN0m2Sdyi9STvvG+RJa8XXP2R+nF7rWcqPcGEs78p3pXlIuLu3wMAMKUAN
KmsXEOaLgUnmiA+qk0TCJS2crjCYqqPR1+aSMYBcbV3FOrwLMT7DephAp3aVMy+EyinTXm+A2Xr8
mqgQn4dRtf49v8Q213YxVXKDakpuMnN0qIo6f1UZefot6EqIg0lW7PvMHXdMH7DearNxMzZp8NBq
F2olJlTJxsYr7YGqojuqxsWNo2qtB7zBKMumCnKcGzBn6TrP/zILAG7JprmFPqOXxJ+GkfsqUVFo
7draECc3MXN1Y9YjCPvRhiUeinWEy0gYbnkQLh7bzMXEPeVc2hxIOrLclen8P/bObDluY9u2XwQF
kOgfL6oli12RFCX5BUGJMvq+TXz9HQnKZ0uUt3R8nh07wvKWJVahS6xca84xAcyVQewh8wmGokPk
F2YUsEFcYpXJgtqgUbwtAHGZ56GLuFaLMboPKO3YJrva7NdPaBDdJrCrThFcyZ1COBujfTfn2e22
DGu66jKlVc80s47iF4LmeGuluZuRuOPJQrsabVorTGvn6qYjHO5qLPuYvPVyeqZTShZUhrR6x1Cp
kBcoClCNdQyFyXBjUBQfiXMS1ZGtaW4EvUHbfDMtqt+ht4W7L6MkwamHt2UTNyORXVUbFjzZoecS
b1nLpN+CTkW+Wof1OF4tSzI0jEUsc1PFXM1tPRajsWGa0ZLjpBHkdId0O6EZWwyFe409dLrJO1s/
tJk7MAE0I8kdZ2kKjs7mNdfc5EarmCgDKQ3zGCiW7rTbIgc1LpKuItphbqJLOp1ohPt0OfuD9kUj
WJVnCjw5OFo7lfZNX5kd+TUN+0zyqGT1cabHYAWeHOLHhSqjgltYt+WB30Qm6msMVI+sRPKBjBkY
fOR7I99K8hyGWq7HgvdpGpqEtNbtnxMqaHtgj2Imdrc8jJmAmjcRawa6LyTuy6s142R2nX69hKk4
U3nyPIaWn9IijFjNyFkj5ls26WGZTe8ypd7Ptt6kzfPVrGgvrtmVmH4R2h48OtsqeTpEcs21qvZM
mtKtWCzzrNVUdXtziGmZ+6k4VU7p7yArgW3Tklp1nJW5s16sZKuDG+Q6Z8D7P7cEYT2neq+9N9t8
/NTp89juqPMsnjVrpq2bLuauMBytv2gjFTdhouTcOXEXtSf+gDUEhlYj+bIFvtoocDzcvpdWp9kC
tw5dm1oPUplbI/NtJ8YF6ujYIJ02Qqg/1uORiBGz2oV9MUV9UNGaYq5R1oMXeHCgHrEnm0/QYz9Y
3MIAx1Yoos8e+khWvXtmN2Fsoz6U217EzYXrl66+o6piXKxRPG3IgJjvy7CzbtieYwYqWtQd11Nb
VddLvzjpwWsq82PTzx8BK4xMvp0EvamRgJxDo6/3CGXHFCMo00njZpFGd4+skAyEivdXdEaSE7aY
W6xcLvJYmG7v2qTfaiGwJ2Bjk3dDloTx2tn9V/r1G+mXQb/zu6btT8qv/5c/f34unr8Xfr3+lW/l
lGe988BVGZaDN9HAOkg5862c8rx3Fhs9AGTQBuBLKeviX8Iv1GK0LFyqLDxwDmiY/wi/9HdCWPBQ
lAwR1xqao3/g1PxJh2U7iJP4FhRTyMveuidT2mtWR4EBeEBDbZKkkp2bb3WP352Tu9de+/dDjLeG
UCVbB42lCLx0j5G0/djHXpBZyXEZtWO3sLPOqkJuzUH3btkSo2759We9qQ8BYkCnUZheQRUEsUuN
KL7TsnEt0s7HU3+URuXfsmSrpA7DvAQniojeKUhz+PUHQoXgR/4wYED1ChDI5u3A8MPVVRv/u4+c
sw44qNuGR/IlQ6xBTdVfVZgGSGHRiorRHvv4JyDvptiTFjeaWxuQP0KcaiL0oLEj+KbjSGE1zGy9
V8+5XyFkCaTfEnuBrIIeQOcfiF72D6tfhRGW2LDlVBkiBjPcLPcPudb27/HclZf+yCZfC4vkJpQk
q7Da2uVWVaQHmqLFBa9ruWv6rjjzrly++jgVnmJk4E/kNl3rg0x2NMRK2s857S1hZtdY6RzFJjWH
s+iIxFjMpbrFlpK+F3pCNYoMeW83cbkhM3Okp1VOR70KK/gcjTh4IxVa28hpB7C2DvLe7E6u0Vc3
be1N+Ksy81mHaXPMnanZLq02HRuiG3CSzX7o0FQgEq9DcHblLMV8RlgUD4HeTLDEW8/a6x0xesBY
yN3aQidxCdhzX+P2aLKr8D3qpXTvlqzQJEVwn2+obfSasqkoPw+tC8FoiLwPBGyIez/SffIy9M5/
Sb2uhsLht8RVFUJWoDDTZN63RIYhsQVCRAoIen0CIaz8Vs9H6jSHdPUrd5iGkxzK6cmTS86GIyEA
T+TceykY/MBKUmLJTOM+nmk6hTOMEPAZzg73afsJvcW4r2a9R+juaHYwV07x0hZFfIjL+Its03ob
AR87RTj0MG0sdlzsOk5OzPvquskL3lWm0M5wh5YrnZkulsPZyC6cctS1LWPxkIZ+pT1YtDQuQku3
jiN8yZ0pk+yKpv7wApOy/5wZKl9zYRBb7rQ+8S85Bd02Dp0vDVmtkzG1N2WuJiRu/qKb8xTQ9jqF
CoyZZdF7v9MSblLIUxqJGMSNFChfZoK/KmHRZGMYEbh1f0q11jKDGbz/Bq1Q+swmL+QPuzh7Kdrg
Fsrd7CLvCCFVXvHCv7PnaaKvDCGMW5unZ7bFCN0evVNqEMJVYD2wW62n91Eun/uZJhBX1v5MwzW7
JXVQbLOl7+8bu9do23j3CAcSug/LR21ozRu0PfTB5NLdaO6y7CbfmR7K0icixvDHPX6VM061DzjK
KnFklD6N5CwyzJFfSicheDkch4GM+SFDEx4gtGLHsXQpCXlRkdkongaYojInMu6KcYecL8i5jyQ2
xKhRkjlNi5YnCmSLdAOsB90UcSKqZkusapc+Wm3q4YwICHP0xunRlX28840OGLFNmmRGJFJGf8pu
dLIbe8D8B7wzjotJw4q8PT5lYV9gwaGuT4gJ8fZd2iWNhTWxd2hIUmdD7qdVvSdscCQkr2EOGlSk
AExAqKE5mkENdjg++aE2VkSWhpP9SdQxkUSBXoZavJtakree0mHS7H0z+7b7wl6LCxX3aHsvM5wR
Q/uQEfJSNAfDRx5HMk724I/o8FrSUdWHuSRs6X3+5IZSazehKUIZTINDrM88kj1DXCeBDmtyr00X
8XISYYOperaP6Jl0F5+pTJADLrCKRVzRFuxwyLtE2Drhg5TD9IVwN0a4pVHWeyvDilfl+JqDwSrl
NhtyC6mjXl4mMzalvhgWzKNNCDpD8yh+G8uCKuKOLlwMp6tQDSblzq79flN2Ook9GnEXXIHQ/2Md
fzW9Vj4gFg3JoSo1Feo1TsV5Nq36qwU/DDtJqHJqhIU5WvoghQYnyuNdK6fqwtNz/za3E+c5hyIY
s30dDSjjbnHWJqJcNxnTFWJYHTqHnIye3B2vzZ9MnS4eyXgOSV5LUT1EBR3eAN/ywEypyjAJxeE3
ZOq/VeBvqkDTZDz2XVXwUxn4+LUkWLb7+vX7QvDb3/qrEjTeodV3KREshdf4qwr09XcUFChjhIcv
1eOf/6kCnXeIKVDmo+ezDOwulDrfmmqm9Q5VuWq3+WDMIKdZ/6gKdN/qNkgGoIDxAfabNOh+YuG6
ssXONNklg6CsM+oDoX6MiXahNk0MNgv02IHSKUxgtqXcFBDbt0Y3mwcXwvCxKdCDIZnsip2wQZ93
jeU8zpme7ZxEL1HYOB2TlJbtXOTMHwtcX8j7iId69qPSuBC1jrjatycETJG1c0P3ZUAKdUFoXHSw
kzLaYkltNqiQ482y9MNBouMKqDYtnMP+TLJc3DCrKz28gSn7a6tugAS1XXExzBFDx8TZDx1ucZ2B
xGZMEwaYhGEeS5nkrBpMlpGpIBkL6ERWH8njaw5i1JbLbsSjgEvTcT7Tb6jjgKDTvGErF0XXVSv7
9xmYoKs5XfR7iNNiWyIJGQfDvybcodl6RRT9gdmKEY6ZjcfFHXglJA0WrFRvD+QLoAVMsLu2pjxX
deVetPhq946WyWAZRuOWioUBS7a1qzm707wQA1rIQMKQk7fLackEQ9bYD61uEqrc8HLVF8u68tO5
u4DbpKFIWQzAv7GGLJl0ykw0tFDYUW+7VK+uGwcE8Y68A1qJ0zQ8GlhUd4KovqsoLOyDVRvAsRsT
1c7SLed6FN01OQxhgHD+0ZmL+YvMBqqWKaXz52bdeQHMhT/NyfcO/IytVs/ynlrH/TwQylOX8g+9
SLqDUZvpkZRCccBDGz6NzIn3aRo6aN6cTF4PUqTXhIoxdfHqGeD53AP/L/Jxm8Sed+yctt1ju02Q
ZDKjgXwjgsjj5djK1v/s8db6MwL3vl/0cvY2DbHHO54bmsFy6vIrmdbv48FI39Olks+aA4QwKBdb
v9aqbDyRiIh+ixZvjMSMYXWNmBMfREhK2pJ5l6HulLekAlfX+K/ex7NW9wEK9OZI8np2BghIhg89
y1tRtP7JIteAuEQiPYi8N7TCPQ7akMg9oe/o9vzByrLNMszTJVv+fVoKdv8Lc6w96gkP9W1DR7mp
RHGUg5cydSUsLUDyAZeNPGjgYbwRBZZFMFudUaiciKW4I/T06Nu0s+OhbK5bRzyTUOmGV42Zz/EJ
ANsHJ2ndezYih1DzDO2iSwYrFAdK8ZQu3uhPpf8F0XGT7KJQLrfLOHd33QAU/otfYjC+ssqBcLF+
eG/Xs3lHxlDcDrs8cx+tsEt3fsuUNcpL/3KqXIG8L+xyCT7Aqe9rQunARiWExB9ry83a94JQ9Wze
EmNLl3BbEvADGoA8+E6js50K/ZaFkvNejMxVQweVL7a6KNQ/LXAB+o1ea9FNI93C/aBD2G7aXQcG
7FzO/hC+EPbYkROx+AErXBDTyLN2+lA9cOfaWeD5xTAheLcMEtZH5Y7Uez/97GpUHkdkEZhP7Cqf
tKDyhoGEvTWpIgR4bl1PUeHDBQCVkrGL507RpRFdGHFPIVw203zHLNB6kZbZZwcBRKY+urJxIfpp
ic843aBG2JV2xkei1FH95Vlnakjjv8DunlO16BOqQtY+/Ht9RqsxEL6CchVRkhIYSgVb3eIkF5UD
hqaJzf6U5ZOtb6tq1ADPzG60I5rXuZ1xCu9tC2Ye3HQE0Cjae/SCRCY/5hMCoJYkk5aBW9vom6Xw
J3JYTOeagGpCUxOf5362w62d5Va/EQP5UIMh4kPpjt6hotq8K0V+tUTMjYLWsKurObbjU1jXLnP3
3mJEiYVO9dYSpOpDSQ3Sp45Q4VYHWwPtz7Oasn5FTrJro8rU9rqb6A9ujobMEYiBNxBNtMDRyvIG
D3t1742ug1egGT/ZhETIgM3+SQJvCPKmNbbZbEWHvu0XsjeWIWfQ3C3yC5T9z7yj2hsFFsKUqZqV
Y4LoRuiN/hAtRrifITm+t0FmnJGAhbwcSgQfwHtuCd/GwEya3uXIfvbLIhz7DoPFtkM8fcHSGR6J
ttQ/Zq6RbKEpeJ9G4G0VQAxRo+Ft5pO7uMs1jBXynpuZ2egk0z/ggxqXNhNR9uDzngrRYtujL+mm
N2PSstLRtHbkyC93NE5TmCb+ocvL+j35Gv2FdMbhoIhsB3ssbKYZxjSRpkh3espxP7n0QdJtOwsP
tQJLPGoRe1u3oHImPv9h9i3mxQYFYyTC+I4OKfPlJc522CCig8MB7EnlRbJtTFbM0rhYHxE/Yroe
bb9+Hj3RXxMBYXwdB1Ht7Z5WbGaExtFBc/ZBxbPuhF9FWwiJ0R5aC1K8ss9vMn1qngaew+uBiNc7
2zb8Kzz25QYhdHqFtI/doRmPNxnyJ/RsuXPMl/GPxrOSK0Jy4w9hNeg3YWj4/JDOoRJQoqLBq/QN
qH79piP+pt8kPPl3dopxyxdO++wpMWRHOLc5L/257Wylryk856KgY8JcJl5ORppVn6cuaoJ6LvRd
JitiLvToQ8iIbIPpRKd4cIFWEAO3S4jz9ALdwOpehvrOItvz2k4S/WRqHZAK3v6449FBbi0jpl82
G/17TQy9t2W40rHDhy3ia1MVdOPs+JsGXdJm8T1JVHgkeozwHtS2QM8cI+Kn6ZMHiICHuh37LWGk
9rOYUWHMVkzwiaunijzRZn7BU+XI2H0wv+0HCZ2K4sfOQYx8XovWf+v739X3lqPmzP8dyfe+f45/
KO1f/8JfM3Pdf4exiMG4ThdQ+U3/p7w3DOudrjygTIfWoTmd3G9NXovgRkP1fdVu4K+63qXxqyS2
JKzYr2bgf9DdXbll3zUmccf7bEJMus60Q32Qtj82JiuYFDGGSXntl4u2ZBtvqiWqD2yKT4Ximmfz
DMBijKL6hLcJhrhEN7MCMleodNuwERYK3pQOoN6LxIB9THD9XcGTTwmlttMhU0Zz0pWGrSgcK5zu
NZeEVCAYhDb61vs4nP2iPg4FnREnmkYU1noeardKxlRcVm3adj6Fj1F5f5q1K5PhONH2nseLyB2Y
iBABNmsplCqvGR/qkZP8oJXUGbvaioW1i9Kp5QkHsG4y+6XcxHU3sujV9ESUaLcJiImV/X1bWCBW
p5yWqGqpEeezmNgonfCxLASDOKZ0Rw6Kbf4yaJ+BPiePXmqRFsQAK6XGY443t80FephoH1fh8AyR
MAnYZFD5JlkLdYyyf+Njic1diFyLK8rLlGE6cewBcgXEptOEF/mEuVZFK6YqZjEmB0q7IBV4ohuR
aZF8IKoKo+dWB+oa7UNCcYh+Fwzbh8P4mt8IOyM01DqUjU023zu5nrTXNUNldj9BYQtRjBf/rgj/
G0gn0hKLnfh/XxE+PHcxm8/+Ry3Nt7/217qAlgaiJpMaG8k8ME4e/m/DH+h9717lNd8b/i3WEYXz
U44FXPgkJP/PymDZ72yLOYVvqtgYBkr/aO7DCvPdxAKiI5MYAy0g65XuCHoSPy4MiE6aAbOqcy5G
WsebMpmHcwuSzgnmqen++O7E/M30R/2w/6xC64ehJ0IZpMMx4HDfuBgie7bQyvbWOSbD6NMakSX7
0X/Kkp5y2BF6/SmCtvnsq5Cu/8NHYxNlbVYxEm9JkomWGci9Deu8JoCXfstU+jWWwx3w/preTEGP
6gPJXkcCa/Kb0dCPsyh15PhOBHZ1Qoq4cG8/XpgJynqSlM55oUConjYyzNd7zFeXSaU+bi544f/6
kAX3yJvTzYdyq4CHBDTrvs2vKOsyHKLaF2fYUeKxpGi+EAUavj2KL/+pRjx/Za1xegOywO4ATKV/
cWpoZbmGQ3fTOBVDKFdlknVaS2QYinzrGXgm7dDQHnXjNNZ4DqEdkmkXACxjqzLnJeirXx8Hz8ZP
h+HQKbMdwbuTd9iPt6g3eeYwu7E4G4PGvaLatXNOn33vMdh4zBNZnWYFd/v1p/6IjHi9YiSG+uBV
eTD49cdPdegfp7PdknhljNirST/nZVHGf5LW18BehrJqW8Q7MrqNSdlT7J1ff/7PDyZQjzXqQldQ
27fPyuj7Jcq02Ti/wh7VAyN9gFrR2Bg3v/6oN4ae9VhNUo1cwkzJ1vgpGQc/Y1/q+mCcLRWYodUx
dsgxMSg7Q9OEfZ5Z1vOoO+rpJIlxA5KKh0Wj9EZ6F2u/udx/d+AmbU7iW13aoW/vWmFpld/ooX4e
+oaHxHJDuO2C1iMeepU88etj/7uHRLVieS75H2pCNRj/bmRr1KmeaOYo2DJQvZcS/9crsXJQ/NKi
Ta0Lc+wYAzSETgb4aY2bYvTnaCNTol0ZySzVac0RjRp7jnYrN77PRv815jOOR7S8pUx5xG2vpN3j
o0jK978+iDfhMesFdAXXj7kz+Bju2B8PIs2jcPCkb5xD2orNfnHBr633Db2z+lPbFhoehoklV3IC
GQX52M8XEKmd9JtjvXJREzSJ+WEh17HdGjALCVaBcfrr7/k3q6BLTQyqCTiEZetvvqbGZGt0cCyd
bdTOgEgVngiLCjwQPYTcpPIKf/2B4u3N5OgY/cDmoNemLEeQ8eOJKfpIpHomu/OkMkDtHkA/GkX1
DxOR1cDo8q7FN+IEYRJCbsINCkZgon/4kGCYrQOzlOQvVlBPUuAeB10le2AKYOFU98R6ipBV8fJi
hw3LZHSr08qb1hR8X7gc0CJJ4/j1UXEEfO3vX6S8rBF8AM7BWENAxltM8QI0wW0Q/J1RpWHur+XS
blNydW9p9cn+WOIxmxCvjcSkCxuBHe2PIoz3PjrGFA05246NnGvK7VSQzF707h53NGq72OkGJO1G
JE2CPu2QwAtz8Rl1x5MG3ayIekAIuHroLSgBn+W7RA+gn+TJSJW6j1eAEvqlWMotry7Pg5IAel2R
XonCq27GNHRpiVctQNVa5NpHA6vPrVHJ/AseZ5IPqQNAYchlqfl+Y/wi7UpijpPEEiY97+9L3bcL
E7txWt81qzpxXpWKJMaCz3PBTIB8cbX6aSgRm0N5cd0H329ixThAFxwQbdigwrIjhIBomGW7wT/r
fSZxGRJwWZD8Qp448q2gwR3bXgigetpF6BnWlYgGROo15mIMOf6DnEZj2LiMa1tmcyYCzNTuS5sO
hGA6AW+trrHgFnm7oQETh1svZacVxQOv3Yx7xJUq3hR4CARfaJnRjtKAHE+jpzVMe9Z+7rANJJvS
Y7WhBGQhHhUG9zViDrcXnJbQJLnZ68KcVhIJG+4Vhtts4M1sxAYyhOVVPIppDyUpvv3mCo0n+tLo
VWxaJ7N3YUVJfANsuf/ilZlT0SGK9QNCjnbrm0V0gy+z3bd+Ag+IgMIJM89HopaSSzF6SAqpAz6j
eK3otDbdwcW5vmcrVf1Bu8X+SF8Pq4NTxy/cKPPXaAjTPljiqNzqA5dnE4d9eaClAgTAcEfy66JC
B9cTlvOM0ZYGDAkM/YvFQHszs9OqH1H2JtlpLL0us8ityP3i0SUxXvfBouSycreFW4CYD3oUfyS0
KABBKPjVgDdp1xt00ZpBU19q0im2iOL8+qOGLcTk62Zp2W5lIwtvD1Wd4meBU1dl6BgC8BfVSccz
abLaa9Zzg+YPbXDO5jkoYKC8h1rLFVuD3Qop4b2NroJ+ok4B+brmGMcQ6bO9VTb8DFqmuPEZALBL
xG2fo7KqEKLomJcmf+L2KtfcXUWSaRMrOg+ut/SbRQJaDu1pIgpJp60EiZjVqAASvWLeJ4ELqgMS
e+EMKEA1i3XItQo26S2k3qDhCfU2+J358bKx+XLsOBg9M697GhzIf1B2qhOuJPHY6Mr0IXFUXfXk
hTDpZ/iHzw4zX7Q1jJ7fiRao83SiKXyErvMbcGYwW3o2J6cVvKnR8ajgzDY20huGECwxShF2Fa10
aLea77/JWIlPZVzBGkkNBwDJ5iXq4mQ+hpXXvZA0xalULfrHrhv41/XbFsNAi9yE+XKnUBeC/N9E
3jVrLZLljtXego1pj1EEoxxBu3EzWlSGUkzG42hA/1+jeIaE7YaZp7iuVOIw2G7ARysaWAoyj41C
clA8knxSFo/dCwiH+T5V//YatxOlVJ96NoIAVwGXNF3AIyjYaeNHzac0IxFtMyedvF8LhSVrQJ6u
kMC1oZd2OZdWRRHQrk1fLDNX2AuFBmZ2pN/QvNcwdIV0ONucnBxuI66dUN+2rBpePB3865UfDviC
IrxSuUu2kdWfwkHFNiP0gLseCp8qfY37G5HQVBdN19ZcNP4OMTT0GOarRiOae7MWOIMqVbIl7V9e
Nz8rMlCmSIMJupZWvgGV0yCerx01ALElSViFbT3HLmLdA68dvmAtGH4GnlZO6Q6davg512Icj+X6
CBmhTVbPSM+EMog3D0rt6exZEzByv+Ma1SGSiJ7/60cqrx0bFmtbpbYqGb2XgyExVrEMAGbnSt+Q
2+tecDjVCXqKc5/IAQqQFgMhYlCzBlTyxu3V7WmXuXGjRyqeKrMUCjcdKVctj9Tra3KHtPhYxCF7
QMNBNhUQOu2ZO9p6fBl8/R2UoIxzBuvIf5rHxMUT6DX5rm90rGFCgX9zQmWe44JeDrg1TLivi0CG
q/qe/ErOSs4o5QpnhHnRwLk41Y76+GKC056qpz7vMT6nRkUwuaKaU+43xyY0uaqJAIaQ8yLnPODk
Pa1o+DUSHiep89x6xJtmek4i+msOeARI+aptO77Jeidac0oMFIng6t6gRt8Zbc7iA4cl6u78mazN
C69SFwisGEuTqMLmWLT02kEtzUiQ2Y52u8XpFQvYG6iBBHOvB2Dq9rOZYjEUGiq8DZwMXk2zB2DZ
VMBNU0gDokyY+qifEr/+BBSB6r0xJkD76gh5E833aMtYgdoKz+i64YW7AHefSOjHMWKLmrB0I/Zh
S/s4NPwmkedcll5VaQseGbgyqmJcX5tyQfyHsY40INNTzvUFSc4VAdYasH9REOU0sJOJJfVdPc7+
Np2MfNm26uusRsksITavHhATbUpFR80hT9zri4QI4ZqLiVIA33Jg08x/IUOehwusBKtj3LW2GcTc
8kxCaTOSAKdiPiacE+SW2mQk2P6Q2/dzOymzLDNOhdfX7WdIVdw1/Gn/qVRjv5wcZmD7lXLwwsDO
L4vR4W/nQyyaB0MXE7dImHGiF5UamqBOZO2bRaodqghaeEwpEqktuQU5QFnXycNUJ+B1LVIb91FF
GqwLaxupiPj13g2jmdfarGKOZzeRnwkVC8/r/UlmUnhIaQQcxrKxsmt38LhFPH1oj/Dgx8s4Airx
7YYopsL7s3bHbNwULdxqDT/jLldz0YiA18f1rnDW0PZMhKCqyQI4GE1JHottchIy1IHVxilRYwW9
XbISySXTNi5ep+7Q2oqXnagD0gC11UHSgtxrrYn/JimECHwyhHFjWBwCt5zxaBMwNW2NPOLJcsOG
N4wrCN6DwkLSQFqx2puJcQsWBF9GvHBT68Aohk0/sWivK6BFJlfB1MXlZPehpl7fTCiRgbgTj416
AZUBLgCJu2TsWRSqqB1DED4eWPFypXunQ89jZjaSz41qOd8Xa0JCzVbtyVeIcchVHDdaPtxik7B6
bUtLeTYCcjJq7BoYiudjP4xlfGsoXcZFqeT+r9h628NMypu/4m7XjXAhMcweKEIiLUNJrObFJbN4
jtf1pztrEO7D4M3FLUPAL2SmwEAH8360ca4FrkLEgslL/4wgXgQuHJ7AdNhSb8bK5AFWKlRGeLyR
ZDItm56Wp6904M5TlhKxZSc1q1xlTwskwCEl2pBgWYARSJyDeJxRE9d1em1anWFseGsWF+zs52Np
IPvY5DV0jxB+zZ/+nCvYhphZDCky8Rh1Au/ZDO1Cv2zU4n+ZhhGNSD+O2WgPVsUOJmc2q1WCLgxd
Npi6eThpD2ANuTwtPCE6Vb7BSTLtZb6jAzgFngmchCEZ61IzUuMUqqRrYo9YtwgkRT432mZQI411
o5xhqj1Nps+j6scNZAEdHvVduLg0m0RFfcAsg286ry+TkHntJ7r/Vfa1WuHGmV8TCqLe4QbD4afQ
U6Ha68Yw0qOyvkTgXbPk9axplTO74Yl+Wnt0Y7hNiY+FWrnBbqLZ9p8Mre9exALW0kHTesEejOta
OoL3Z6vix4YiYrVanEQ8jmCVN+u66acZi6PPC3O3TmpErurNOsQuXrQY1bc4olijZwuCQ45Ot+pZ
99qGR6iHPn9IQi0jNtjeO5FamZel4g3E3i4+Qt5IvlqjQ5yZXQ88cb0Sx9gZJnvttcJoIE1rvJmL
rPSIw3EX3b1gwzb3x479Da7CoT1UfTfsc0sIj71Kbz8ToGY8AnWmZWf7rEr0eTglbgqojDQywU6i
cHixOKN0HmM61tulIfWvVqky7aJIAK8ls60Xf8KOnwlTYGyLiLVwvZ0je4HaFTsVspT5/RyjtY0t
mbyvhwhvOk8IqzO7HcCIaGhQhzqFLrAI1dodTG58WqQm4dkyMZMfRWRrX+Cu2C+pPyxfc6rKPxly
dU8TPDJArMju6Vx0+hUsv+oAlGv6iHAPV9iwOsSgYaXNDvt7c2nDHL1JXHxkUeokH4q6jx4cJu7z
ZiiQx2TKdyY9W974Zh2+jzU3+1I1kp9krxa1ZLWrLat1LdejiRjGXkd52/rjt/Cjf2e+v5v5OmsD
5RcTnqQDudIlP5ilzde/9Zem03m3tokZ+toqgOw7d48vADQbeKIJ5/Zo1qje/1+DX4a8nknlYPBf
BMZomo/f5r/MhFkAXfoZDqJPWpP/SNf5tvGGSYheKgMlk59m/DT+ZTARZwNvytdiswXmfGcbhAUv
UrLqkbdpP/+6RfV3H+gK9FWW6rs5a57zd11VYktFLerCPpkIYbbGCBVkUd1rh1SAY0TM1m8afW/7
fOoAyQXnfDFe8by3XnAf8XPnMy47uVXsPJNATUCHKlY7G5jDrw/tbe+Nj+JSMxJgIAFu+y0iuyUJ
OBoywzplag+euIyq0MWwNGGRZVVdiF5zs5T1KuSl8+uP/puj5E5ihIi+gDHaW/L71GSj1DFNnDpB
W7r0atWGt6EGFZTPxW/68D9NBThQ7kDDZ0tu0M5522Scq7wr3DmxTlPFMI8toMrOmVKdYnjsXd4W
JW24+BIZL9sd2bJJZg1UMSFzTviKLuAe/9PDh3evUgQRSDsknqkr891NlRox+9wotE6v8VY+Gnk6
snBz/4+fhSaDwSu3MDfOm8ZxlJpkpkhpYZsl8WewSElx+2K+X5PCfn1YasLwfTMXwbXyi1m27SJZ
goT+42ElVOO8fgbrNIbxn50g1YsNzD+dqqwfwoB3/ZVV6s2Yg8a25QKlsU5LRuM69UY2M55DOpdB
7f27aaehzs7bQyL+0BDITTiFb92EXohKdtEM85QKYpNBnfKZRqhRfRMzCtqK9Lhny5E8pGrgRKSf
eQG30XyVLPx3YuLbAag6WELjha4eVVVk/HhmQ2FAWFbOpNnrxaWJH14LGlUa1VrHHcrGp9hlmWid
QC4Dk8z14bXVBPR/kWH/88PLd7BMcn/VlWYG/uOXwZmHZDqreXhVQttap65J3exkfpfT+HcfRTQF
THiUQ+ZPc/a59thiu415SmxOr+9HPLJarhQ+nsOV+PXt++NSz/JtWaQFuCpHj4/76fat4x6VcVNr
lyE9ggX1XMucyaTRtUw0KsdSsjr8+hPfkjD5SCCIrs4reL3Ab6fpdbZgRDRQxushnQTLKyn0u7ZD
B4Nn/T4Bsl3s1t1A7NE7w+ZIN5TpwcnVVAIyMvPmuDS8/tYV5LXVIxe6KUFIXhwDbdWW+fVXtleF
1X8eCRQfmHfXITaSDhOR2ZvLj84nBfllWpddrhd7fQEGVSWOto+MLhuQEheSmSKbhbYKQZ3V0tkZ
3NXnluZKscOMx84zhL2aMHoHIb0Q1PMyo1HE8bXuagUzjHhLZUgXxjbY5iGxpQ+4bnpyLF1HvH39
yxra7pIY0GIAAKo3CXCnvZpaeZFlXrYpJzCQ7PfukCXSS8So6j8RUa2lG5IYG+NodDY/mnA44HaF
T+TlBjtUaAbRkJhwCcqGz1ANKqeL6c02QCQDa7QEVivVlOviijukXuPTKrdfDholtwN2yaxOXR8V
9OFbg7i8NVmUKVLzya1LUV8WRiLvcVXTMwZ+SK+HhJPkD0P6XDJ3MZ0sCyb6Q08NnKVPZZ85zxn6
Tea4KkhaYjl7wcqi3tCglp4L2qRf6iUUx7Fxm/vWIdkH0jAWrySyxoD1d4QTA26j2KzdR6h2BNsr
PSb5SdrGnC0ClRgXPklLwMdSHeB1dLzuUEkP4PxAR3bvuy5ansSIMKH2La7TKrYzyHh4yYpIiMAx
CTJduhBEv4d14WmoJX8KGbp5AdOWn1KobffSc97Q/bMtW99yJW9qFLtOTsR5EbdQMMlCpOXmumqj
GjsWk4lSLu5lrAqTdUa/Nt/1VLD7ZZo273JdI3xybZA2ScNdk6FCfHadjLMp07TuaQh4styMekja
17qV1OhvdQcYyoyIxawEIKbtZsVuTQ9zqpjnr8LOCPhm8YybWGPwtZV2QUuGhj6dC3DOvG9eNe1G
aXIvj2z5nnDJ8WMxFHhKSzvf1Yb3/9k7j+aqlXXvf5c71ynlMLiTpRWcE4YNnqiMAeXUanVL+vTv
r23Offc2daHO/E6gjBdLUqvDE/6Bs0jKCHDH2nAu7+ipkd8PgOSvt6jZ0MYuaeGqHo+ykG4akJ1O
JA00SEd8yL3NPduwio/2bh76T51S3WO8let1gwjbfsQx10H+g7re0SlthBGbHnBhY1oJE2KXoAC3
ft7bUxZSndtKjfQefTFkqKv1JsYy5RLB6h4zpTpJ0jKYKPTT9kjXblsfa2xdDgjCDMNFjeIYkVFY
w3u1p+6ekhG2a1U2txQMhPwRI5t1Dp5vvknCYEYJbalAK841O1O6maouRsLAryWAj89hU4vpCLUh
fAFJCAZddjhdUKjPjwbIAY1hHsq9U/XdSfVzf5NUytGQRabiKTcdOODjwzUCO+GJPgQOl6uMxlM8
6fALxnPyuGK1+AQUs7/ARiFfQXz52xOSpvUBUs2WTo7iNcZAfVL0GrunCh1oiSSZcZu3RXQywSg6
vQs9z72BGBxGYsAdQPH2CLxZmo2JLkCPztpMye8cOMtwXoliOq7BvH7P8l4fCqu07tekbz+jXI+0
x4rT+NCVNbVpxLnhiTxHEhUXbP2sfYaKTDor4RzboeeLYov6Mw1L5H6zvt/BoCocBPXoP8mUKgX2
VDsBuCeHfj7R5bki0o3PwOGvwb7D1nDnZxkX8psk2/tzjq55P0yU5SekyfrVOrhtP38c6nDEE7Sb
jigWr1SK7ZcmmvrPSVO6UISc5ThZmbefG+4jQUPknlNpQ6+J7f0q9EeNoYrNG41AIVxRf+jugHwN
d8DrmNQWOvny+bV3aLkVS2IyrZ1DP0j8cMPFlJFcD4eAlN1WfsuFzYbUG4bram9MWVvSyRIR1LZD
PC8BcPayWCio9qNND5lW3JbS+u+/ZA4Ns9eK16tZoJwSzuN4DnD7bAwJ9c3F1nYW7GDfcHiv/oKv
Tq2I0LJpT7S1MC+jcKMGQ4Wdi2A88xcfXNhr82kYmLZpHyn6JjW1ui9uP+bEc1jo4SnYGx9Qp5iG
9imoMIn8sQ4wp2ktyuzQRHJCQNvX38GkjHka1FbwF8pDybkokukMTxtYUN2Sl/OuQTf666Qk4tCB
dwj8Ms/TbGX7+Nxs1mx9KLcB5G7sFvGNolqWhk1ZHwqtx7PKCrfjiqj6R5AMbbRLIl9/VIFoH2hR
/HCb7fPi+s5tLV0KVwhDNambQGvy58H9lssi/4aSuv6QzxFvjhWP1LGq84RWRKTxuixKmHpjM0UX
aMHADl50MyAejqPomtZwAfQZ6kA2bLB+vR4nNMbCbSkRgsIXw9mFvAUEW6gnfLI6tXQHaAQNKrrC
R759a25Hx58f2jIeU9E704uvrObQw8H42iehupThsFGRy1zo9FPsYa9egJ7Q86aTXTs2bBdJFuyr
NvYvgCt8zQZLf9Ayr8HRzfa1KPPgqdZhnacCm2XOSqMWRQ07v0koml2LJfAu0FNAQaxQ+fTslnq4
bJG/OHRlMF9id2RlOx/xCHFy2PKOFsEsGjuYL2W7Ev+S5ViABXwM62E4U523fYC0nF3Z67zdywIl
iETl+svcyHE+4LHslxdLCZ87heRhYbOY6bi+CRcK3KekmFERh0t9VWHc+BGgs5ukVj23HULMkV1T
F431jeaE/+Gocbqeh0GdFg7Cy66asAoYkiKjau+QXhRsbqfaBzlNS3mg2ZqrSN3nrtIQlqosMO7J
jfhSL9KDTtgEV0vpso169grbe0QKDmnKVswZPJHevZbRijIiCConPsRN5LMhOvp774ZzdkwsdEhx
8fDPfX90D6+K4dMclQ9T64wfZ1T1P8XN6h8Uxh/pVhmDSiRMkI6m7L1btirae4OOSsiuW/ENgA7n
kLTR/ISCX+J+wFDdqY08pUM3GkloOCO34MOWj7bQFjwVCZii9EbvGFueiHYgQWHmTxHU2t4tk+k0
M3d/IGW1/DXEnnzBSC76pkPUh442jd4ppflF16VCSFfsspi6PWpFIxLNBWims0gOP/DSyu+mCljB
bisneeHpBZm7vu9GJHvLcYUAIwSstk7cWg19YdcOM5yMcsNm3dZlAVHUR5DYZ1/Gl/WMd7LlR+pz
Qb8aWA1qt7fUhSOEEYauue2SppG7DvE5gMMeb62hgOQD09fNMn9ainHJ/De87v/VQv9QC0WYyIAH
//da6OX3Ts4v9fp3DszP//TvUigyj1ECuhvRHQPZ/R+ke5z8KwCw5lOHA6IYvIKgfxZC8bcDyQbO
FegZpTUHach/F0I9VCiBZmKKB46ZQgnJ3n9AhHktPP49DaM0SC0WPLZnhHpc910ahs5lgTZzll8o
J4MU6WGsd68d6OGe7uSpHJmgyv5aWXo5H0YfKZ6qj5MHhTnpmYhadfJGZzyhb2jbf0hqA/efiGNk
jWFWw2hByTLkwLHfVysW4rygdmGsoeA49LdJUtu38RZyilavzFXHcFhf2aylwDM295KdNagpbV9Z
r8h+OPeTE8SQYYdXZuxmSLLrK1/WLybnS1sUEhptYyi1mwotUAavTNt2eqXd+qG0YlTjAP35b6xc
542j278SdgvD3UWMyPB4ExqKDwjB0b/wo8lrd5hoJRex4f/27lodFpE8jm/s4AT09t3mhPNHXKax
RxFjC/u5cWmizLoav7Zraz/4mddXO+WLocIFBlrtLq5p+SC35xbNhfT6pj5in9eAMpyhcncjEajO
9bET2Sf0JK2TKDdxMeaVc5pnb3op7ULAKwqWfVhNl07eXwx9OD1GsBvuHDqyp2ia5SWK9+pisZS1
L6NtFDv8msOb0ffWqy4vjlZZ1fT70fZ8sPzki+1V087ihO/xlmkKY901RDt7DvS1lffW/TbXyZJG
xToddKmWqzzaPiDx1NyKdQbdT2cp2hF4O/kxri3/K4QhHIqGYtotsEW2dPaQJ3iw43p4UGXnoWEZ
t3eB2qJCpR6mY9de10zexyrnhDdK5rfbNh78NXOPY9JoQkJ7QYXS686XcAjoR7XdcYhkUaeOCOd0
8uzwsHWRc7Z42YB/XoLrAQCKw2ITSvubxFh8zMN7Rn28BIMhjlXU2Bc5JJSLxAnjC1pxTb7POrv5
PEhnApjRVz9GTf2UIMcaPhCtbzceO/SVp+zoWx4VIRZD0njs8vTCVZLYXgkQKz3MEsbdP26jRppz
qIfiuWbaAyARCyqitUA2J9cPdqT0TeL66jLQEyRzkOknH3OOA26RHPy69HggI9kqW3HEeA8RAIE+
AOosxL5HBLanNd2Qn/gc8CUpvj0WB1kyA8/QzrObV4A0q3X97uIBfA3ey9/HC21ZH0VynaIPHn6Z
gKGiRBMVCFOoEExkr70V4QlptKhVD5qMzHCawESMbeSmQULxAWxdsu6bvMm3XThl1mOwTMjQ+FYj
z5NFOJfJEODEvDCO5yoCPLVDZ764ApnaXaKYw+gBVaJsoSqsW1RxbFY3QFYrzvyXVvs63JWYhT1u
esApqAExtBu2sb4OIEYfvT7JUpeGL6sLGCzqPo2fqROgEg+HMJno+4h+YnACrxee11J8TAq9fY3U
thwyPfnnSVj1uzJEkWY/OFZ/w06ov6BuFIvdEIfIv7eI4MK3LuGhYkvU6XXXTyJ66rIIR/lgFAuq
nCjfqRsPl6rzxUGDewe7OEI+S8mivQKkCa4WkWp13udhH+wnNpE2rbK4uQ36PhTACnP3dmp8fR8K
5UDo7sAV7NZuam7RMRxOGnVs5CV61VuoKDgD8tJiC29CtoPLtiAlA37UtJ+Alo4P5exJjCwAPl1n
owb8Osp+AtmDHXQZV/1j1LtWs3fm0t/bPb8PmaPJQThrcaG2QFxrtyjuSlfXH4FiUEUIECTNV4QX
CDpIj8k1EsBBdf1CVc3qCHjBUaAFIcI7MLoAm03FQqfomyQProebxSGy25yXMohQHH27Tb4L/Fou
1tbRX/K4aFIFfOrBkWo8W/phv1mhJSiq9cWZ7VbopyMb6l8W8KKOkVbiQ+D1W7XLnLC4p9bv/oXd
dPkA27J1zqiD5ne+7w/od6+yJpsBAfrUr6SPOx/9o+AkjLRXhlLVM6Jjo0O5cFHXMm6xjssdjdj8
6hkJlRqVqVtrkRbiI2rickBsaIK7a/KQIBFzHKNwegqthEvkmCte+ezNx2r1qnNRu8th1Fhsszcs
51VUZ58BCzn8waRjn2eRI8JU71bstwDfUV9ME7t1uxQCfXSFRReQc6qUiOLakzNeJIuG/wljar6U
tIdeX9uZFReXrS0sSoseD6mc6DAV4Qt9G73XMRq59bh4n0pHUnRAFf4uoTzAVdsXQAbUjZKg9m5R
8LiCpc6WEzRX+RpnmGP250k0Y7QZWAvKX621j21Y7sPgVzeAG6KT31sD/2Fb3NuOhe7vdEn6EcxG
RNid3X1brEBTBX+UsW09Vboe7wWJ/KUfjMApMT/ovoBOVi/Kw9ispo62F22/nExcAnKy7l+YpQF4
PXx12DoA8ceHtciKK2xWIbRynIpLLx4XvC48UJiYxW2Rf5hBNvt7JJ0T77gK8FX7ZZvtT2GFBjM+
bGP9FbcR7OJWhDwWqLCIAeyryVo3ALu0tXZYH+pnYIvNdhqwkAEeo2wE9aai/kQIx+sqnpGFVLeW
7WMCaYcf6iULTlUFcPuAoUQEc3AqvOupJItAIMhxb1Ef9s8Jsfqntc/kUc4WICtp874yIOloNXtV
9+QFY8t3luqbC2zlQJLgm0NUtNfxODlXE9sZq2hatzRH70TtiLtcpANjibhiFLn1M13SL5PlUM6E
duGnukqGiwqVnGjHqrP8nYfeNFUjEEPo2PVj+6ALW970VbXe+6FTflgaZXv7cHJImECFWOD+poc8
0RzWQRxcF0FPO7NniV2VdByCPTJD05RqaHP4kbUofSMZrfZZtUYvGmLY1zghTdyJzUouIh+nXgLM
wBUHVFuTA6Qx6e8EPOXzuELwBJj4HF5BbNr8HUZSs7tbrC0ad1FVYQWEsN+wozKe4xrY+ViPEJ6I
v9wKGel75CJa/zRz6EPb7DcqlcwBTPkwF76AOslJgIx2N57hzeYvlCSyIuNo9Ym/+saLPyyL4+/7
MbLQKQDfBY0FOAreYd5wivuwqa5FsdYLspJRe2MIyp/IuMcHB+X/pzGLq1Mf5kLu8JOzXuAmIHrT
RyPylZNYEEIzSP5d4WwcGWDP51MJm/rORaegvYiHMrmlkDL8QEHXRzjczu3zIa4aO+2MhMnkzaGN
TO+rtEn4JnTymqv8X1r3p7QOwtXvsjrEa6caiAfJXSnX82///V/w5/kf/6Yvuwk5HakH5zXUPLAA
/07qMAf4F/0/Eja6jInR/f8fcEvk/AsiFB+HvhRA5jNdup/gloBfBWBDYhBstNbRSfhPcjrDhf57
t5nbAfKJ4yowBe4aNbR/dlYRgF/bdrb974WNQcsPeMyZZ+8RLOPU30tZuesnGHKlPE6rh3nmhC92
8LJkDWGU0wf96B4HywfhV6OEhcRnl2Q2VhuYhRbLR2GjAo+OpI/5BfEXVs1sjspTI94rXjOvm7cH
nDu5tw4dGKoluU2ZDTtoAzlvQO3CKfTpU7kjcl50/09omZUjop4ogCYibbAFirNjp6ppAL8/Ffj0
/SGvfN+LD3Eb98D8kF2GiB+470enn0IHFN4WfB8mrYDZtUTnGKsInxP4OuGs5ZKLU3btjzEU5fro
G3awSF0EHnmeztH5nxzkXpPs/5+EYxcRUSCAmMcWSpeaDOKfLyyiF9USPebfnMYO8AClmltfbP5M
GnEqrBBrICrYJRwSzp0hniGULdCmcIga+vq55zzAnjyaqcVeoEE62cWBhH6b91h38SoOkoYlQrYi
zKzlEMLBCG+2rQYCdWgRNEZBx84pxSVvFaP/FWzwDsVBN9rMQbDaKHYkoL3eoTiyoqauS/n7u60h
GX0IutLqH9om67e7v63Mu7dh+ruE8j/LBD4X4sygioJWMfRgrvfPwVuRhkw2+gPfPN624x0GcOI+
LhQ2K3zxosq/1VNPbLBbw6CxZDo4eaQeEAjtqh+/v5N3MANzJ4hrGWol3Xha8e8wJZyZq50sVfhN
TbEIb4JhJdygtG3B6r0A6r8F4R8GOYzfXxNXkgixHEYgMRKJ71EUQa4HVPtF/xWnA4BLuwr35+1u
CheqOjsOnXxVp2SiQXpj4fHer/sJjz9meBeuKzMgQXJ+fZnRyax+hBMm0WZNA9LXO+X45LRvswoh
foYsWOY8/DzlCZ2dVLVRzcMpGkQDxWKBIhW9MGAuMttBpjDzzpqKggu669LE91kxyOXLtpp9cTfi
FAqpw8XtlZkLkTQcq6Prj8Gqd2OhqUoMGJ+330ON0omz82Q2bXdUqZLgc0disX3CqKniHiErJ0iw
OahqfQbGM1TdYQ6XZvu0SS9Sj0qMoXrAV7bhsygtKYakAB6/9Hu3QM4B0ULP9CvSyhssJgjawMDk
6dxWVZEfIVmGXUCRonL5JMFRxkfKMJraEOWppZD3UkctK3Qdl4p5NQl8ClYMBBIubZWaABuLEm2u
hoTJEN6AqC7HL2NcBuoso3VcXjc+mPGTdqaluyxGa50v5mXGeiJd4kwwdIh0OetlrKaCHcDOpNkI
xpjGnzgbYoSq3bTH972uz34+QFDJgkdFdJ/0dW/bmcWABnaHMdy05Eappmkj22oPI01d/gKGiw8S
MXhNb/znd4zDCNABA6qgLFKmHMr6O6/YAsZg9sqVSy8D+IeL1et5pvxtVBHvIzSD0T3MfEBrKi0X
XSNmPN6wjzNX9KyIowjLUwqOO+px9H/2To7sQ7brE8lS9Oq+Y9Kge1i1D3i+9VF0rDwjHbEbKMuJ
DpPthF4dypOQwVZwBzZfSNfXyaKjzCUQywvLX0rUzlqsAwa8BuipN8hpAZ/LPsQNGMZqj94kRDXs
MzsF2poU3hxIlbN4/G4NOQJ5CGLmcLkevUx1+aG3hHnvkatK7o4kFV12inqZmb8C8h0/5TGdBXWR
TMrnW3rcTlgKMAJifrJyCS+Eik8vuaWVp+cf9VyZe/ExBfXDNIwiluAKBoyZ4m1hiAI1avHcXkWr
yxxGmbLr8maCtB98RqGQH9LEWyNuq/Lx1mjSUbWMIOKJM8O5xfAK0evhXPPPKrnQezrmdmimqIkX
1OMQd/xJl6ZhAUcVxKYbzkPQ8wdfl6zzVayb2TzwUq6fq9ETZkn7CK/3e1xuUF4j0+cwpLc6OJ56
jFB7ZhToXwzTeqYWmzbItQKtwBeOYgKvk6LxPZtZ7ZWlkPuhTjYnOFvixtjTV/ZjUgRlovYOMCez
MxUNMl9H+mlH0On54B1lvea+vWduA87IlT1sd8G6Lkz/eMJBwD8kraZVvkdLvaf+EQSKhJq8BpZH
GmaVV972DkwjjAmr2bxh2t1oZR5d1jI6Q+UEgpNmvzAlkXRppsnSl3U2RdwjED3ezegjyRmQDjoA
q0gDqjXvP4CVyvzupp/6BF3N0C593RzYiNluDrSbqhXewDD3SbKbCUbwSIN/KwtcGas5yGFE1Gyz
4cumwUwUZrNdeWZ0SusNaTpRLEWRX9U95dYIgaVkMpOnrMyWEkm9jsOxXjMzL+15mZhDmVeOdX7Z
G/ma4Ti6qDTCtA88tspphCQMIrbmfXS7BbbPPN5QeXXZcqtunHlLHb0IzoJ+pagWpohNmF2QBn/C
zLXLIZPqaMtB80nispHfSZGZfam2MQm6hx1kjrkC0ADb0+AvIeMnC4vdQTGKrAXHlRMTSuEsAv2S
tz+uwWUMec8/i5tp48bRDp25tO/QmEehHyHw6odah6j39i1tSFZe7DeCQZByHpmOC83lHopULFb2
hzUuLP92sVcBs4QtKvDPhhEFj+IAtR5y/obXCNe3EY1eX9p4JMT6GVyx65vB0f1IvfBUC3ZVpCCK
SnvW+VxtmwAUil/vHiPaLsM/as7GD3CqePiyLxp2eyOZwx1HlbYYJXyLIhZ2hVYVkycukdyCcv02
rdtSm99BgvaYuFuJoT0SPz0s9CHFHohDy0FkkTH2IpEIDeu/yW3Wp5WXrFwf2EmEu10BZfqG7LGr
6GbXwI3Aezlr+ATZtBEf7HZpHhPXTRCgFQIw00XYDXgr4gY+Dy8odo3Wpchby7/OuFPcgLqhHJ+Q
wAcRUEdd33zzq2YTKKJi2/SsNxoet9TGkZHUlGwhbXoBtdZdDL8NEjmtAR82i9a48tyIET2zfgeF
pHWu4GqCNshiqZx05B3RnumXeKRmVnRKUNKAdqcYGrUJvcJiBInhJjtgv6v8krjO7H8IG5jreVpB
vVss0x9Zs343QAp3MuZplstzWXCSNWm0NXrb9knZbDauZi5lVtRv1mzehbK+hqTvDEeVRDnWEq21
bI95hSA6B18oo4sJKXTMPX3pOunqsMOtuzAHELIHuhZVqU1FBVOtoMnPoNDJ/djbervMyNXtk6Od
wj1mAx61codn2VbC4fcC627Aw8P/OE8jBkwnG922YaQOYS/L4yIXT15bYJasByRYp+2ThCeET48I
Q4G0JZD1HheIMBKUHZYAavnOVvCMqbFg/HjKSgnxaev9uKVSUveeW6SR2CaM1Jy2irtvBXp0atnX
oVxHvCsCb55Tagt9tHO9KZD2CbPdMUCQsbaDJjxlCC+FN1DwrbqmLD64iCh8L9DrlYmDHy6Sxv3e
CeS6haAepUfrTLg8THXX923IurTXBhPqB7iwPTgX3ZfmQB1aqt3BR70GFAj3Q6ZFBsfaRretPltV
FBCNZbZmwYhlNbEmNB6090/Cw+OIYyVhI2Fxj7EJHwUHOMuh8EOzw7WBbSLM0kJ7NKOs2ugcOVhv
GnR8uY25RUiK3LXi6MH/oeKUASmXu9sJICDfCVypN9EfRCNz71EFypv8EqE9/EHmsS3pi3QTlBfE
mGEcJSfEP0ighnkM2CZpa7jqkT4Vo3TC2ZcoGDtaE0Unqx7Yy6q4NIcGouCZ5gyngWgflNOFm3eW
+G5DSNS5JA/WOf5aNg9KXALxOg2CVpgNsW1czmgqmT6hCVorkgEausicnIAFF+4Ug8iIa89oqfbb
B0XplN/1KLfwZTYmZKylKegF9z9RFWNHqf2o4SNu5STcUZcNkyOeE5GYeDXJFLuNK2cRfgUQ1PVH
OHV4Iuc9lXXnKAcsT72Ljn4ZX1Qk0owRam+hdH4gjYZizl43jpqBGANdtB2IEBnG4LvEhqvaXrOH
ryZEes1hQ3QAOaV+nmCwIRjHurdNGhYm2ty942UWAwkypEr601q2JB0NulYErjHnCncwT1bB9Pn3
SGwjS2g3D95GRIoAFd/YY9zQ+vva6daY8rnVmKmIHCrTLWipy35GSIeE+u01cmA6zqcQJq98jMcM
7vGRyqvDO5oBYTn4eKA+qIu7DWZHlnxRNXjH+qwYwrzV57B7QvWIiKGJYvGqMxm1EHi5FueD3Zmg
wpbwdTWsVkzYJIwC2oifW4oQzpKWGpSg3PuQKAmc3cxE8woTMRGc2UM+qfhuk4Xbl1chSA/uZ91o
IeBE4gmbR1U1QeZjgyI7S2RsR5PFQ6rjA5nyTaDmYLH1uRyxTOl2GIaUo3sa3QjM2D5/O10LpejM
YkOjCVQpxNLbewxp0RBvytDMx6ypKiJrmxGofsD37PiBfzefJioR251u4ojj0im4LzctisiEhhgq
5CaY9wZzt2/Lo5YB76WZdc9LBYjuyfbKWzyVP6lY53A3QeoD8MFWgrnQpOVKTFAdfeGbudt0btJd
Y8Obo/6aN/i1zxd8QesR1Op+5d3Olmq5VrcJHsEeFD49FSVrjtcEiQf1AKymFM9KAMJud8DJB8nm
smrfu/K1I2u83gKXeQbd0SSBIOjI2ED8mRcy+QnhJYkn71muuJFfeiiKrJeg2dcFHJXrjfWzKpyF
QcneIp8ptxWxxtTHgqctl6QmMPiZEcdblxAYLHluk311+ejxU07OIg7IuljLi6fmcbuzLaT7UzRJ
CtIRVYh8Qns7HLz5ERN7b7ZSSzuMv1UkJulGAMlEYTCmTZIfJcIE8jk9OPWYYUjMW5O4txGuLzG2
e2kpVIDPR5QEPZ4qBCHsAZszkvOej6C+9GTyB6ZTGHB56hXZZrbKgT05PBuiYMFcpYsWpv4ZkHP8
XdY6Jo56W3qdakxo1VgtxFMEVeBIjXup1GQmRqcHbhNA6GqmZGTHuru1/QUNVAZkMxl3kFiSgaRx
bpY42XI+XIcQVIxMlK7yU1Z0y3wPTXibzkF1Os1ZPLnkFBxslk98AB5UsXWCC+75msSXgr2qGjsT
iaLxxy6e6resEZ4/gNDzEUQwmxQB/xym06zZnQ9JrkwW+JZYNNlmbrrfFr3mKatsBScv442M11d0
SkF46NJm9uui63ilpTObW5+RMqP1gyJpJuUBIWgfyYCB4ggf3FZmFBwDs2FJXqOFhn890ZBA1buc
NsqdABXqZ69fTIa+vu0cNFZMoNs6tZmV/1mdipoRwnYQA6lSR8CI3lXMkPqHHABM4uuSSZNnKvDq
RbC3ULpvsCGdBc/7h0u+rwaaS5KeIj0GSj0mcHpXpBu6LrYlRkpBqE1J+m1qNDgtcHT9/ul+vZTx
jXOhPVIFp97+juTkojW1KaoTX0Fdmv2pD30P2aKFzZq96/fXei80FzmOoQTSs4qgkv5aap9sB/Uj
rLq+Ll6LhNXlXLQuMzFA+J1lSOMOpwPEQ3o2jRktF2y4ZtWMcZOCaibvpgphyrUJKa/Ze9525p8F
3U7kJkXoQFVwJuD7pPnp97f/y1B5eNsR2DqoSDpY3Znf/41AuOAaiqVtFDzL0lm4Dw4okxZyuJJC
/WeXsmEAGYwbo/VarXw35yxqPRHwSe+lmUdT2hrXwbx6dpqMo/731zLl8r+V06nD0mLxeTOU5mNk
4d5NNhft+nooA/fb4uSY1H4nlcKN9zwbZlZxDleCnadZQ7Pafn/h9+P5SldEYg9ZawQq4/Dd1EMC
aBIIEEwvi52YbRHUUKweMtcyscDvL/XOWs+UvRHQpXYVwl2kzWS/G9Cq751aK7f9BkIkwE2jhCTz
sXEl3RR6m3mWD7dLsmV2e9WX6Lnbh0AVlAOqKTL7W9vQukHZocra5B54D1TstFDGyaBGwi1ez9ga
fWKQ39/0Ly8miJ0gAb/N2wF2+L714iR1DFvG7l5QERTcBaKzRBrKWYlcfqYVGQ1cFu3vr/sO5chg
BRBOIJlBE3ah5b1vsGQWVtiDCKyvW2A5UDmSKKCcR/1gKISdOrivTs0ZBf06ekbw0hydoxAmFiFn
JJAp201zhCGYscmvWPNUydFDiGK9DFA2+eOm8ktJ32O4cS8K6QTBhX8/i8g4Srcj13gGuOTN61m2
opb3ydkgB7jUs3LE8f8wPu9bKFgzOvgsuRDomLe/8ELFOHlxzqp4RjvczFuJZNd2N5cEQQ+5i1zR
us8SUmPi7pWfvzduZItbAoM2OP/9m3q/guiaBojamq4qJxM6r//ckcCcLkonufdE+Y4qC8IbFHRj
TH9Ysr+/0vtRduH/87QelPWIDtL7KVGTQ8WeUzlPM6rp9bUcGlPFKiuKGmcK0SHC0t9f8J1sb+Si
mUuHhiZvYDCC7zdbWcUb5+4qnkRHn6g4CBxkiAiIH1beaybGBgWcokRsJEmjOkBg6E+70y+DG7Lf
Q7eEbYsmQ+C5/xxcCipF4wxR94QA5Jp3B3pZW32gQFgkOB2/RvhKFCaLRILbhDo/+0cWfH4y8TaU
mNOd67fBafHOZIxYUCsHXo94A4n11sAr8Qi5Nbp1+9gDQat3pVNLttpIByauVOh/qh4LNpszEpQj
PfRqL6OZOqujBcgmMh2q2YeYvNeV5yWt5Riv5doyaciE+x/nqmW09ei4wNbjnWH/RhoA7tZEwwPy
qdxW9NbLmsiCOWXgNJv8oorla3LkOiavzCqguwZRlWvGP84rQRHfVQtslsuiq+lg/P79/zLhYOgj
K455QQKr6pepPZOEFxaKWl/6YvTYWvNBmmpBskkTLP/s7vz+kma1/P0gNFFJ8rrzITmBmO+7vjLH
zyrHKdZfkjw05fi5xD7+GsEOt7Zu7MnmDgzha6besMAH4UVArjV38/vbeP/k8HuhRCP3kvDYNN7f
HVVdOHaad1l8qUEZthdlK2T70a21K67cSf5B+eL9JMdLF9NZiqohGiKICLyb5CFOAGUxTNOTGhFo
+oQhipkW0DhNEvL753LfLWm+PYaFgvpFxHnmee/P4FwvdtN0yv3YIdcU7zMq/TI/opVQUhQqK00g
taPh3fJXRG2TebkYDSzqGgHiYQMdEKqVVAdM/37QuFJRctt8k9OWOUciZmSsCjjChakAL5apmMUS
MbPiXMWh6ahgIsmnFcoCPJxVB4RteQ5Bl21FIU5LAcJBGHw8tyz20eYI+TD3r38/CO/GmzHATsaz
Wac+sv2/xCEB7OukDdEXmtvKBLFZT1cP7KfuKTL9/lLeu/ls3imbF3Z6iPTTAns/n3U/0H5w/Owx
9vvXa80BXYYaywdzNLHVswW99d4bQDqMQrd0pqHw8yehZlNMs7TN4AaEKRzdlE0Gdjq3RTlWn1t1
NVvb1cRSDWn2Dm2tT2hvUls41F1GJalEF5EM/mePnMaq6bdaKFKydrbY3vid6lvzwreg4irWa8wZ
vVXxoEOZdogVFOZNVg4Bvt5FcIh571KUpgfzs9vMimTuVrQHOfcygON84eq0mmrh74c0/ufriyLs
kCI8rgEsBZyFv0hQjzyBiu0he2mUF32uRBe4RxckwVlYx4NPO6yQRyjVyeUal022H3wM+lq3bj4p
1Fex+YrnDnwB5vEJTqqYwxVy/JhR6pngWALZTotYYQ+bVPctXekXBWES2jko1TWl7RneqiDrLwu7
nK45kYrNSI2qem9NlffXRnSmLjKhqwAhx8T2kfgN6k/WZknyaBzcdDol4g6aBgJfPsKH19Eq1F4O
63gg0mw+FUTGyI25NNSqQVL57mtNt1s6zRO5SHCJwIBRodtG24FdJqJHl/P5eSh6J9hlIiyo9uXT
dHKrrnvUkTd/Kj2vAAdlW363tyhxf6lnqPQN+NcPoY8HJmXc+Qx7+upIR20d8NQFh5FiogrBcfZb
dQFN7iB1AtkW5Hb11wx4lwZThq0a8nv941bhmEumBia0w3U8xT7n3per/dVd5f9j70yW28bWrPsq
f9QcGWgPgEENCg07kZQoUbbsCUKyLPR9j6evBWX6pu17K/3nPCMyHJFhS5RIAOdr9l67/YyTltCY
3ujdaBL5TWq2sa/Hc/wrMsMPZwYXBE0aDzODUmFFMP0spymZlJokbxevfF6gKlWs977Iyo6QmkYW
j7+4/P7Di5kI5dZjnhru54okWHRKu8YuXiEL5WiEJvmKJFvFB5Cnp0HXekYlYZlf2KYT9/rXr/1v
V/77r4lWh+0mD/Gfm5HeaO2ScO/8tS4KZjwQOnDZ55qC8O2vX+j9O/15DL+/pbqqotEh7GMFnvx0
/k1qnqoDHeirMpbcM5rKceGUzAZisrkz875Q82CldEhk72WGXXnagP51S0iOgB3UIftCrCduG9HY
h0KqzUfOW+zgjOA70oooXtSuyOGSdop+AWxTvOW9Zh0LNhmXQZ3Vj3bCSMdRSkWu3DANbzVIFZEj
mblg0JmytlbAO+zkxp5fkzLs2Lr1zQbVufws4/x0Fz6/X9RCP4nweEvWMoAyiPcFIs6/2c4UyWwn
nSzwV71f3/wo1qItnqdsNy3Tc6HY2SdNsievV0P2gzU8oJ1ezIS1//UnY6zv/A+fjLmKNVfpFGZ3
jvGfCiQlDXI2bREOnZ4dG5PnJnUmiwwLj1CzpfMGPZ92Zt5BN42lKmcxWua7khHvCf740DnksUu3
ixLqO22ZmTE3pB7nMasnt0mlUzwX5nHW5m2h5dqVdUF2W0p8aI5gh4wdp5vYUCZlG7hmZZv3lI1D
uUFL/TaLJD5rJjxCwALGLg7L6jY3UKaD5Wz7lzmL+kfZUNOLVFgcEGJSxo2mdmPvaNiYryMBrQBK
auDCQzQptjN0IdsyM6mx+ZiciQ+6IVnHOJr1jwoLoMBhP2dMv7jsf2z2+Yh5b/HwUYMKulnzZ8JS
z/aEz90MXutYN84SjPoPVazNIP7qQj4r4xp0/dcfp/Kj8PX9JakNaHEUVUOC93N4Dx5C7E4cnV9B
M+gHJsxS7gRYAfAZLcmGnV3Hkx7Y/WsFzepDHE7dMY5t+SIN2AT++md559f8eGlRavL4VEmuQ4n7
sxiwGXOjtULCkcOJXRx9exl8LpsFdXydz8DgZTVlGJiXKyPcYKzuJZEwdhFyWI+Rom0DvpYIkGlK
YT7FXTasWxK2TYXURqdUxO2u1rTpLPoItABhWroDT0EdnRZ8x3vMV94TR2mVLhHZRrWVeFs2SdpJ
J1ygaw7YaErHdyjNDOWi8BJwpptw5PR2SyVOjzmKCCpKDZAawZJZgfpqTJA7oA/4YAy0ptQi7UOn
TsU+yjOtAd2Ksowrkc2qS7hxe6fZcYE6gTnVxPKfFWwnsix0wU5Wp7GyyQQs40qgq7XUUtmv9I5m
K8Ow/Ng1ZfzUF2P3psfQsrCgJ0SP//Wn8+/PH1OnT0BxvbpfMeH+9EjWVEQD6TSmX0lHkmEgjHby
giBqZsHOR0ZPZb4ubR/sRSG9zEMygrwVQ5X/6sf4Dxcs5D/KZg3lKtFVP407EBW2BHSa2dcgF3OP
7wJKkFj6KDvGmeigIg32tW6KfgO0JPArO5g+RVZDkGpEMuj1F+/Jf7hhLX1dw/DoWIP5VB6W302D
l7wfB1KVk6+hiaGlFkp7r2aS5JnsQG44F/tzn9XdodKLfJ9NmnLqCpODzMy66S4mawJBcjEOx1jq
tTeU87XhWKCiH37xU/7YA6z3OL4SzeAWRzNNU/nTW0Zux5zbtd5/ZUFUh49UFgaWXxXOT9/Kw1kV
Q8r6tV2E5VmNUb5FYFghkBBHOm41s2w/GHYWHmUTK5va6D3LRE6BDWl7GW93mJiuXqOM+P2D/sdn
cZ2rr//9X8+veUziSEuT8qX7wTVh6wwD/m/3/P9gRC6LH40W71/yzWix5kfq7A7oUigWdEP7ZrSQ
FPIjKd3WQBs2SgBGuVy/uefXrEi+CmkWw5Y1repfTgsNp4UKLZJvt46iIan9DfM8ReoP9YMhM6Xl
5wI/yRqFH+/nGjKvzbadUjGCva2QrtGej8glUEgZopRvymqwVCydNWivfpuqeZbLHzsqUYVussrb
q5rr3dI46xZL9TOuwWpMXBPgeGU9xEi3WtG5fVKwY3QrkMXFRtdGqDdFYc9gXMaRTSL9mkq2YdMz
uBnwiHZEzFSnIpsTcpaHmJbMJnjmaATJdOBAGeR9gqv1NEP7uaK+rigoxZOEl26LkdQMXRk2PAG6
+ABXqUhON4MhEj/yNSKXu8CN3kNEQ28Jj4sHke2PDBtGXMZLiPgrI5NlSWGKyZXKM5v+ZzjhPWfZ
rUZrdUIDDlPLBn2fbQvCprfIfjLLM+wy3os8rM2zzbYcQfIsky4mSWCMRDV32w5DVk+bzQAlyvV0
V9EVbpIFmx1zlYJvXOgrNCofAsLGjaD4hEYSaZJAbQZxmdCfqG05yMJqVicXRefChBK4Gu7K4alr
9PlDsJSoEciwxZ7JdnRijNEY/KJ6IPfqE7qI+jgaSrZtVYABJGUPPqwcrKKt0hxHNjGVx3kz+uQy
gPWK09HYC6SPH+yEcAnqMggjDJbrbgMuXya7hkvdkxjty5dapD4ItyLfal0WcOYbEyPSpDOduE0S
yTWGfDCRkehNSVQM0cWUnfmuLgNseOHQWxt1HEd/7JLSBaI2oFpXO8KEiJKpDHfdTb6ZQSw/LwZG
+9TgbtykQUyuU6HPzzlwTHVjNyTb9+VUPQDAjW6Qj2VPKOBxpcvMK1yYCd0uG6JQ9tTGvM3zGaaz
ymHUIPglBZSJMheNMimDT41Zb6AiTH6EhPF2MupqWwcNKrRaDw/w8ibTKbU8Rdyn4eUzoj57lROp
3HdBou47Ems8pqfBZ+6GhskC0qUXtkFAeOa2G9Jt2NXqFeBfvx+b3NyoGS2VYxdB+2DpwxcZIa03
zIyKAwSHJANnc7yn1tCg6Yfowd1QWMoxF4wE0siwPllCU7cI60XgGJylCp5eFZAfoFHNa4P6aqA3
PddMdF7wgwZeX4fzB5h9+S5YAm5BSZLtxKkk8p8H4Jm3czkVZ+JkkhHiVJLEDnrxwMURvaplgvJR
hHWHiNIu9oUdhx+7OltNpl2Q3ad6pbqIYKvtAHivKy2uQzPQe8fQU/mCpq13Z5SD9qYsdOo7y0D/
dlPhEkSh21W3TR7Ym1bI2ddCSWeyNdqSCCASSgZA+04RdF/Ic9M9cP2jS2YQinCM8ozr1WcEDh+N
rDFc2Hq0Wvagmk3q1dTHYQaoq46qXtyN8LxCXjY1RD83/5yKvxsGf3EqUvCt3dD/fSyey6aL/p/3
nJbdD2fjH1/4x+Foi9/go3AAsknFPEYL++fhKBOujC/Rlv/Eb/9xOL4nqTKK569XECwtyr8OR5JU
bY3Zj8mXUZbKGAv/xulIQf3D6YgdgfUD2aKqiROMje/P0x3abk6wyVSPi0yy/LKNefR2gVeq0BPm
9oT0x/arnPoRGYCR1A7V6fJJIv5ccdUY5z531jHAQgnJX8pJ6qpLF/ljeyrDYhc1Wn9AE2h6LDDE
TdkX0kNdtNg+ilC66WJLQYqei4fBqqbHxMJi4vQlaSFKVcNhaJPaFfgeIQIuGAHIMiwAcAUa2iHM
wvzc2H+NcIdi6CTY1RwYfjOkqIPLuNS3eOIhJyiQPLHy7uqW2SzT6tQ1cRsznGYNgEQyCuvX3lBG
jCBg9HIYbC4Z9PMpaMKQ5zW23kH+snr7Vlia5AfAuTeA7Ai1Bxa3hqJvpcIoPsKHSHz8OTGrNd3P
pua2ScFkSWHaPTdqp20yMydxyCD9Q8sFr58DiuCd0tG/WvZubns4CGFUkiumLLsqBRWGhC7ASF0N
u7BLwLHYMilt6QKaBKtVz+gd6laF7paqzEN7Dvsz7yeEill7SGPzFCl2gGozv4dQMPpdYG7tvN9V
+jr6z1T6JLtsXJ0j3lMDeQs1RkGYO38wumF2h279JaoUdW5PsEw298DWDEn4mdW/5AivtWnKDxXg
tRuYj3h84CaUiwl7Jqs2BohaxMtCcgiPNp3aEDs7sAnDK2XXSrHBx0sgfZi1uARQ1hvo8SrE3f00
bVQdPh2SwXmvllFyNZNq2beKNXimOdabdlKMjYr332snhsxI2wVGpnA79UJ3akZtvq0kn6sJUnEt
Wfu5CHJIglrt9W0zMjYMt5FGegJG99rLMslPk/qKyfQDYoFjouKcDwehb6Qiln0FDuLWrHLO4+Rz
Unf6Fu1u4470lz7niXSoWa7raM2Q0Nmg6hJycdrJEbAAqbbCi10m5YbwhtlVSVtzCe9wB4uGW4eh
6yidsa8R/H6e9UVxAWXeTFL6ssz6hCzNqvyE7JKdUYRE6CyFRTXFtRCjIPXMsNJ3EY4IXycfyJWp
dtDSNlSFXe6l5hR4omgHOve53tIj6z6wD32DTQu9vZY8NqoIT5gt8o1mvYR2Kx+mkMqAzYx0xQWU
t24v4MmYWRzf50NKriDHlUNQ6rzF/95c5WLikDTt9J6Jv+617XKi0cg2VpKOvhpAzlmA23kGsyS/
QNHjdKok38WiWXx5gblKBh9EA0pUL+o0oCtmIvaK2gRuHFrDTlXDfcfZftNKcu9JalQ99tBCNj1M
bk8FJ+EK8AaeMea1IxslEaBGIj/OAQ7SDo4Cdy7gui6qCC/vFxJqlrR4SCVtvkNNJB+Urh0NxxYi
it1RSiNfVNboETIqYCwwONfmFlKTaPojdSo7EiEdi5LRbon0XtLTl3gQ0Zp5Dv6mJhC9t4AvmQvv
Z7W0BqEoGSHqmvwGswEi7Fgah2qA7JOI7kG24n1fDOJgLSbJoY1xj9OpRsGllX5kQxJaxkx4OjBc
gDz2l77L7uOZFBelv8toEVD+xApya+lrri/zhvr9punMYzzy71uz2I7YQ6mqi2LDhLNxcyjl3hzQ
YEQ0Vo6ix891GZLAZy0PbakyI2Vr7mSpKQHk6DGayda8wo0AoRY1l1QomtOsmhvC7p9tlKeOFZMK
PyCUfwBpFbq5CeR9lhy2yMl20uuvA6Ur1pY5OBtNom3lTFEOkHHSTZKR0JnO4EGBuVTeaOfWLtLk
2zJTPwvRHhOE5PvWmD5YY2s6ZkwHlc2a2PdyXFxte/iY0Tt4VWV+FdAw3QFbhYuV4Irr5MZEP3qu
LJUI6iZ3gPBkp8xEgSc3dxlOdPZPEQDfun5D8i17sa1TOy59udUZI3iBAeirHrvsiDeh2eoYcCGS
BPYuSwqn1aLP9mzZ11mfd2VWKDeLSPoN0/l601kZnEiLVyyW5VoPenyHS+GYKBxCkxRMTjriyEiV
MNs0vWE4cm48VCmjQdHV8c1ct/uwqYHbDJrkhB3UDFZ2sheh6P2UpdPTGPQgCmfztewBhkRhFm16
WpItm1Fg20VguGDc7FsmjHcyTninZqjLDz6eKkyibmeoiKCCe+y2pT/CQ5zqGG+w0LO9Ekkf2UEn
Ti1Nr1pcgazK+n5vYerhWUOTgUNN7Hj+xgf4ViOWCp5yQEgMt2+sHJyAqm3jRTOQQ48a5XwFQFiv
lG1oJh9Hdh/7RbKuLL5u2hQiDX3ImyZVJju0LNhIOG4cEATKBp+o5St6LkPTII8H20HhLDxVN2xL
SsA3AAmKl0y0Rfeox/iIU65ZqbaL3TQSt4gnsauxuH7oAgzN3Iq1aBMWDlx9uXUbGI09Vo4Zod3l
JisTRrrarkaij6/JrIQaPGr9uLKNnXlumPb6SDV5emPSXaqR0WVBeN49bBJTNJ/w5hRLcUBk0po2
KEkLvQZNDtEQUQaQslma5vfN/D9Dp1+U1wpoxL+qrv+nSfFqPrc/DqrWr/lGbLR/EzqFNcG1OpIt
Jkj/Kqxt/Tdm+TzQVfRp4Bps6vhvUyfKcb6EfQflM6wB87upk/Yb8yH+NdxGIvpwTf+dwhqmwA+F
9aqL4z+29ciPkXQYP+8WMPapdI0E5hmZZXH2Sfjvim7YLkE0HbKwNnaLVGLoKElufiW+0Twaqb7W
EIoy3pdlLzMrraRn2L7yKYUsgJMk0K6CvpUQ3koUXtjq5jnKhvZ+Tob4ynM626bYXPY5QqLPJSGV
wDzM5ID71u/mtn5Bl5XsYHdA6kb3MjWoyKvli1wBiI+DUKBvm1L1AWlZerCLrLgJTC3b9lrroOAv
TgCFsDRnQe5JSR4dlKEd90WcQ1HOJcExLYXmIa97eD1BNt1S12XbKrPs49yGA9g5MakXLC72GSuy
fFLmWD6xdYOLP5RavWH8n21xHoVPih3bZ0VK75RJ9CfSMK6LPCO5EbgFCfkDAigjtHhjRwVXKp+F
aylIYt0GvdKdjUGQcHMTf6YOxQ44UtxvjUyuXkdGYButAd9Vxw1zrb5MH2s9EbUzZXqyrfIp2dlt
13kQ63LiomcFCYLafyytOLjt+mi8dGW8fMHxND8VTa9dwhT9rTYnzVloyXRB10oumKrGmzoANCxP
Akokda2HPd3cVEM2bE0l5dcIwcjqaZHt4PKS2EzM56tka2tgIJW0Xd2oRbjXV8dSH1MuprDGYM4F
JzI48r1kSXuO79Qjv275qENO2Nb1YLyFNhi8Nunim07wDBeyHezhjud3yFEXhkc87A7oFwPJ11Av
3FTYmD+Ec2x/MmuRcwyI6hBUYnyohrG+2oEenxZUDaexlXFE940Wfww6nVO7l7MHvdSrbc5K0XZG
vJY7Y8qg5REhql0W4F+nMNQBV5sm2EupslibE6HAnIgHOKNpbTgKjBl3NumOB5bYInCTRc++cP5U
50CIbDdPvXYj0Hlu80rEn3rLjJ/qKlIwfFXGJceBu5uof8+yNGg36miUu6Yvw9uOLO1rsmgkK+dt
ts+lfl8VwRgwejKss1pX6qcCveepDvV0H6Mm2iVk4uZg8duMZW5k3GbVeKNGo87lSO6EJHc+S7vu
GaUtYM95ShVfrQLzudbGr0ZNcGAIEZwGGW1ticV8gwzG8mazUD9oevplHrUqhCqlq59Mq7iWg4bF
u63m7SIX8oWwJ4HJmyTXgyHhLGDWasnnaEDyQX0q6uc2aJI7wGc1rluIsF/iwIq2lJEFUcZx9mjF
cg7NBwCEjArzJgn5EEcCI/eip5rErZo/mFrbvbDNGhryC5QrxsA9AyJxgBq4xeSBVUyYoKjjLEkv
yCCzeyPIdmIeu4MIlmKvp3nptVWfUuza2qeutOO9aeTBZobP7LFPmtbU6+S+auEXLRMtv5aytV4g
cK1GrfQJ1+/0aCJuuFRqTmxmV7F3bCLKfzZW1Z3UTBsq3/qmbrDruLa9Mbok3wbtKJ9wqGTbOrsM
QTA8Sav4MhWacknkUCOY0ZLB3Y+skAp5aL5o3cxPAnVglCdzWyrj5A+Z0kvMNjXrqTPx4DuVvABZ
HM25xIo2h7dLW6ZbCIELI8vZMN1mmITtWkjhnDCY/Z4gAib0ZU+8A5XoI+BnHYpgiuAjY/TMYw7R
gWNXjXzDcLk60WnSMirSU0I+ieWEIcPGOLNN3O+ADWxE/W4mxR9Ta5T3mdzKPmPb2lGTtKTgiXAq
l5F9MXIAui0Fce6sifaXeOUXmmbhYglrnwV5uNuETcqd3IocNk6uyecB5rhrBfmCwdbKhI/xjtxO
To3zokfRx8bS42O+DJ9RroodJ+JCGHg7nNtQh7/NmvjYJqJwu1myj3mvN3cdSMFTgu33gxTE2ZnR
e+WDbw83il2G3kJLRt1Uax9RZ6k7Ac7dbwKr3ERTon5dzLAnZtmunnWtXg+XftGf2DjHj52qDJkj
4hQtfmKHW6iJKdbwcHQlJYjuFAV5wciuyRnCegI9y1tfRMbizXNX+e2kWjeWzqIDgU0Z3YIJGrnQ
mHfbEsJwPtke63Co9VsQud2KLKgeMwJhY4gzdB/BcpfCnPOrARgFjYi8JHgSC90xwmkj6nI4K0Oo
gooN089jrabeiDUByAPHbcwtftOyjdzhYsIwT21rf0qFiL28GOUnupNgx5MJt0qnerMqjLulT6Qv
FR6HQ9VZ0gasR3sLnirbG7oUbIQetpdsHq1HfAHBRpFr+SEaYpmXMwPJnWdJbOAiNudmrl+Kdpm/
yEvP4x9F0AIQY9IZdGij4i0IKhymIDdGIYOnhegT00TiFcU2vwJ25JgnWixf1uE8Z3+ShNfeoBCB
QFxnJEFodnepwzrblSR5AvitTEJoFiYkhWMGVv1mN1W6H7JIdXQqb+iBhPhYRX5HJkm6I8L1k9EY
ocOztkZh14/9S9qJTyBonuWgf6Pa/2QRll4oC6P3ZURap9X5vinM2QdzcFXrsDpUkWleB0Zc5LOO
xRdw19NHvIyfrKEQEpd6jOckPVTYAOX+QHNTD92WhVW9iBOlVhEKh6waYktiWC26v6psj5MKjbIf
p966qztCKJ9aEbz18axZrERGPjhpxnW/kYYFEn0pb/uZqmebR1V5isHolJ8qHqDUXivcZArSTQ3I
BOyftMYNgRXyKPJScMxzceib2PxkzEb9GcVMmNwFCMNuzMhQmitZ3FGwzaAss3+b2nHBbh92RvJq
RVMrPRp4mA1fiYagcEopTsk3N2PNKyR53uJHLTaDaD+2Js16M4UZtn0+yS7UP06SOu4E+bbunHeE
r5TFtLEzk3KSzNm40Y+kyVgh0IzScFKiZD5I5iDtqEUeiwXscISs4sAJIj2QWRIeJzMDCFso85lV
UX1u+DQPYJSdLorHZz2150PD8AN3rdRvlWJittCv5RYJNT3oURCecbxnDY87dfYG+JiAQXAkAaDD
0Q4jHHKOfskXklaSWgr3iw4AgmTR4NDkanzo5PAolCxzZVOpjlEgOm9mBPW51wQO+smY4ZgP8QbS
jc3kVGZ3RdSNPwY6HXYZwYrp8Me74K2sXc/mEnGpSgQSUaxv4Icpo4EyxyQSkL2tvBKBI6yPrdyj
ffjS6ybJbY9Bra+yOdwIcZ79syP5/9qRQMRjMfF/r0iY4xdfv3Qxk6vv+7jfv+yPPg7i4rr/h5DG
4kTDe0MfNX5tu//+L8nUfsOQQ+gcCgGd4eJ3nEaSRllH0KMJerjfm7VvnEZd/o0WjsBJzaD3ojP8
ewuS92jMPzVivAjOIxsdpG5BBpdZx9Dnfae4MdSZVpNpwo6lhQKTLOa+wjCOfbR7mkX6YqHmdKpy
6QjWnmw3TQR89GlOD5aSVq7cWVdrsMgrzkCdTH12HCydACJJUJY2mpPJkJjNhN3n3OtsG6k/EBDk
ssfTEiQpqJtNZUs0XqLHcWSrlwrQlMe6HkAFgGlfqU3QuAqvyU0zuAnKXFfmfPFwOD4Nmc0BwKy9
rkpcaUbyIqRK9rKcf54qPA9REzT7amieFHLisQkNmpNgFvLzwPyAAv8+0ZSXATIvX1s9ZWX8xi2k
OVNJyAdWtYsCmAcLN7+PqKbOl5v6SeC7Az1kFixS+fWKEOXrlBeyN0jmvmmsfVjgvWbEQ0KRHfhh
l6PCT9I3zC7M0AVvJQ791pNrvinQf41mKXzkV+BtkK19HretFzT8K4jteKIrnVovQIpMAn25I5+8
2pSQzD1RC/421S/roNNfvzLRA4vwoz7hAFkL6Zm3oMq0zgeSvVzCMrvYczb42boogoRu3Bh6zY8/
aqqPF7ZFey5SD+3RY9ra1JwQyjyexm9zUZeI/BpY6sFMCZHOLKjRLn0JMknhfbCvmDE6HxA+ACGQ
dUgjQEjpnWVBXBloWxO7vRK/nR5rIoRY5GfLpiKJaTdavHtay4uOhrm3FImNCBcJKSX0GTpZApXJ
daDMGjBdC/aIbF9HOmFXTfkjl43LQOSMGyZkctMp2BsF7oNXhvl0MO1OZR++XkUd/xYVzjluFZbK
Zav65oAoVQRi4m3iwkKwwmTRMM5cz28wE6g+EO442Ri/4Ovls1/4PzJoWD0pUuGNnYVfE1yGm+e8
S+DO4Qea1XKS69Z2QQI8vX/eeUi42EBZ7HYjvy8oJ3sFJPDR1xQWvbCyg6yEb9zkXNU8yxHic3Va
JpdKud4LrOnnxyzifyFivBCGwec/2RRTrODOPW8XOo8r4ZidP9bcJyyQgsOIxPIU0ZJgK22fTBCd
MN34hK2ei8nibnx/M8gWG+jB+KcMb1/yclR9sr7rA9ZTwydJD+5F2gaHmWbynv1k5SJYg+7eEHKj
gWTZALFS/QZ4ipc3Om+pPPAzhFF7Y7XStGXEAnapDmK3JnLPT+G5u7SKDPSZPjOS4Cor+MtpLNKT
pXKjajIPAlJPM8rZMPNl7hM5G+LLEBnn99tLA3+1k5Ve9ScdjU6PKsYpe6YBMugNT4dEcQgjudhO
1DAr7IbbMEVu+v7ZojZduQ/FURDtySOES6CoatvVRt6b96t8MVPyHqvG3tI2gOGGMbNBPJN5gKYq
9/0CWK9wbvFLrC/FVpu5Qu2B+1tf7GX3/jF3PTFFXcNlxGyp84dECZ6xfUs7I+JXBbNAmdgr0i6w
NZ5eRvxC4cZHoKRv9L8sYzTuHsKVYjfXOttVCyU4yE1fHM1Yns7GZGytMXkBv0UWjzkWxyBVUxK6
uCPAe0m70OA+LRHWHGczsjeMeEkmyLXiKLU2rw50jWdvziCSh4NCREM86UQ3ZS0V1cQ3U8aBtZ0m
XLMDuA0DpnVqtW32o8CUZBYD+544l3cy5FJfAtZLCJDCw23ko3sHFAW9eonQXUPyIH+h6niYwHMZ
XAPdhhsM/AhjzyqYW6TckT7HHyTB/f5sUu1J9d9v2iEWA7ME6cr3ju6MhkuiMfSLOifzFlosewD6
c46dkYupnip0JjGfX5mxXqjl4jgJfTr3ZvpGm8VbQ3ye+/5eC2DyXprzLXuFz1UvEDmxiGo9CVOq
g129RjQqBXcq5bwHGyHbWkH9RvikY+Y9UQ8B6qAw5nlCUES8UZrmi4VjC+kzUiMw3R/yUi/9VIru
pLE/k+mXrHDz8DDHU5iw1ySsyUOtIvtYDEsZD5gkVhbu8jk1MuIgBBWB8G1LaSWw9U3yoibl5NHY
2QbQIPVqhGnmYZqsktMctv0BbA8foSYHYeAEIQlkfiKjr4nKuLuLQh1DNnDQjFEcnBu0a3PayT7a
m6b1aZcrxRV1LZEa2T9LXVm+kqb5RY/lsndCbUrfrFqT4CjDaVlImQLsv+uKptzYeQoXDn98Tdhj
0nDPJzqrwZCjyFMVKzhBdVqkTaZBbzmnhLyZ6Ir0Nt/B6+qkJ3CJgxv14ZAdAzDmMF2ajF1mPad1
fDYGnOt+qBaBdF/0lA8w667flWJ3v1cw3yN5f9Tovtc1iP4tootQCjPGWefX39U1mS2pi1427J3i
mS5kid6grFo8gqwrhEQQmyRrgWT/pXP+RwXzH6+rM6mhnV495D/VU/ask8bQVf1OGd8fdtyDWpy+
Fqxm6UjTt7/+LZnnf2ce+ePVUCOzC1CASv/slCJYU9LRRPa7bOYCWSsBO2UQGjJ4895f6Z9Nzi82
OQh4/3KT433Nnsfn5uv3HcDvX/OtAzCQQdm6JsNYpA14L/O/dQAGzQGJXBauZGzZq0b42yLH/o1L
l+4AgAgtgra2DX+A2jULujtLF1kI+B6rROrvLHIgkvx0Ca3ebBZDeJAAV7Nn+umCTRNqImWx690s
5ugJpWpReaLSULROC8PNyWyIJa3q+S4rIRu6ZCtQgbM+ZDKInYNkJGpObVGegrjPMQ0WqXDxs4xf
p04Q1LEWXMgc0jWp5K6AteMgE/6sSw23IlrGTYFaA3urHPrNZAtCpnQz3gXUZA9Jx4E3Mck8Z4lB
G2/11I0mC2F9tc03B6HIKSUBhzubWPhuUVM7DFyamwnuIRBIjRH9ZCTbkR+OvXAjqr25kFkCTbe7
L+xQP7AK+pyYtfQUZznnT10gO6qnYsvUIfSrtUGprLa6XSYeEvnUXgYrfDVQWCBp5DcFvnjhXk83
hIJF3myw+k6o/reABt8qtgokQNgd3DsMub5RoXpV6w4u6sKrR4N6EdokO7HZnUgHhXSqUmQo1jUY
+pMC3tEhN/RhrBflOHEIMKAtSEG2xvUPYCpzftSt6glyDhRPpZsO1E+fKbD369zPWZcV6Zx+rg1q
P7MsH0BDL5/AoMtehXnUw1TbE89EUQf/yeUSvJJA5QdoVpyUnF1+BFDTBt/aridtC+5PvtVSSdog
gC0fyO3OPpQ0cx+USaMmWit/8pq0jWCUyCIEX2wk52/tUt3JQl+ATEuHDqjTcwm191ohrcZoFxC1
qlUZm3i1ustGGLfWYiEr7erbGfLYk55aV9HG5bacGnCI7cxsJUhNf8GOsbNrYflIth+zpZJqVgjj
Y6gTHqeDrzcpUdr8otpB/0WSca24Zi1rl07NtHMe14TREiI00ZxE9eJnUfGgScrkY1xvIk8ttfs2
61CyWugssNkCV+POcRII2F4EwwGtyFTb2wbtSLoPK0WhQCA0JUF46HTWIMqzqkz9TciIGyJpIxmP
JpyuGxSA8medX9xr545CL07UGKVvWpYbxWqChvXjLN8A1DW6fckcHKl70s1vSO8WaUtofBm8zbY5
njKVNF0nhOpFBRhjd+LAZ1ieKL+7W/550P/iQa8pnNrfnb7ec/f8R/jG+TnHYfJQ9v9REfvHF/6p
iEWdQq4DNQeLcZBj/xr4KKsidrX56iuAiLk5tcM3RSyyVx0wCukb9mqA+nNvzyiIrA440DgY/37W
oqqtj/Pv5j0ysyhkaizvhcLYB8bhj3WRTf51FwRAeDlkhotl6LDB9MbY50x3fbOir5KJ9bknHXUg
eUZffGWYbTp0C+x1Wo7XOcX4rSFS/1/2zmQ5jiPbtr9y7c2DFn0zeJOM7DORABIkGk7CQICMvvVo
PPzr3wpIKkm8VtLTXJMqWqEAZCI93I+fs/faodH2PvJUnWh2pKMVeTEGzhG3SjZ5H1/ZPvd2zuMe
2V0R2nb1OA353WTapNRMsU9aLB5Bw81kGME7xM5B6pSwcz1G/VOYDwSGwWhvTC9UVlxe7GkUn2nw
JyjDens9Dx26fW0Au0wAHxhFq2Hj8aKB4Oq5v2a16+xgldkg/7KhvKaZGo6M7NsT9yQGC7It4c1a
Kl1nRSXP8+R6qAokw+JM9UcbB+22F4MVMsZSLrB3Xb90rmbK1US833pknFuuPNnyOBLhNe+h/uob
HSwBItjWOesdrfnCvDa6QeQRKFvG28apimS5zoiFRPxDhwK2CxnFgPS3vU44MQum3viV0a3aGO9Y
OkHuzq0u5MMqT0QU5VvP0RAggMmiyx+VePk9gClmLFEREXngoPMndZr+/EPrEPg6zckjcgHzCxZQ
94D7c3yp0B+sEtEG9N+tOro03WzqGyZPaReErUac4GlEgqEeKnQE+bBJ4edobzlEICwuNTxUtR1Q
JnUrYEVChQgV7ZGE2B5TAZOA+YpZ078ExI5p7OstiVa0DdppV3Kj3IMAlDtGsng4U8P2bmmZ9VeN
a2e/Qv9XJkBCFONzhgKpcyZvUKfTJ8E3a7mibEaISk87G+z8ojGibbS1VkrojTsu74tkCc/2h4Ip
/0XQxA9a5E3NL2InL6pI2HwBl+9cu18kUfgT0kUh1fV1l033UZ+XOxpdvoct3VPjOG2DKFmmb7Zq
OK0DAQ/R/TIxv9MftHF2EVlpQVaUXNhjdMnmdrGBSeamgH0dXd5MaQWleEupUg0hAzcDnUUj7yfm
PPApAZ4veAsS4sNci+U6xSMWhRrDQUiO86g9JrmT5mtTeeW8Aiorb8hJYZZWBe27o+IWEFFrRteq
AG8espMwBCYVM3mMnCovLwTjmEZYNrN+q8bJHbcFjYMI+0tSA7olq/44Z0ZCsxeVcKo8Kw7pIc4P
XZSg/aSVJp9y5rv5ymldC0aTbRKdWMa3bTK3t26b+pt+bOgtJUY1EQvT6Ggp6B3hm+LCSfDxHr95
c+eKrnpEAIpl3WsNG5kc01kSxwOjOxC4ER0Sn2LFbzyNaAhBwCTDJOmsDc3oQaQbxHL2I7LaFQDp
fl7hFTaRgov+Ooxeddf6TbzzWptAq9G5DbIxxpHTyFNTNCaeZi1WL//efD4ypf7mQITtx+Hx38cf
v5kt/6f+8T8hG0D5Lf2TU+SX7//tFuR+4n6K5RaY3McYhBPut1uQ98kwGJJwzcGFvFyE/nMsctdB
/xYsmjUDYJ/n8qXfr0FYKDkyA/CDnmnypX9gFFnuU388FtHL4UOx2ShNDJ4gfn66Bc1E3WGAl/qe
BAxsbD8KoApyjg6Z76+rCd5Mqh8FYzsqy2cjp9S3xC8X7P8aVrTMlv7XS6BdYVACBDbBy8vX/9Cx
qB1ILL4f6/u6m/VLZD/PQXMWY76pMJ4s5gKdtMV10MQVwKzopmnibAfyAEGr+WLTbFcJHU4tvtEV
9oTa3/Y8xo1nXNrFYGY744r+0lobYxIbmjcbMQb5AWzmUDjyrxnN8eWfs03geTp/EQqKcClW2EJm
J9jbNWGXEBrcMz3fal4pvad7pHXCAsKe4w6zqsfZZ0dlTewlOoOS7D7btE7xgPmA4xeGDNAdv2BI
4ROG7mR0s3pLbER+Zhx7Tyk+sH/EK1Njhu8GL4albUTsvaJWYVyTGcjWiV90PWjNATnlyWaoCw7i
MuyG/IpC+XPWTt0mF+Vm7JuvXOD0Hel9d7HwTsyMvql4IEE2D1t3KnbgjP3V1PfFyqqqt1La+i4n
soizfHqr7Hgdu4M4V4uoHmld2LiCX6a2KdmUcZnF4b+by//P5mJQNNl/tbvsvtdd/OcN5dfv+XVH
8fVPS9OCSlo3oRbYC6nr1x3Fdz6hArRxY1A1u4hY+NJvjZXfK2tLJ/EOMgjUKd/jkmb+kw2Evefn
x3dp7fDDdBcXNjFX/KI/Pr6BWRMKXPvFHo7ly5QnctWLvN7QnnzG3/zQoVyo9KF99kvjGSeksR28
GePPeOxn5ONKa82DheLzIIpArYh4cw7BkBc79gKcvVqLmmkMuh8YINx1nXj0/X2hn7W4aL7S4NGv
GpSdHVyqYW2RRhE2fppuwdqjtIy9K20a/26i3s196klIeAQqL/R8C/b4RmgmMp/J7o5634VwuG+B
QeLy7SnVs0IeOuGpe0dEzrr2Ji805mn4bKZBHsYEeR4SSHcrWzOwpVnOTvTxk2uXeE8nnjSvLJKb
Xk+NU2bxmnS9Su+Y5XYb/FbtHc554FHF44AUY7DwHM8t9JHSG1/rAd7QaI3TukMf8S2lW3PKJ+oI
K1BEcBQt6VeI6Tad3Xm7qZqX9M9Cbmh8vBNQYW3tgSjVNMc7xSTz1SQgJSQa5ZgFebmlDTCtM1XB
H+/JVgIJRaKJV13LVmz7D/iGdhstabyD1sp9YwXTSnq1cQ0as3juR6d5oq2yLQlvpvNSXnNKP0AZ
fjesMh+9URgNxU1HRCi+IX/E1la1+fOg6vQ+txKGlQKMnmVB6l418dg90HqPHujtOic7n5W30koH
KmPvtjTNm/TS1cX0DMNGvOMICx5laQGORzw9MbLw/HNCYQyujSFoO5Bv5k0Y4KrCWmww5ujse8tv
Xrw0w1aeeWPxWOUVg98iCXZAaoyLXSndWxGwUueEMzXd2WtNfw0fx+CPF5iY7pMBfp0wGywDIoro
89V6dWw1RYOoBYjaorDMcagbdZkyYKzrE9cxrIyTl331zFGDHBWB+ERYHT1mZlE/+FYEn7xM6wfE
wsbFcmV9ssmHPSMbxt4GHRuFi+GlMbstnsgyQyjMaErezc7I6LPPOfoGSHAbkQIGUETr7q1+gl7j
kKa07lrffqXdUzzOKcCybvCsg2ZZQxbGmLn28YJ87pJRkh4CzR5v8sIB4Kb8eayd6shsKOU4RT61
JnxgvjNjlqYzMPbeO2LkzbdzPF9Rq/MaS8JUrmQO1CdS/dw8tIjo3qAI5wfSjUtaOApptZlx+y0+
rOYl4fnbpfhh0U2i8FlHsG1dPB198dgYVXrBKyne01aNO2Owmu9EUuGSGgAufbyyLMoafzsSQwfk
HtbRfbyEM6fIm0hQwJV1b0vWoK31JTGbiX3Eszl8Fpk9hbU7u3RjlzfeW+V8nQen/+LJkv9jsfjd
nfEXRGo9Y/0T4y6b7Ozrx0qj48pvU3EA88CYTUiSIOQ2qBXr26lZyF1JnA0hdsji0Q4m82mqyDfe
9KXt3aOhsw91HsmrgV2MsSKdRDMeCALDOMauN9jVkRE0n5rJKHGLy6V/770kRfNau7d0VuZTGxnm
lUhi/zrhut0krEiEfIETfQ1MurzoAZOUJqzkB40+v9Gbwe8VcaI9kD2FBYHc9AeEgMGupp+3+fi0
yqmsHwDbCj8UOVfCkFxvP6wp75id2s7ZaAVWKmbzwJHcmB8/LOx9j/TKJVcaC5yPXx9MQ2i2NQa9
TF1ElVxG2uLkkXweW9ATo1N/rVJ/FcPRwb97Y/bDrT7FdwnRaauC3C0yYX44U3ACUwtwSaOFbnpX
KaytNSa73lWPcSdITdalf3ZdfmATOZQ02spsZhhKZlVfe86xgciZGgVbarhXu8m+CADCF3dkD88N
P167HiYmw6vsMC3nC5iw9SQJaorqo1V50Z3Ra/LWkGa29et4Zrjvu8nOrXNUAsFob2aEAYSpoBEf
Rzq7vZ+3yVrrjPcqluHYmt/bCo59m6TNiZ4K8RdmCTjJdN46o99XvnMPRAVT6DhYtwgioxctNp9J
lnoDuIv4txLlFopUj7K8GjdaaUGcEkDPVmZnjlRabv0wWLZNGECm3svRCU2VQDRDc7dtevlQZUNz
DLx8Z5ExSHKN4gNO8V/JdohW2TTn59w1vrgzHiwvaA+5nMuD7pvWfmITXuv+0FBj5nBuA8SXsUI0
WdcvLUiLlYRKep5z3Tt2LPxdNpN57IzRi26UbYiSYDUYM56M5tqkvvc9NZlR2FOrf/VcDdNDnn/u
DZG9InTFs5yNAsNk64fo88QqEgEdJVwHpKcoxX5gjcU+RssP0gQ+c6gYpgbRQ1uK9wRjOlQMf77I
pJuajRWPGAOr3kSiT8zIsKEvV51rw70U7Pn3LCsk8m5k3MF9s7kE0JcJS/Dy+7zClWgLzCfCMJvv
AkrbBunGYS5J0rWa5nVglLNufczOmTE+64RthHrNaR+YrbNjUv0G2eaFxOedPrfRl8lo5hXBtONi
ycvhNjjaTWcjOZwrsu14DGmRV/EzKS0CX6217nFenukqxBuKBP8dE9N49ZzU+JLT46aGYOYVEqc0
Hyfgw2ijzcgnjWvMvmQeknxb2OV3wTTie8/E+AgaxFtkVlj2R23ccqZP21zwvXFpbRg06xcvyup7
vFCS0XRLZWUtdvGm8y/N2ExfKzKivk6mYV1cXBShQ4W16sDIrLH+1ezkfTp4YVI5bRjlpR+soIfF
51FiKzgKMzLw4AuFli1oh60ft6XOIxE/9q7Ubl2j88Mce3jLh4haHVe9thmBt549p7NZMRVTeUD/
iDlthe0QbWd9qVHhHWHlM29pnRKhWBs9Bm3aXydC97INUVq0yPqg0i597DsHKoV8Z+h1u0klaBZG
JbW9STr5o0KJc2uA1/0ydem0R3fcPpFNRXgXe+E6VkESTt6E2sEmw1j31CEvqcLKcdSOes0G1hhm
u68jsFV0uLIwi+ZoWzOA4mUV7W62i2+e4JYkumi6xe6u33RR1THrr7tdazIBHKY8CqkZbmSdbW1N
28VmjBXAVy9Z19XNOiOUBaVP2zGfyo1VCgd1W9p6H9Zdbu+ICLyRoP92Xa1xDAyMj5xCjHcqp8bL
RyIQa3f0b+epLR7aTEx7oii1F1qpF/R/4vvkoflu3bnfBkQibUmSb8DE4S3rujRdD53iEYfzCdFB
v3KC1rdExwwktw3zSsBoebQauZOTjNeCbufsWt5FpiZyNp8c9bkydph4sGEY3QZIePwdTOLO6jny
RpJlNiPJ0htJltoRAya28kxEB2RY5zRur3bkOGuU5tmBxDJ5ijKf5Kp1RnSUQX6ZugY5u6tx8gYE
P+MmW7g1zS4vCZm5h3tN09YcxBSveMM2pKBAo5X1GNNZwygVEKJbht5UzPIgqX/V2aFUycMsLnNn
M4tsse82ZrZyYC3jHuXchuNaYk0wVxjUSMxJcsaH9sq1otrccxo+ydK+hyAzbssqGMLYHqaHyFP0
+2clLnHm1Ax3Hfumd9Rzq6x0oxr3mgaEN9EjZ4QZVLQGMS/ckt/jfBOyJsLWrNQ3Qxj9zVR62jY1
xu9dPJubyTHHG38cCT3zPfuI+H5i90vEXTAV5nkiVuQaU6pgtB+s9ax5X0HmLflSQ/Y69fEcplpn
I1ZEal1qqbuKM3KK8lZUIXApxgeNz6QgwlMle9wfOg5nEn3kCrvhSVkU2kWRvXsms1O7LfGzGTA2
a/stQfS2Js42OM6xcqtNZixFfzx3/Tfdnvp38PfZeZoqQR0vYGu6uIGRMz7o4xDoKE5Hpa3zsc8P
SkVoPJSy57OddliCyDp/KmAs3YikfOMCSiZPbeIcpOeA8BJHTb1Oq+StLUtOfa0t373RXfYsUnu2
kEjHbUd+1gvli7uBXCqvfYS9hRroahFQfosmLhYrg4nmEdkBdqVZ8aTBKnx0sSycMA9WZ1WAHEFq
0xe3edV6TggxOvlWtYLpSpSlIGaNhKNADxYhK1fDmjqgCPx3mk9sHGPsGNd0iH0wiF7zoqySBkpS
4zKBTmJrbPleUIWDPlWfK4r+jWMoH6NPX28FG+MGGMQhnREmNuA1OaBVfklpA73Q20UT1XpoAZwK
VkEHqKhmnl2zhGKKEuzIwJerNOg/I3ro4mjDZLxSFhNWzkE1h2RjKcDMeL+AS7Vi/JGIstx7Vp/u
u3ZqsH5W33OJ8UnMkcf1UZzzbii5Z3X+1S318S5O+uaKUUetc0br6HJtDbdMzTSZ7NJ1FvjRkRf2
hYtftPaCpN7iBPUPhavF/1KHfp2U/k1L2bA+hp7/vae8R0uTpn/U0vz6Lb82fQwH4h5xGRYkY8sh
6e53OT3D0U/kGkGwRMzyoZn5T9PHND/B+QXLCmrI/rBT/6eNbNBhhjuOXAs0+z+W0zt/7uFCE7KY
mHJDMgli8pkD/9QEwolWqIzQxwf8kA1njioB/KBMhUejGBidGzvu7tHYd2+YkwDaJbl2pbgAz2tr
0LqL1HdCcCtIuHVY8GsNDFEfaJjT5Ni8CF3n57AcEWFrY53eZR2KMoyojnWoE5lvB1DHmwaJ+hk8
ibxjj57WKWEVuxqdylVlltoHWLeYnGjD90ppcP8Se7JvNQ7jW8Y3jLAS0U+vJB7Pr2Q7zyk1FX+2
MIlHrr1d3qktN+D26Mxa8w0EW/ZKdtN8p+Uz1gEKwJeZgVxIizr3uBSr/vvYxQb3l8LGoKkb93Hi
3nMDSQEZFML8snR98r9po38I+34fcH98BK7rw4/i7o6C0ke99cc+XEl4QaZFwn1QnRUcHAsMT2PK
zl2RHs0w0UKGQ0vaLIM70GzmGZ8yb61x/RrpJWnCO5UAmQVRXh8CNYw3KnKSiznY9TtMWu2J+FJx
TRYKrpNm2Q0XagOz2HKT50rt7+IEjf4grPrW97svPZC5vdNMZ6xP5mczMXfIdN+zFvf0H1qjd/9b
7Bj8lALBWGXRGi6dTtqqNrrAP7/pBvhTjB4LqnJdRi/G8unHMAGfDdOWdxpJOQfw5d2BtBHUywnV
46okXXQrOE1wbUj9W5MbS/PFmeTtIjE5TrUFF2XmX61lmt/JdTVOMXat22RwUXnjZ7xz/OiRZoy5
C1JaJSTtjaGbF/o+ZV7CbLDTdhgU3fUMaGyj9JI1bfX6eNKV9V65w3nqTGPfD5Gzn7FE9HAOrXWK
EH8jHXTpOl2GrZO+FE1A6p1dT29pgmqz6K3prWG/PpDX2+07JP6rKKEgbcZh24OOufJQ5hdvZDZa
iDzd59a7juSmg3fduWKd4/84+RzJIAF8OazTVLQLroeWmMJQYKZ0Z7yqklcCAnHPEzaT3ZSJ1Z5J
9TSfZrRx3/2CMgLrBHd1pDro5qTyDPLzhNgHsklPxMHoNxGzpDvm+eONQ6UC/8bCa7BpE5Xt5w5D
QIh9zLySySVvRW/wByVPeUuwA84IZ3k2GXzjfJjEk83E/lsAMf1sE0wJxUbKvwkr+WnPwvODmx2x
nGUZFvM080Mg+Ie5kxnjRY5HT7vCbFH3fUCagga28XGWE/nyHsYcgnVYO12t3ibTV6FgljOHNhqD
96yp5aWBQnJse719YiyLkTgp9B1T2mcZLCaBwS2/AE5Awz12DmP8EdlYwWd/rqOIUVQfq43As4r+
vjavUud+sCJEYTEMafONvcjo2a7mLYGz5rKh1jl39KY3Nk6vmRt8lNjIMznKC74Edf+xbBsIamjb
QIx2Ldp4o0FCVRe+/uxrpYBEb4inSlMtvpAUpWDZJIBsuGml3yo937V1p5Uhhoshgdw1uDt7VkjP
cj/xb329pVX214/uh8Hq9/1q+fOj7vRBHgP0WCYRPwlyphYReKy66Gp24Kq4PXvGau5a7SFTAe/A
yExu2a3QPmdzCjXbkU3Q3BBbm8idT2gFV3OeQZpCRRsd/XxsXvPR7eZVQEmEPszoohfaVryZped7
aNNB2/7zN8Aoj5flokXF0bYITP+wfiqVi85ImDIULlJH6Nvy0jZxvG3dqADCUbHPRO3EfmG6bDEY
oLUNrpcGV63unIwJOyvPHm4gc65fLekZQBQkinCzGaJtW/jR58JrCURIqpgb6V+/9o/z+Kc/vo1d
xjDomwYmo98/v3Y6yGmn7Mm51mCNMHUJEf1gNUf+vhNdQeBZqm4yKeRtARJ315c+78CsKhfxQjoe
6xInxkRP8lA4Uwfqs9U+o9gIdsFkI/Xr2qG6Vb4gOdHk/U8lGeIMhSbxA5EjPZUgtb+JaBoOMPf8
kSuNkncDELtq52FcQ3TvqJVcGp79MERPZmJkexgZ/lHAXiHZ3HO3hbDibVMk8qVzK7XrpjGi9k66
jaq8yg9705TfCRBhvwLzi4JRNKaxUVaDX73Oyezu9oLcT3SzedMcCpuOV+XxqFMTyLuPRy8KtPi9
i7QE2mzO/zjQPzsq2ZlXrk+0yssMOwtto+Rdb4TaZjj3Xlh543cwDcsOsvxpMi86Dmmlbmwm03DC
gMTSR+v01UwoxWe9MRWzYhxtz16ZvVl1iXs4TuQhn0wRdktjUEMQdk4k7QyHhuwFtTJnyV8vBIpE
Puk/rQSU1tQMEHKcj3Lwp7KBvRpPETE+V27lPYZknQds9bE3Fwh3dnPUklsA1CJd4YWOt5Rizatr
9ooxEHvSJi7FISEXA6VoVhzblBbdai71NA9HLUtLyAnVtm/pXK14kvRv86QXX5ZIxm8ml/3vQ+rZ
2hrXZ+mtReLXQAwox27Gqkdb4+kz68CuEDQXVhEV28LA6L0KgKXvfW5O61k1Hhqv8gv9dsPiVYq5
CDWTlO3W1e7phMzTWgz68N46HCusrwXpj7FPGkrsbJ7aPWC8peRcPlegUf0TQOk9SmeGKtJM1Saw
5iejaVDF1jj0eT0JkcYZDwQqahZrZgo7RAjpvZGHUK67ccyPaAH1vQrI4abloNqdom1U35gyslFm
DXnyyDmQPgotg6SCKgugW52W2ZNgxMCUI2/deJ9QtwBUttgNVoJY4nct8IyrNk5LgdPJ+qj7iLU1
Ubrrjosh8qUETxzzFyxEYsjZ8opa8IcSU8e/o37gMcArr6LQd4VtrwtsS5/juBeHSLc5dZSRWd8S
KwL6GBtuk5+0vl/Kn2C+j/u01jaIr/RvZVGzr/ZtiVGRnV0PtQqVduxM+XFmIdD+B8Z8Isc2oduI
1uPZqFXqs54GdZ9VyEdWhpdJpGjDuAe6HAD8FUr9MN3cJ15YaRuENjluHBq7ON87NW2wVEHwwPeU
hG7HzRZpMaswbakyVzLu1j1WJy6yTQQPzlLFDwyBV67ORRo6lK1wNnNQG8WEOMzzyuTOLL0Jlg9p
RisRzOr+40H6Vz38dzdbYoW5i/73m+2hek9ff8LM//I9v+kZ7E/EQTD0trmL/iIB/k3O4H+iaxUg
ccEp/itLnhtjn/zf/2MbnzwH5RRKBwcQPTKI/9xsLe+TxxeWb0M/hZXkHwG/bPvPVwyuFAYaLH5a
4FhYm0z4YX865gdTJKlKpHZAIyrXVlsUr05G5bgacKxBpmU6MYLJnqkPyUafIINS47lJV94oN7Jl
aCCxwm6aju/eYJS3ivHd10DPUNDHpJXTtRm0ci3hLtCQVNXX0qHIR2th3tLgdlEijJ11w7Ca+jPP
SnpqGBFchqr+A8jo4trJYbzVx9ey7rjUiiR/7JmPvNR5OmqhGgtOx1xv5CsK/1ICNtfYUzUrRicg
gwqxqkVebb5p3Db/lmg56iWrK3HyzUA86d7B8c6RMzLOIanwZtE9WDgoiI5aO53pw5NFPGoB16W2
RAYALLINOCUWCFJytpi9+1A4vZTxflWgY8q1vH5raBC81FTclwHUfDhYhTjhhZne/HKsXigfnAKw
ajyfyN5u7+cmi1+5QJqIqUzgwYwjxgHXqTtQHcrUny7KkfWdY801egYfCwynz+TtClS0F98q5b1d
WHivZ7AUoj6wRQwIrVFujdXA3cied5OZendMQQPYnlb5JnEw4kwo/TvXMRpIMFn/AMBbIAoUYkPt
b0EhbwywgVpeHZ0+9tYZnuSTT3pmdFDCaI+jKhKajLHDHgdyxjv7emlWYafNxaNVNsMDgt4OWa8x
qdWQj8Zz6uXRc6/Bv28mp90QMaCdJ0VTm2uYSxz6bIeTjNRZxcbwVADghPAalN15Irj0lPj+COEl
UCRVEXOYk2BjJ7ejXRUbbL9VhoovaJHAGt54U2iyWyRlQ/7afnR9hWTwhd2TIaWZTeIr+CxQHhOc
zQY6jhXjXAoqA2rmnF6TJreeEP6m94Fy+G1cy7sHg977FpGtfTLMbNRRTtTJXrN6WrUz4xCzH9s9
eQBE2QIOCl0yDV60Ku6OWKCD71M3ed3W1UsSdAxspOkGWU5wDTIXvxWKmhr8Umy5dwlgySWuGlnP
KgDX/mY3YHAXOAD1h46PNaAbEbYlxxqfY87gTiR3nszEjTDm5OhRSwUbA0gWfJIK+r8LCWbNcq0/
+1ar38booZkYtXzdqGP7BgzoAMi1LptLVnl1KgDS8ZQ/S8KHF2hUjIyRPw8YI52xLLwf/quujLhH
YB+Mc+ZeRR2QTnmudF2CezXRvmCbnoZpFY1Kj67zNFrzMXGSbN9O7p0BbZdwP08hkAECOHPffZBU
j+NGAJZ4iaIALXARjcXaG+xAhHlj1mFVCudhIJEOBlJq9OHiNWKel+oXG+rduXcYb9st8X2iFgym
MUoh4URT6VsDS5Hn5RoJiS4jZd79RUaTVZ7dodcBlBE/XARru1GD/mArwVWB+Cq3cnD5tNp+GrpH
uwCcp+V+kK9lZ00HqxuPY1y5N3XTdLuyhwdWyELtmqGc79GXmzRhihYChBMf/FkU91NndddiwgNh
5xlyLSsosGDwQaKTXZUR+WpGm1xAKqwGnMzcldPzmB2p0PhJltbuBi9qN0FqvrhRgm8o045ZZq4G
wHUr+mL47V1tCiXKhsfEtuxDJLo6NPizbGGOiNtUt1+CoYnXKLeCDbnv2k2mjGgfL7v1POhPldE3
2I2ZruXzeyfGE7imIox6/UQ6dD+HJBzqW10kX6TFmL7I6kcfyOuh9Js3hp3FhqnaVecqz5ileIyt
7tadsuyub6tnJmVyRXY13lx9W+r1w5ha4OqkBwhXn8uVPuXj2qwKQjwH2fhQiJnazC4WkWEULaKl
xL0BFS6OnSVOsL3InAj8cUd4mb02BBZjxKeeThM/T47A+OyUt9eoF2BF4iaQE+RoJlAmy+jk8mmf
9bgz8cQP1VWH9rbTnEpbrv2sprlWl7mLsoj1Q6vJT53mvp3n4GqpDtcfmXjFPWiP6dYNunevTnT4
5DFkXeKBNpqY/BJLiCQ6hTwVcsB8lt9nmnHxmtY2+d7SMTeK+CUkp/F8KSSDy3k0ui8qR6+qObZg
8JzeO1iweSTyJKSyFpeyy5G9kuPyMBZRdO+YEZLdgUaGU+sz05HxFET6tM5NsrQLGb0mQm/vzcab
7kwZyFOKaPfqpkH1MEx1GfaWexQ4MxghsXQyTX9yRNKuHI3/SDIJiN7llZq59zZJUJw+NXioUOxt
ae8GW9S9xQ8Xn8OFOlUMiq5eb3NP6QZhX9hjtDPYRg8QJCjgK8qzYt16VX4iA8mCKGI2u0CK5M0u
Cp6toBbQNfLhyiIsYEHpxV3mRM7KrVxvk7pKrA1Dv/PQB6x7M6MfpSzrrvCtYK0Nc3PrTMZXZ+zc
TQtd86EMGHw6vWc+9bUNX30CHMLKSHKEN6PuhobtVeD+zI7C2XJ3Bqj3kza6wdER04yQJZUHt+eI
lLlyDxrGdeOXNvW/dfLf1snk8P1lnVxPr3+a/9DR5xt+LZID/ZPheN6H3ncxyf1aIRND4drmYoP3
jOAnZ521IHFJnkYgHCwF8u8VMigl1MHLbZ/LKeYC/Hj/wEJgWz8pgHEjWI6Na3tpJJieZf3UTIJh
1o+Vl/pHvS3lScvglU8AO66SzNj3shrVgRmvjUe1IN+EPTXKL5ZVdi+YuhDHR57Q7ozYY0abNPN4
Z1t99JgrHu9Tm0r5lvRpFoPjhLASYiyytLCVCvUDduFNBKb0ccYlfT+gPYUMC8wkOiaZX7yP4+yc
x3bwHxO0Gt1KFQv5ugdUNa+rGgU9HfVDEtjpYXTGYpPR7B545gKHVl1pue8I8sh10b1DXBTqkgVy
fOrT1r6CGRjUehib6EdvqfKWxOWbvBg4CGaa5i8qstpXbLnjk4xbwgpmkfxAjNmga4gdVKWd9O4a
F/3qWs6W4EmP5Y3yOmNaBbQrf3ilpt3XVcbU3iNF+jJqJu5mu/EY/wufPB4avfaZAVSehTobRrCS
05C8KswR+4Lcow3qreQFfhCyNcsv/Z3wHMvDZegWD7ORJLdUDAenBq66TyfiE1DM+Ee8IeNOJ4aI
EPmS3I4yAUi6UxX5qMA0E/x/NdBctUpyqpx1ZdfB+2zosgkZYHh6CKt4OHEO9CHBU+1xiHI4IsJw
1cqsa8QxLQnGS6OCg5qjjOl7419s6nUO/tEbrqNXtvuYtsE+13TBLSTy+zBI6TeEtnKbh7aAX4qP
RgtrU/LHCQqEdFpTFbeGF8Ef9WOV3dL0rhFzON74XGDxXrmD3fsnpv1Q1RM1S9hOsRdQdrpRv46R
noCEqrrbKhm6EL5cS3vKJUPCnmQCZScV/RFy6RLvmcj4zu//H3tn1hQ3lnbrX6QOzcNtziRJQhoM
mBsFBlvS1ixtjb/+e3ZW9Tk20Pirc277orujI6osZ6a09Q5rPav62fKndDtdznUCSsUqfw6gSmyE
5DOwfDA58gX7oAvwBlL+fdiN4oJ5f71mlC0soLVu/1yRZXbjDsQkl1XhgO+1GlL7rNraGCWxXIsx
MYbrWbaRuK91ZKT9adb8BOmNgbpdbj2jT74M+DhvchOHY/bKr8sMDfJUk/DdMieLtfbARHkqESXD
gQ2PkTI95gb2R8OW/bfBGZjfTpgjI59roMHCBjrf2spACUkdLyUbmb7YhYWhJIKYLQtlu+zBbu8n
ZcVsc7i0Gvu0JbutJctOYgKUdRMKRLlulZ2zlka4EcriicmRLYWyfTaRla8ynKCmsoSWyhw6lvYX
RBw7kK/OYVYG0klZSUdlKoUKyfeu0MH5ole208JvuAPtotaPmlNOLikVWFQtZVbFYCP3Zt7ka/I1
vAtrDIZDp+ytgzK61k7XkfWbz/Wl29bd3lSWWAxPuGMTZZR1RYEZM2hPc8yDmeKmRS7ylRUxYWp+
+ooF3V4J4iWY0In2TuvM7MhI1MObiicoGR3jFhgUp5avLLxBi5lXP9t6lcFXKKtvr0y/Pe5fCxdw
oOzA0cyDrZXWTuAUBhccI9LFPByifluKs6OY/pMZ/OzmgJUwHGsC6zErrHilKzuyp4zJhPRgUTaF
+cWtsC1zPAFxUlZmz8HU7DLmHReR3XZXDnXquh7FeABoPD9YRLEza4a7CncxA8oS0xt10rtjxgI+
enCzkUOq5UyhTOGsTJxQg1g6lgw50mi+1lOeXhSP4mbuORvTiAK1ZOu863CFHgaD0OB11EJhDc0Z
21EBznhgw7WMkrQ+5hDMtyA1/Mu0MZ/RC+B9iND8jLBuF2wT5ZoMPfTCFl/KaaCBXoekB9AyRhnf
tomduYHmG0BNTiZeIr7Vo4WDDzsumU0XhwRZ1bWAHPTa6+xZAJvCAkVButZJ4FsJ2+tABPn5I92I
fxNL9vxA1Ar5KHzyZ5xOOzrpWFwbZOStpizS70jozH62ky2/eSQM33rgMU5QzKL1ZNT6Jqvs7qqf
Jfw53SbWIGOyscZok3Hoxkl3m9hWuffj1nq2Wm5py6oHeKZ1ceUbVYtexzGuwQKnKgCh46kaptvI
yJV7TDOSI3YXKnOatUPrZOFOjx2x7EWbrkrb58jMomsjaMUuYSSPAKHzfJSDvocpxYpWCIQZlYQy
nvd6VsWbnJHRMTGz8GtczEPMzs9pnyj/yEeYtT45mH3a7tB71gi5jPF7LrsU33k131m9ZS6rUHgN
MrJERvhZ26812/wDQNThMA+lCqd1dcH9VsdfSCgzblmommS4CtJKBlBuS4SK8UNVVy1CXRdVRlsq
XJM67Xmjj88xIOw7vCHoMlitj2tY7inzWXvGtNHJvdPIk+xQ+NGfWwZQRr12VXE70cKk+uOEA6jY
lVBakgc2pErZLku3402U6r64nktYI4vC6vJ1Z7j1CvoYNvdKH+dXX/buOkwn2mCWYN4itmw6nKYB
Kx7FU7cd9PxuGFl9kCUY4SJirMNPma26oshOlpokOYW37yKtWtVuk/zXF/e/Yo7SSZisnv7zHPny
fW7EX//Kvytk+1+gJziqdJRIdmD+lsh2xoqalLtMc5GJUKD+e46M3/XfxlqcuoGOcIYxNHmECKr+
SVXMEPrNYi1AVaB7rEJcxyKL4S1fqA4JlxHR6F7mZuWTqoZfD/uSMfBwLLtWqxS4gaUMU6EUynd4
LIuJV3Dj6HAdV7PkrrzNylrX8n3bulYzrjX2jzaE6pA7mrlpD7bOq4HBHNMYHIe3yZs+t4ej1IlO
G5ngelQHqOFdGUF1AA566O26fUmj4YRe1AuXhqmRuBu73ibDiownr45WLCWnW82fWe3M8IMRUwbg
BSGbB6aYt6bR4L0jCCpzlqLVaSI9WELtLqv9rr5BfZTeNnUYfGuz2aJr56Vr8JD1orp0Ic0wUJ6C
R41Ur5JLTO68HlkMJ9uKcT4amanI10jT/esUING3mlHtSgvK4Skh+PpmpqfdlN2EVqmJGzUVN0lL
Kq0YUJ4sNeTEc55diC6Ln9zWqR/N1mJcbJRJ8FIG/ks2Tkdfb8iGBK0/XfBf4VXfudZ14iT6LmC/
tpZCxQwwl+SfsYL6RPZrzL5omvSVHHAkLCjCgxwMY8mRaIcgmwbD6XcIKnJQe117z/6NfIZmGrbz
7E2noDWnPS9GNZFOKFwXIQf2ji1p8sr94JxEijB43Zemdh3nhb8dHZetdDkajHVlcReTerOd/a68
4RXrLfuRILmlDUHjynZ680FDR4aouTat69KOlDuacjn3PO+iT4wZLY4z9aukA5hnmFiM2WObkFvD
cWOBhdqRjYHbm9Xu/KRNebXxk0zbAhSfL2z2hC+Mq72LuDWqWzI6wmOn1eWh1KIuBwyhTddjN7u9
gf2ktyXru8W//5e5n93HV5pjIgEE55ef5ep9YBfNXlRtNBR7ZntDRoKfDGsRbJhCMFgxYOgv+oHF
8bxmjW7oL+dj4r8Thz9MHNhUuXTq//lEPf743jy36W9Th7//pX+fqc6/gPwoXR3STh2oD3/e35OH
M9MHtSlnquWQrMNM4t9HqkUCtGVavoujxfMd4/+yC2z9nxypplos/qZVQN+qs+6zFDLB5ZRnpPGr
4iazOsjqYdwfrHwOuNVmakl1B1pMuqfi0HuJPRGoktAD/4g7zaeq5yV+5/gNOQyzDG+z3A/RWvPX
VwIj99pEzHYYBQoZwONI58wWHxzVZqNtijnpHsE65sfG92qx6s2g2wTST47m6LPLcppILlQkHMLT
GII5IDS8K7mzpCetN3rv5zdpqhc3chi6L0Hhss6hck3vOSCGveLAwZlDvEJZM4T3nR5rTAv9MviS
xX7+pTHlPbGWRCX6BgAZw4tu3NqZv+hG1nwZIyvcsHJz2SVKXguDJfdphVZ+VBVUr2op+1xWUXdn
d52qtViA17vkXIDRU4837HfaG9BL8QONUjfhgqJqw3dFqkzsGbfeuaYbXbHudWXJ0MgJPDSq+vMp
A0mAoCBEWkRxaKs6UVcVY6FqR50iMh3HBvajqiyJc0kO5HvCnClU5YkYhiK05jf8mqnKFGdGvNFU
tdrkNrC6WNWwaPg9cvnSM4KYGtdU1S4Y1ushFWKDhiBdzaombomQ2ulDSWkNReEAoTQ5xucyWqqK
elK1NSTPdCnd1Lz2m7HdTaoG92p9ONiqLqcIsJ6FqtVFYMhblr8U8Lmq5QuzklAdYhM2tar1Z1X1
14anrYowK04a5txbqboDEOPZz8ls6RhU7+CqLoLNjHa0Em8TObp85Lui2aB/CG5q1YFYtOsA0OhK
lMONxptOhTZYWzMPGF9rlFjXrB/Kg1C9TXBuc8S55QlU92OdG6G6YT+y0M4N0qh6JVt1TcW5gXJV
LzWpror9Qr/xGVxgcbSf2VL7l4XqwmwSoI92A9C1Uz0avNBuGau+bTy3cL3q5irV12Wqw9NVrydU
14c0lf5PdYJYRCroO6o/9M+tYnhuG1lm0UKSrdZdsrj0OL/oMBPVa1p5KDAEZc5jYuT6Q6N6Uqp5
fR2rPjXBScOMqar7U6MwNvWZaAOMGLiNk0R3yCmdax/yTaMQOL2C4SR6K7+YCpCTOhasnO7MzWHV
7rEOqNWsSoF13FYxdlpMusxoFHrHUhAeECTNBYmBkHn8M6UnZMVN09+E+T3HSHUzKaBPgehlza6Z
UAqF+2ETA/mHsV+19BQOqFFgINbx0XWjYEGQya0ndOSgR3i2x4f2zBUaFWLIdVmrL5lXIaRRCCLH
DfN9N/cY3vIzo6jXIBZuCoUuEqFlGGxAzkSjFMedZxSsYj23DKulXdchJ0lSzYzpytfM0KEjoTId
r6wzMyk585OEQilFvaIqQeiDsJQp2JJ15i7NZwYTvQ08pkqhmUwFacLjDq8pqtBh1pvMPaOcwEac
yU4wyBToqemrCOwTmnf01sxpula/Df/CQ0VeXskvEg0SKP2aINtiP1esPGccgyIfMWT2ZjrcNmKM
/Bc7SsO4WMaI6Qfna96LofbWfoXkaqMxrBGvk1dVRrqF/t80vLh4uf23DvhDHcBYkffuJ3XA1XNS
/Pht9fDXv/F3EeDSF6m3rYud+fyy5637dxFAyIPu64TuOcgHWDX8UgR4/7LR9KLvZSXg41ui5fq7
z7KpD1hlOLhZjEAH+OP9k6KAS/xaEhDjgG0Wy4PyP6DmfhvHN6Fu5PnXZkyd6ylYO9MV3f8v38YH
JoP3l+BFgELZoA8AImi8qToQqvIImZDPsYEt0pn43gl2vctX+n9qr/+Hq6i/xS9qYsaZ4+jEXMUr
nlrtqRx/SOev2cJ/JC396YOojvWXS3hJaRdlzyWQ5Hn6CZdLPX///FO8aXqVsAuaA0wOEsgN3/Te
XMIdiaHuiSLcDTbVF6+SaJlU5SnP660T2/n286u9+0DnqwXwumBhue7betAbnVESQtrspjIinLXl
v5LcA4gSVdnqn1/KMFUoiYNa3X6rAtNbojDM0eCDxX50Nwp87ZHojSsdOuwfNLnvBGd8Koon1mm0
3VzxzXdopA7ebYtLFQ11TUrAyA7A/USM4zyCSRzzLcO36Z/eG1wUNzjCTIps4GJvLuokoCc0tC67
KeVbJLWbBTRpYwtI9PYfPt+bdeH5HqEs58lF8ucymvj9NkyJkp2rSmt2+YTqdJGFWPe1Gvdwauoj
48amvqkmHOhAHeOrLmN38/lPqZ7XXxTPf10fSaEdsP7kaHrzPE+RXcV6GrU7P8fO5BZ8QLcevn5+
kd8NcagG+T5pghhG8RZGpWj+/iFHo5STDMxmJ2VtbL0hHpJF5FnhMTPBOc8TKw0MtUSsN0R5f37p
j+4fpIqOqWxgiiv3+6UDxyapmx5mJ8gtWVcWIjUEDhP7V01HhmNFaGamGObC55fFOaNukt+/WQXU
5sNCoLJpAN58sy0tlIj6ukFDXTQvpefqA04VXE3ewKnjhOgVGbAQ9UCe295q9W4zthY/gRiN7TT2
wzapmubejGfLWCZzK1aN9E6mAxFjFffjcAggGGxIbSdCQ45U0Rh4bhPdROWswgtAtPojwQ+euGzd
3lv6ZfWEJgell9+iVDT6XScalHN1rC+0wHBXqebFV1mFIyGtu3LhAoy5JC9cXMR65l3q/ux+03I2
XIvYmeIrvdbcS1JopuWsa+061hyEQao8Qgoms9WM8prcrnz+iro9W6HbNhlk1y8uuuN9mEBt8LUa
FrI3M0Yx24OdmvLrWEyE2TDQ22qdlxHu3ogL8pTZKHSGvWlTzlBvrIwrXydsXWB4wRcx9l8sT/KH
wLQ6eDOmvXL2TdyWU2tchYhUdyWZfMuo7OJTKPrhJZDIsPrZ6loiYNhfeaR1bLVk/jEUbvgYV2ho
Vlg05q/uwCgTVZTxo2lGLQOtasufWm2P8RJvvbwPzMSPN6Mr7RPhe/xB6gt2bJZ6k2MCNwH5w9Df
cVd5FcoD62hLshpFsgqi02NbTBzNEqmeR8yZ0I6khf+QrWYvhkl2r2Iev9qz+SNgA/9tNFkb2Z2W
PEpc/Rf6xEKUbowHqRhIpgRfGixirMw7UXNiiKziR3DCWdJH8+flI38PMXrpPg+c9j5Rt3421t5l
7nfxVZUP4dpyGmPbtYNaNZmC8CKrX5GS12zweem4Rs2ZbTUsmmUAIGLtA6oW+FjJuXAm29zNqOQx
/c+kOtRCbomrTnfCEf0tTqzuVrI2Wc5N0HJjoJs6ZRFSXz0LSY7i7KU9KLt1j4Tw2g/4Ohe1wk7l
TWWuoBZ7RzkEQlwI083xt6iMP0K/DTimTWh8IREtOk1Rot+KAtwBRvPEucbdJLZxFOlbw27C7yH7
fkQBphYezSEow2Uae163sIkRJNEntK+nuIF6RlDSEhWFvZ+qpj7Ummd8MciVvHAhS9yEmqVt2yq2
bjxQG4fBdu7DvJ5P0IpadHVOr++6uHbNi7oBJth1I20zM+fwu0T9RojmUEqQqp22LafY/2mL1P+p
RaFctijDLhuULN/jQDfWUVfbqFGxdiIZk8EiZFLL9xGyZ1wZ8/iaAZKlze9HkrmiSt8ZqDl3sErM
Q0Yc7Z2ORmkdTj7LG9Anxtb3imbrDPbw6Jth/0S6enzS81rf9SzA3JXdjcky8ZLeWjBr8F+MlCU/
rIX8iBuXoAOMcFdFFwXXuEOsuyyQE51j62vrsYZSNpigsZhpEGtUNf6NSJrieYqd4dRMGB5HEcvj
2NbuwRi96Yq1u3OZAiTYGnR2S1ZG7m1FcOEKN/+M5FPD9OToWJMXNboK7BpmKE8NUDLi03V474uC
CIRVgspg04cDSXiJK/NFDLL4lmRVAQ3XbXdGzyGUYuzbcms4qxH9OjLnqt3KEkbMqq2SdkVBaa87
3a4vs8FFshuXdXw3mzl7OPJJ+DOdMHYBALAMML1i3vO3je5MjBv7CWbNpSPMaZk5YVIvhVvoKO1y
ARKbZmFTogxYgXjAaNwG5Qb+Qcl2LdK2pMHi+ilci3vCx2W7oUEg6mdqmgsNNgQfo/anTcjSdg22
OmzWpp4Fyx6XCrLxkgLHLPzxpqAI+M4SUXKM9ekJboW/jYU+LSWnwFOSBDOMEs/bIYjrf7A9IGQA
bMwlOULFdijB0i18TVQMP0vju/QK3EdZkIQ/26DDnNUiWwwIUdif/3GzcB0UL3ZzMY0R/uDZ8Ybr
YRbjdetPJBv5KdZH7uGziNxf2UaEneZ8yWSucM9gqQELMzGlWliZ1L+nqWwfPJW40ztoMxZ2A9Lz
bMosAJcyYcQFZhdj+E3YcXnfJ3m+PVtPwTqFkIkNXYkR2ZzXOq7XsUv3btk9w4mVFxjfQI1GnXBW
JIvp6vWecng2/TGQOl/f2WHYELR9xRiqvzI0GQWLySjHXakFk7nwK8O6aNCK4q/x+3yPRgeHkVci
+FvZKnEKly9/YX3EGBVAEbw1xlZ/lG0/kwPFAmlRKdufU/lYnwZlaZyrjssyYQ33I3a/hdF0ZM8p
M2CVuMNADAU/vW+xSyqVu67LrPg1IB5mn2YClVHjOpch2hcCtIh/A5uFy7Om3tzSiDYXVqWl90OQ
BCQb1+6tsnStHWUF9qUstlFKyhJ26HnXBgZxYsLDZ+h6RGEbmIbKoCVkj7izG6uZ7GdgVtm6qLjB
MWSk+5k7eunpNpIDWy9+gJLpLpjgtXdtCouMG4lha6yRPi26APZWjr3bboNt0lQFuQSW+yjpRSX2
DzM8ZAPMvGULSmZrEu99g3MKZ5ym9z9gimtfc68Kl2BjhLFSYWR//U6pHIk20PnLjrY1bHS7Mo4O
G5i7iK30DYLXaS8yk6WNMybfiq71T0HZjxtN75wHq5vsB6L77AfhVNORN5W7ietYW01JAh68suOd
F4blFXnDzZeSxdLabNir4ewYj+dvXcKQW5Wt718TuLrRi6LkxdeKS6cpjUVNgCy5XTMEPW7EzYiy
9tKr42JdBEJe5JO08BTkxnJsdJuH2CNatDOn7Dr0jejCyGPAPOd7eYaFciLNl/gQRg2XM7LSo9cW
4TrPvAgNKq6ABbbT9FqvRX7hTqP7GJALvZUY0hzExrwM9dnm55/r+SptoSYZNUlz0RBYOSu5NOYI
NIwvpJ9+b1JiwzkUpguCvItrr5nnVVI6SFintpru9bF0HChiCL5mxAQb0tqDQ4YoC+eFJ8j3iLVN
Z5np3mbSdykGnKiGN2jrsKlGCD8tr24vJtzEq0uNhMQ5J6adLWiYLHwjDta8m/oLYs9npP12W10N
MiuMJR7U8q4rx2LTceBQA5FXemnYpgT4AnKs6Uj+iuJsvpoGo9rXoTtsLBOvN8aUQrv7i3aBG4aK
2UbTmPUcG3rU8mhKh0yUuU2Q8Pg96SnQeDDnGkV2r3fcTnk1U1YHifFdj2w85KA9UbQNuC4DH6f0
mAAS0GyC7pBGyzX8dRNL6zCfmtTz9u5gT2tfTg0SMbOv2Mf2Vb3IA7cH6NqXnHQwzuaT7o4885qV
wT0K+T93tlazCAEc3x86qaFl4h+9ERamJ5wrdbgD02dvE9JmQUqH7naok636RNdePIJuDoBMYDbG
8dol+a05psCnfFGs5yrWtvT2kpgQZzKfpmLyBe+G+hZlygRxPtEuo7C/6arJW6B0BvsltB8+iIuN
YRePUAcMhPlTeOBjpKtMLzk5nahtNuAphjVhkuY2DBMS7KlLLlHlNx06RZ1ZZMfIupod5KExLMwq
AVbfuvmLV2gv7excjyyWN+Y45Kpuqy/8GJE36Tp3QxnPy8bXoh2n1ZYvol+yQYNIFtLeQYN71Apk
c+yYyxITFpwdf1BSWKuR8PmkdlE4FW4qr+LzsimxqapM1+bELq7GCuR1EUdgBGCKuqTnAhGx+o4t
s4ifog7eacpCHopsN/br0Z/L2woUDGbSSEfWk5vxZSzc6oaAoupRi+Co8lbPvyFA6F6q3nNvPaOx
x1XmE+7S9dO8N6HX4Y6Nux0AL2ckXbK2b2y/mW+IpG9uK+Rc6z7vPMBEY0OG3Oy6a2Q4iHObON4C
8RWbvk6ZxulZso+EMeH8lLAcmjm/NFA97khTdoJmNZSRBQfT78Y0vWyL75T3xjcIMP6VEXRSXzam
U576WqAyMCG/3oTzVF7ICYorZDGYtX7Ho5jn4JnSQIsVBI1fEfKq853tVz0AU5yna9uQ4lQQpbch
Orr55jbUV4uRCKPj5AeScKDY26fYix7CyVPsLfTF97p6Q7pGDng89uPdWBTdZZz49lWct/KhkLBN
EG4Ne9TM/eWgTemLtAVIh9jgxyVLJbzpvSp/zVu0sWzj7Oe2FaXJI1J5e4Md+QGHI9MVjQYb20Nh
0+u2LOonTdpfrcLL12noGKly5sTHUpt+pL3nP5qlVwArnf1lFBGu6bQZ9DpAqwtqvJlXISyHbtHh
yFi5U8NJJjKxExUp7RUgZn5e3rZ7Is1zGMrWjHTBX0Uti4Q2ye8I+sPbhBwl4pRfMLOF/B5MNMVG
9dBYwlqlLsmgC932wLA7VMbbMnDzuzLNy4OcM/OiaUJKKazgUxhBK08rv9N2Vkvg5o52ydV+AORS
GDAkikbn+vfAvwh6qjp/SxczwD5P2AdamjzwUsxuKBXF82hY5VdRp/Vj1VWjt600ZwKnF9YJASal
skdgaQIwqMniBN1+KJZkW4xPaeNixuyaQex7s/sRDf6w6JjsHsgRLS4tKtuXosIGASirXblaepzL
PisXraVlW5l6NYJFUR6ASbCmDOpKHhkERkdBMUQsbybate879VUTkenaNggwef5fETqiV+WdhiPN
M1lGh3LeY+roblKdIYMdZfE9G1GLFxcyE6PIw1NbWeV3xmBPNsy7J3sab2dspvaGhWy/0orB2Iqa
4E1ZaRbhS112i/BpkMs4rpsvjp61+TJ0240bd/qG2I5u4XDH7zS/tLcxcp6DmeJwWwABQ8WBIWSH
OSr6zoK6BZKslxg/tGjjR6N3R6vD+yQK8qcQt/2qioIHe7SHSx1M4pY/BVjmWMtbO7FfPVDPYHnl
9D2aw37Tp4OPddWaxFUQzMO2bxBaB4grt3Ukxob5Cl+KFXoPXh/bd0lfNhvRqXSPhiiboaCmmmI3
2Dias2V1ZN7Qg9xzIKfXYzW7+7p224UcpLuusiJ8LoN0XmbN4DMmtMTRxQsJHVWjizEbqtsRwQ8c
zaH4UsxtRIWrMW/O5YX0p/wUJpp749U6gFjhmkey2q2fRoTcthSgRpsuifYhKvDrwhnjQ+akzi1s
2aCIltOM0P+bKBDuxGm7zTlu131lVUizRv0Uhp2LfBmdSynTcjv1VnYrOXERLhfVOgh6fdtk3V3U
YW0aPd3dW1E5beXQPMVB4e1EFPPGohDcc5Bqu9wK+gOlnLcfoEQc26hOqX/JIWYlRghXJqvvVi0A
Yfmyq2kB6jj9XhI7rF8awEIu/YHtKtOSgZutNe86UxunpYY1OjgmWROZ5HnXNVZfAJXOpi4YIy/9
uAmOxdRkd0XOVjd3pmAbJy0CMEZYd67Z/iCBrlvoKH3AeVgg0ufhBaBpvncIaF9SVNEk1T2JCEYq
yG8ODCX530FUF2gRfAedsXufR9TGdojXgKowWzHueGkhDa3wawHRFLxf0ULsutF99mhBRgHcsdFP
1FCK282YSOt848UOsuHSVlGsbo3xX0+R7UehsesDLfwZu5Zzg2LOPLVj8LMebVafPHpfoZ6QbOa0
ZQ3bqRnDFToK5UJ2yq0ejN3aTOpihTAOZ1vBBODzQej7KSijX8zsmG4YhZJr8fv81WrJFVdBZTtk
I9neyPuvqJ3nXeTS3QYeg/zPL/fREoSILKC5mHwwq7+ZNEdNrRvI6bhcK5272qy3dADjukaH8od1
i6Emx7/Pd/lkAXYQynA2Lu8yPuf576G2O3fDS3se0k9h94pUYVxoOKexiLv61vVn/TkOVUc5MI/7
/ON+NL3H2I84xbYIb3+3PfAsOQ+RDgHdi+yTg9/4qoqYk35+lY++VH5CNcPWWXyeJ92/rMpseB2d
nbODOa9DepyWSzuYRowUpEN/fqmPPpCtk0GJ7oIEFLVE/XUrl8Kw7KdsYLME9nVlDuUTTLan/79r
vNnuJA5CPZ7WZmeYEixBs7X9/PT5JT68Obj/gGlxKypl2O+fIwiEPzQmwPmKF9hV1OnmnmgIpuX9
kDzGGqsWGNrKbc2slZwA/YJ4zD+tdt4/ehZ5NsxRef4C+pc3CwjbqTpLK2GTRQaqE1lKd4lavD5k
moCLjX5l9fmHfv/bcT3YFAGHqWl4b5+9mtrKnyqr3uUkG1za7nRCJ+L94Tx5fy9a7NBxxjLfQVZ3
jvD55V4MIgiioB4QcEnssW0Fxris+gNKqL/F5//7BbEPhAeSI+EghmPhDHzzE7ZJMk+TX+442gCk
au0l+Ia7qhH3n39tH/xMhmebusFvxcl1Rm788oncKk+toPHK3ZwQZpE9a35G5lyxTEB5fX4l8/2y
kY/0y6XeLBtpVJHbuFyq6wOmd+TcLOBD/GXV79Z1X8xfJ2wzW2AjYbOqcY2tdDTM3yBdamvi3OVa
sALami29dN5YTMFye073ji+qvbSggkRDPF+FGcWgXRcEmkaMjCmu5DozYUfsyZ8Yj0PZMcaaOjdb
0msDnQXE/YcP+pbjxMKRVSbDfZ0HwMCP+ebxwwWkWQFp87u5jeUDsYL60ej9LwQhJM/53OFYyADO
NxlYtDGNNh4YCRZX7oXr4p5yWM8YdZUuze5rHlIdSTcm1zCHiuRDgqS7BKFOYkpK6nudYCgMGwFo
GuQPzokef5gmtG452qW9Y8E1rKT0zSXXESv6eO+Q2mgZRIoYCRZ4vAqiYTl7qJLgOGSkK0SmRvE4
t/p3LwSh+Pkd8MG9ZgYsI1Gw4MAx32LmwryvWcNOfC8Cf1xPTvAFv/oIi74RcIRCa9h9fsH3m1/I
UuBWEc0ie8GV+/tDVBMP2A9VXu4CX9oXDF3gH4KYOLhWJbehH8lDzPzlzk4Id/n8yh8cFKy1dXh6
aHHeiy9gTvda3LnFjl53euwxyjyBIzTukOiKH59f6oMPyZaX04iGh/+83aGzHKHonLpil/cNo9He
YJLPOBiMhiiaCxcCJXkTbNlQyZtM7j6/+Aefk7oKwzGSZL7kM1nwl+PDgxJA71kUO9Idkm0Njzka
I/a9YvqbV/wPDkSSlniePBRGHnlJbw5EGsE2wqCX7Uzff5gmsLIm9EyeIsv6x7cp5QaCKYRRyDDe
pVFXLeEsEdFELBdJuZldpi+WuB4GxyUTxn39p1+grVt8MNOwDVZJb19bJLxUhZ3VfCwnt3ZaNRUl
iwQGuy0hOu0fSqn3DyAXo7ShNHDYar19fdUsiGO3y/lkmn0XW9pDPfuvYrTuosH9Qw3yXvnApdDn
uHw0znznzaOHYZcYRo1trApZthiYBCXkTS/rgV4X/Z5ZxZ+q0Y+vGFCK4hHhoXv7esEU4pfqirXR
79Ogei4n485qAHF0sQtVuDMP//yno/BWzqKAV+fbV7TT0nfI0Et36CX3U9bvbDvF/az/4TLvCxtb
d6BaAg/wqD7eKqtIEBiThD96hwFdu9OIVbmoRt6In3+Y96cIVzGgFHAyY/n037yzRqJlsRgb6a6x
aGtp95aZ6H56hXsStWSrBvMKsNMfTkllK3vTxXBVDg7PAXnIafnmqkijZYD+Jd0FDjAsAPD04kWV
AgQOWNXNBZusdlLISq20gY94c1Ax+9a9rRzr6CJjmbTBh303T079haiydBVVFcWBKgvqksggtDHu
18AcXAKtWucPf/sPfxgFdGAjgGz77Q/DXjLOGG9mO0ZUwPsnKMHayLDj8x/m/QnLV6Tsa4ERmN67
kjO3odcWUZntCullBG/1Oz017nxP/qlq+eingKSCqtJ1gVW8+SnAWlpFVRccRGNlsc0O44vR1cfN
55/moxMIOx96RHx4qL7Ud/rL+2IWujlGnZaiIGjJV/N4TY0OyMS2zb73wv7nVTQ9IzJRXhkENmCQ
+f1yvkzcHtVFSu8YvqrvrkncU96ED59/qo8eHryKLkR4hGyA13+/zNhCY5hLHp4scfybdDKYs4fO
KxPXctNEjv8yZJW4QMXS/uFV9dGZd/ZHoqD7oOlhfqLjme3TXRSZ17LQnmcBjFXcV2K+5UH8w9U+
uuFpe0xudjrLd2rBjM/ouVWb7qqoSrc5mainwRTa6vMvU5mS3h0KfIlgfG0D++fbhj/ozLFzmLvt
/G7Q75NYJwUBxTGxEQQXMaD3hq/C8MtlV8r+uiZ36+hknrXFrGOt56kCiR1hoTHqsFtnZEtt4q4T
f+pujQ+/eY8OmyfTcqh/fv/Jm7DVnSHPeduMNrNCWT8bMsDIZ/ntReL5D2AnsCfgujhkBZTRdOhh
fAblU8xaF5SGBKGV2xdMkcj7gWS/CGI+x+df5AffI4stSlDPw/tCffj7XzHz+DtAMy/Jnppfq9mQ
G71CURVmLLGnvxT9/7E6++DrMM5CQ0cpVqm6f7+WaUxA4X1JaR8arzoDh1Xu6M9AYIsdSR3Kmu7K
P1QYHzx00JYMl4qGN9Y7fXPfEETTQJjfDcJ5jJNIW5qs7hlmNoQ0mlP9tW6GesVK9n/YO5PlypEr
2/5KmeaQoQd8oAmA27NvIziBkZFB9ICjb76+FpiZqkgGK/hSZm9WkyqTUhJ40bj7OWfvtYf9r+/r
R79V05Bz0pHigPh+pTQx5SSN21Z7arWLGowI8tz8Glky1Jwsephhq/39cxsXXNsAOj4RlrJ3d9dm
5NCa4HIVNap9GH6MJkujux5rUewLm0L617/wgz2H63GGWnGbHBbXN+uHVboIGzNOKm7tNEBFz81m
DMCO14GBLO4/uRTQYzyKHBjf0Eg/XkoCRuuKkhJNE1V5ZeWEojROZ5+SXtM+Wb4+em4GH9TqQ1gl
z+/e0QFdTLnQGdi3RX/Xx9V3y6rv8Lo2HslJ124Pt+Dv30YD04VuwfbmhPjusWkTDXe9Xcr9svKl
VWe8afomkGsg4q8v9MHCjLZYtQyDzjM2jvV5/vC85DIiAwkpAfPIeowmqOxLfffrS7xhyP/acDb/
co1374QgrT41Ta6BqlcjoDmRx9ZqrRu9J9qZoBAS5yKVLPWxkUFrp9F9NTYOigEGNr3bZDT/emXT
lAnjHoKfsdhp2mZ053yfGF1zxOMWX+sCVFI5gwAPpVruihaFBtXt7KOFI+XVIppgIfbqytIaBHtg
ZrSbRcD4VkutzbZV0TY7dcD0TgE1RZdprnI6rAj6KLOkuYwnJ95hmp8BpaPTGoy4OB+UZti7mbhL
qqz1ucPZtqBXBL0VtdAehRIm83GRm7CPLRSD2XhWmQa49STtt7++vR+9m6bmOBrvicGc4t27CVwf
TIfNu4lW8Lmeumc3lpemoWyNotqECilFv77eR184Z24Oe7TvUca/u54VzyVM0bncE6q99pwuoNMd
xq785PD6c8uP3FjsE2svkzadeHcZc8pirJQCkJGaXUuI6wiH3G91ds8k6pyptN9b+lPUlJ+UTO8x
aHTg1uvSpeWOUly/P5AJWdQFAFd6ItW8fImhGXkkZyrXqN3VfMPgnBqnXiPwumyog7xEKQR6kYW8
1oeDhdTXSkflYKgkFWidWfoh6jBeOLnD+MEYS6QvljZQqE/ogTJniQLRaZCAB2cJIo003cxsfXex
MD13qZl5HVCwTcrfE3S5/I7wW7uCiwaVk3i6LY4u/v1isXB+dunGURz9oTaszx7FR0/chlThCPwI
PJD1Uf2wRuDStIoygymlds8zlgkP/vsu07rhkzfro7Xoh+u8PxgNcgAXJoird61c9Uv6DX5BWPqv
X9+Pjja24VCt6szb7BU5/eOPUWvCYGqzKfcMnQCbE5tAMf5YZTHC2nb+xHT24cVW2jQHX9xt74sI
u2ExKnO+FSW2CyrRZTeYcosMDEFll3xy+z5aCGza/uwWWPZ+Ovzm80wOH1KKfZM213rrwIkM58cq
b77Df78uYvuTO6l99F44VEkUsHipnPdzmqWVOfeXc1qKfRmrh64d3aUZDzq9+KAylHhvyrrzifww
bhI1jPdzhLI5qhIQSpGbbUVlzvcOvgA02mFEeOKvn/SHfx4LIm0k+rf4eP76pIEtt0oWc8wZa/nd
ENFDrA+3ucEw+T+4jgPanxOlvfpm/nqddlDmWCLK2VOJSro53XM5K2NQ9c0nG+lHx1aaU7jX1PX/
OO++Q2MUyLgRYO07hONxi85tLK+byjqmrnYJZeauyMUnjYqPXuAfLvn+wJouZo5QRy32yjjtor76
Lswchat9bKrhk5rD+Oj9pSJlSMbxkVr4XV3UjS644skpWGb0+amL5euYCMh1uUbUsZZGviKVxC9Y
kTdJvQqOFW2VZzUof8TQPkJDiR9DcmH3vY5sGWsLZoO4a26hI1aBW4LEBlzibidndB9ci1UTUGS7
2rfbKViytbVZ6a/qqKNpr9xgkupTWvUXeBLlpuPIl7jDSPQvWZIAkfVbifKSzZ6o+V+/TR/dBbE6
dWlx8N6+H8DmuWxhGkpOfnI5LKQOep1qPlrSOtEzBV45j59c8KNHvNozcAw6NFvf33aZatFccxja
J7WAuSZ7MsDAIbqQJMIccvAqTP3bP5F9fXUbC4w4P1WXwp5dqG5Gvs9I4CAQdrbPy5gT2pxW7WPa
aMseHdLLr6/5ptd4dwhFe0NWlM4nSmn77u2K4LYzmc2LvQ11xI/H3r41Y23wS2O2TnGVE2auk4qR
mki23nTKb7FoRU8oUIeWaKdAAIk/ufXaB01MVAl0fdZVG+aq/telI5qsRUITZ+lYQvRsRmRuUaUZ
2zZs2p1wbHKFbALgcivfiKiJgUi3GfJr8w+e7/9agxsfrJWrLxw5hkaZY75v76tII2zShAmkLFOD
0cgqbk6MfLlGYFlaJx6Xc+hSJIn4LFovIlVyoylQnD1ATsPVaIzqdp5D9UtscvAmV0b9wrGYHLWR
VwrbBNTJSVg7dLnfIRV5LNnDxrTTeINg0Awapez2sQ1EYIp7J3Cjk15lxm1mlNMlny1OFGjWy2Ps
9uKYq85XlezYTwrzj34/EzA86M46oX/fOKLdluZtZ/D782y6jfHn7id7Sh4TTYm3v34TP7oU6ku0
BrjR2TbeHUAYOtV1sW5LAvBVIGt3tfSQhHgUcR49/vpab8/t/Vu/dn8Nqle2wfflf6nYeT8WCcXB
YIVAthgY4/hYTG0XymoISifXTlqlhlfdpI8Xuq5E13qnCB8MttzJkuS9tz/o//ANn+Ab1hkdH/e/
UQLBc/f8R+joxXPx/V//OE/K8ntbdTTPfiftHX771z/++G/9gXBwxT9Nl9EwxnUBj46D178RDsIh
InQNV3HpaVGa2VzrT5CT+Ce9EQM1yHrgfQtS+YHhsHrTrTfr/e/4p79BkKaHtS5XP7xtiHUc3jKH
4yd/IEPCd2usEWeioOZRT6WqVHHdYxIhE24iSxzVizbJTQbmofLAOGLSnKjjkQPKzkClmMOPLJaE
2F38HefTTNBShTg/XR6nBeDpgyaYaQZjq71Erh7dFxO550lkW4+DaXbnCEO7q4W1JtwmFTBmr0Kv
cB6N/EO025OQOwWc7Z6s8PKE4IYYhwlHZ9MZL8pohvNJbevJ9dDbdyQUQDq7N7Kwd85ajCtkm+T2
SBCvWRirv5XhdKm35DbbFSFWKVvl3DLpzVrg9Y1qAEUx+q+0Fcd4AmdTKOeZkRCEVje0BbYZz/aW
XbWwfUMvyd2SeZjca0BogFbSavWbJB3sg8ka+xvnmvrWNnv90DpdvNOnFCulmDeYHxMfKH7CDGTQ
9V2qJ1imjezKJqmMKAoxG+ezk4ZF0E1GghuMHonXQFPcdJryPBGD5rlqWoyHpnXIlimFsUFaISbi
WpAtL7FTW5vFVNobTc2t8wEM7Ubrekc79ELUFSEKInxYCte5lY4V3jXdDF2pCTtDCdJWWvkJol1b
+zgJ0i/D2MR0a3THz6i2uQdy8GqktUdbVPmpk5Cn0G0iSteB8Ksgxefx1PVEx/tKJOONAzb/pi4j
M1F3IX69faZBCetAb3l6N3JaGJeSTO55iJGn1unWncNwT4Ko/kUuBjEMC/iaO5E7AJ7JeXWSvamo
YJ1pwPYl8GTABuqmL02ofhvUqqJtd3qfzipJaJFVohBKcyvRnqN2aSKeHFYUi+ofwK3p67U0iawJ
x82khtg5SFcBV7YgJA/tjYjNNaqjGlM/AS/mmfB0fGTSHbtq17reKvFBdG3p4yZHhI3AxmUyqTh3
GayjwtIPUd+cW6tRZiFaBtzHhVkvwCYt/BwTtnsnK7elnbX3ihJfT7RPPCwT0TZaQCkWw/xVU0f8
mk4SAuaeb1X07jh8KaMXu07P6kJRD1hTsi3wPv0o2Hm9rNXaTatQABfmlOChyqvtSIrbScnn5aDi
n+IB5fo97sOnsnNNv4bz7mGWVXwTZfO2KlFiHWkcpIc2GV+aqsmPDY7xE8K6PliWAnWYJMWXbaU1
Zb81F8n9UeogKZTSj2pFKB6xvzFuqvi7tdRfnElLMVpALLZrdfGE2WSuz4xgDEQ/R2eIvCnaE1oq
NbOqLlHwLFaJ5g26Ffpmk2pX/PXpKSXmt/HCqZMHeBn9d5nLOXDxTWwdPrY9rqsgcyTJ7NHSwTyq
D+Vo3dZGfoPf+4wkkZ1oenU1iN8lNmYJtRVHgnBvWpEcyqXQA1edN1HK3Y9QWbmDed/W9c6dp/MU
5TZZtP20bWSO9zRcODGF5gNJcpDfiXwJtCL/nptqgxVqxLmLS+c2USiKa7BRokM1X3cWi2DinhMD
Q8hQgTCXEwWhH65uXuMSLTcFGZq+I4aRd0tyRud52OjbitZXYkGyXpN/g1+ZeDV8iSNuL5RjDZgO
lFLpRSy6dN8Tqh7wVayxxvU1aOKN4vKjlqq8mFwzfSYDHj5eHzrSc9NWOUmpmzeJXtvHSnaxzwNr
tpLS/ivWwi+gFAYM0NNr3BXaPnJaFI4J0aYMi2nBKqE49nNibFqW9esOv5BHaL04ZKlzE9rN9Th0
Kt45xz1VqTKC5s7s7pF1pQ/0wQkHTxpdepHq2FLrLut2Kg9qq8IHu7AiK74xpkmcN5N6szRKhwUW
V1SkQ20Q/eU8FVtE83iSU0nsStnetDiTuEME6vVquk2NjCQPBALPhBNdZEbM7kA+wZRpqKHS7i4v
M3urF0t4O2bjuVTqxp+wIt07SnpvRSLxcmV4bhfxxY70g95bNu9xL2kEA1CL9XHLgOBQ2ekO7GrI
XaxN0neieje6zbcSJ8fGahbwep1+J9GC8AJn1J0FIP6TVY8qGDzjphfyLG/jBzvDC6bnsDXpmXis
tBtbEU+mGFvfMC3ChFhLpeJeua2xa2EF3kw8Ory+A0MfllH3KQsj7UuOHjxoDIdPTTFDImSGc2ce
Nhi9jijRuq011PqpsVPXqweJX5ypY+xnc+6SxNUvh7jq9tRCxyEJs12Xq4kfCeaPyQBnscpyfwmF
47mjuQJWEV5/w1QIfw+wq3sxL6p5HZPi6S1OU5/nfaL4BChhN0+t+AVRCuFYen8Gw589YczvNRMo
Kw5YMSxsrKkQOGC7W+AYF3XiFN+GqUSYN39JnSzfDPwee8qqzKfCTU7DbBy0ptC2RICiX4ywZF9M
mPEGfPK1DPol1k5WYhG6oxgzuW2R8TWsegnTRMNWpzT4pzduxso0FEZ5RTAEaPCqiW2/Y1+TCe3J
ucK6yRRMbste9md6VIZ+outyL3o18UJDuY+Vcd2exyioyEJSXOtiVOnNEqBWXqqRHBBNzrkZJRQ2
aX9Tpop7EG22HKfBuDcnVb4wXcCFGBYQIrZY2Y3Vlq4xbiJLeh727LP6ZujEt0IZrrTYSQiOGrub
1iqvoOQRrZFhnpnxw2SUMG1jNFvsGdWxXuxHt6WBQ6zaUVe0bqPx89akovqJ5dXcj9ocPpNH0WxG
Gk0HhLH6Jq2GeGfnNl5ZzIWAFeH8J+3wVUR0MUvVVc4x7WQPUnSEXwyt+2ozgQ96S5JgExv5M9ly
860zKraX9e5XI7OkX7iF8+BguAyU0FaBFsTpXRmVKikY6lr2UlYaxlQFExzbccsDI6ZsMrJt7SYs
yII/L2raYlOkv8kme5lVxbkRohwejXbAXNfHF7maWcFM4wiOjNQK302YSvqLbExPqk1+apel2qd9
T2pmW0bnmp7vuyzMQPY5ctP3orpxC5zsLLdxf41byd0vjl0/KovY452a7oaWQh2LPu51sWTJWdl1
v9WZ+43VOd/WwhYBpI/+Pkk1kMmG2EnRzIE1KskmlDYbBG0tUoDIno3B/5S+UqX6RUlsmI/wqD5L
tRbfZ9fOZ4CgxX6stClw4vpbHqHtA9ORaFdSDtotC2Q7bQyy91zP7sY435ll1G7NwszYvFqlBL8s
jFMEzGWbcxZ8UMfGmP3KzV18HuZsAEwwtJcyt+wXzJPY9peVNRDGtadoOQeGnnuuo6uCpuByPC4G
ggYWxUt6NSgN/TKkUDH4bssGDlAs8qDg5OHHbjJEMa02rRjjU9OPzjYrhugWz2jXaOcctHzCZB6I
ujvY+vhbFdr2rpZMP4pOThvYKPYhLDFaLpMlQDSrO57a0UrJYBDJQDx3VaXEZPRPQ2cSVYJaFast
2etWTlZoAwLfJ55wH5sliWqhhO3qavne6JAMxk06HEtYRmFjXKRxatwnJh6KXNruKYmL6pR2ccFI
RtzOS7zNB1x69DbMnaq9AKTmwJSGFTLy8F6LmsLLaz0IFdMI7FgytbQaz8VfcmzsudzA894vJPL6
BbhSsJ265ldKKf3EHAIXhg3LSWJ5uGIGr60xLy1Z/DQKtMUc8LcAixQM2/J+qspqg6RVelZSnBCb
zwHalQIzH0fDvCNWGBSVZE/Mq0NFFIdAFbKzI+NbXvb3lZytS8WG9lJQp+iApLfTWJp+I7tAku7q
GdJqzmFcDttmUfQHnCt49fKiuJ86jIkYwNjqZmw/qYZz16hQ9sfwHT09rXBWgkcqajltq5YzXVKF
yW9ZQ0DV5EBNSHjLp9z2ZpURqD254b2j5Wd13JsXjSk6v6/LVw6/rZfF7UZLl8onsVLnkQ6XU9zG
tB774r4xUwxzZk8Mt1mKjcm8hkO3C/GKyN1zMivWGVRWbIVq1Re2G76oLbFkAiX8Lh6ziZAzR9mK
1tZ8un6cejQpLlWZXpTT3F/oKpDtCm/x0jaZF5vqfKGn4gjCWkVfQ7aXMwwE9whnPCPv9LeKeiPX
lK9kxz9H0t45WtufUebO3IxsO+bLISS4fLMoyi4nJcitUXDZANa1NpX7OmuukNqfyilmeYSa4sNu
VbdSUt4OemPsjI7gt8rSPKCmJ3xhbKCpelQz995yYtp/yfI8Of23sI9eqopYOUit13137lThfUV2
xepUjJ4UhZzp3swPXbIsfmQ4ZwQCfXFlFTRCVLuMzdGDiCEvwhCAsVKq2plpyuuUIbqvtKnqdz08
AkBHkXqRhdXI8Uy56vEakUpRTAtbQhryc9kJaoLmSKRgCtgeGt7gp7mJvxvZyDsSjjMpDHrbeKOZ
MxuMreJrXqUMoRNwsQitCIUADmPkHPCqxgn0uCmxCeod6tSpRnxjZ7s0USIyafRGjf0q6+RXfdQS
fxoHiyJH1vdj7+YHHNXDgVN1dhBQHXamKM2tnJfoNKq9vYW2dzc3iCYYEVwKt0+vykTRXq2k7U9L
nNhHaQA21PM5O/ZVOG9hDTV3ZjkzIiDShBo+Pc9KIgTDSL1clmjwh7aKzoyJhNRe061zRsbmpl5Q
ShjVRL8Y5/F2cExl24HRDhqiH0OjLHdDaZhBNCkUVXhpoQV0qyuTPOnSwD1lIpK1ZWps9DgPL22t
s2k8zi9u0ZOcqDvPTpRzxzjUAjNivgY38IDyAH3LOFxoRcWxoo0d9mJBBq0KAJLecpAWQK8VaZUc
g5qF7C7+51sxAp2iyMJty+tajFsanYyMgTZU05RuY3LqDpwbD2TopX6eF6CG6SFtWM1xjhdWucmz
ZJciKKCYcm/6VDF3lMJ0XIwp/TpkAh9waKrZOVs1u9BItXAxt+LEXMX1JKqPQAdlBaUDQPFA+VFp
en1y5lb1SIRJ9m2Gbb5pwGGA21FPXVZ3x7YyXuulP0e7C6GH2kJfkguN1X0D6aq4ShseY7U6uYkR
2Wh5PvrKqGieXSVdkNWuchoJGkh0GEBZVZxHtvNQuaLdcb6umUTy+rfTtC01dYflZ8CUa1HLoGnY
9lnC/5Tbk1GbdN+XSl7bVXc+SyAjDflFS2Rs6DKs3AWj9AulKL2xi/l5Oe0ao/XVeGJVttRwzywB
F0UmLQ4t83HkS/X7dZCi9h1rJAIUlMbDy+CkL4ljIeOrr6aumg5JO+sBJeSJJfqBoUC5hXW1odTi
TdZgn3VDO+L4T9QLvAX6jqRa2igLm67ZwQOS2s2cKgc37TfE+mR+XWuloNBZysfaVGibjOPobqGM
3bF23uiQw/hFQ7fJ3qgl7uhHDeVgp6g0h6XX0xEItDAZjzGqYozp5UvZVeI6jRQepGvh1qjjwJ6M
5d7VzCu01R3zMk0PoAGSUoHSy8T+z0CjspTAzp3Zo8BJ7wqA7q5WX7SLfspc+9nQdPBoz51WwNpw
X5sBM5PqJvMGSSzIsEIEdVr6WirTYKmHV7AaGRzk7CmulXhTm/pqo1P8jHwymiouvZIFZF5QlvQC
Yo0AY1YtRnjpVROzQPtt39iTLwEgXBJjpB8VzvSSCHIk4uNAUT7Uc8N/iJ1ckizhCVUS4ttOZRPE
HbHltX2ShXZqVMuHdFhwECMvbksXJ8KR0EMyWDSHKC5trvszBv2YM1tSyj0mLs0hyevwymVVI+yi
1RoLZBe4Hxcq3GJ3d4ppF+22cFtl3jZKNja+ocW02mxqhJnlQ++TbWoKrda9kntkkWjaIISe1bOe
8cJLmwHJ685C8oToWHj/X/r1u+/V2sZu3zjO3zhcsM7F3e9Y53//y/bfmOe1+/2Xf7Epu6Sbr/vv
zXzzvYWm82cfev1P/r/+wz8a55914nENGL/sxEPyeP4W9+33rmv/0o3//b/5J1BZ/FPors0Q07IM
pEKCOc6fQOW30EYDPatrgbO1DMZ+f3bj9X8ywGcYw3+NkgpdyP8QlbW3Hj56c6QbAsHc38pz/HnK
tNqd0Bdra/a5+l4+JYwZMIZU5J5UkNe4ihhgupyQExeh3Q935+r39v5/0Ye9QpfRtf/6x0dX0pHo
ombGY/2T/iwnic1cOGHtXR2AEiSXJ0kyI3tB3H+iVfzoSlwD3TRqVnzy6z//QYcUdUq4NDKTGNLJ
/qaDc9kORUqTcPlkQP3BhXAfYxpfR4EU5u9GdAPNXlE1i9zPbfaa5dkroS+vKf//b985LmMhOEPi
hpB1Haf88HtwZ+LytCa5R6UnNsKta6/Fb+RTtf8Ht453lfkf/jecIO9luYAXCxO4kYR+TeT4pPYZ
oEbdPWvK9JMfxRDqxxkQ7zS6QDSrDJvWIdV7fZUzFK7SiVHu43HMSHCcb+ZoeoCL9SCHwQ1+fQd/
VsRwMQPTCe0pgiLeO/sUcoj5Nis6L3XrBg50rX3q1pwzlORZdaOCkqsxPLoaf1+fy4XfrP5vYoL3
j85uKoIE41LuZZ1Utz1wDeLvQN3hUDc++b7Wl+2HodrvN9RC0UXaq0qu4ruh2tKn9E6JMccrBpO3
6OW8SXU1vP31nfzolcd18e+rrEqFH95FF1HAoPQ5VxETCMZmehgKon5KRjt//yuGOvE/V3r31lO2
xdVQcqU472cOEenzUoGp/fzzehs3/uXOociyQHfg3lnzEt+LqKMeogqTrGzfISoGNdNWXjehIxoN
8wttRAVzJhMpN431rdUIizPQZ84ogm1+enrYXVyXl9MRJsbl9XP54b6Sv2m5RSULBvB6FUh1oIie
ZTddLWYxE+auVoEmGo2ukWXt1YauV5qTZ25Q9x6HGt+PP1aw0F2sT35TleBb4qTwme8ZVD+qtu2d
7HVm/nuIFm04l05LF0Qure3poqpJ4+A/MsdhsVGzUffJyrL2zlQX1+Sa64+Zo1cHi3jwp4HBUTAy
Fd2HDtDcaoaEOKZ8Upkzwc9t557876yk3hnqyDx0HROIPsvLDbqQ8hZgnHmEajV+q0M2GqoZ/nbQ
W9dzalan0W2HlLmoG1cEXObqSwqujxYif4+CYuG5CPnR2dDJbSUieRnpSxV02MBRfhlhmHpan4uJ
WXAndjZAv22twkVJiQQOlIbjX6Hy65aCtbMAN+M7XakT3sP6FkcJoznwSpD8Jm2Lnqzq/IFZ+JFO
FkVNs1QnTe2o+4i7IKuiUIg2RgoaxYN1miItfYrcKn+wRyqgujXk19ou9MeQ306UB8i/r7Iw+4W/
aQixiDo0QH3DmFluaGaD1VRICn1oR3imrtIW14qSdE8htwaOWy0v7T59VTWeaQ/P6BEi5+vUjuFt
Zy/VgTKWv75tq9OcI4TZNrQzeX2FyGOQtfZ0AzLCPLCpdH44FMluiHLD4ySSrAzavjwmEWQNj+ZJ
chEZND5SOypfGRdoFxpM6Z3d56iJdWWkp/f25eV0M48ga92z2OaWZbC4H5Gtgz8249mn0RPduQt4
L9pNSfYkgA1yKB2rADRvSiYsWMEF0mRj57uk1FV5rvWDFPTFwuFLHEqF1r1GXxgQQZYsnq2WDefj
ZHl0AfncTWSkvNIArmh5RBz8OxZvVXXrvZlq4qHi474zSDtIfZhCFoA0YtMy+ijxAApuKsRZg+MQ
UTVlmNeFU2bBTJZR5UHIU9aOgnho64bPzlQXxR/opuLyEi6wKrnytiA/xQ9Y36IBn0GZPgu0f1tm
ucM5qAkt8hIx5Lt2CKebsRHDl6VZsp0l+w5vgNLoHMqlYS3EwbgZidBtNJI+w+joBadp+5u+8G2Z
SjhrQT5a7f3g0M2IUtOi/M1ZxqeKP7bpFeNoqyatPXNkIqJlPAkrjrKnOtLL4xTCCqSFqPtZk77S
jBac8m3jyB+ibSHYzoEyt/UYxIUdX8BSpX0a5QKwHk+oN9h9wajkNGQbN7BiEd6mQwNtL5ZT/L2U
wtoz3RpI4ozt5czU+i+ynYcdpgEmjqLnRVhGtwRllby2sIO9mrgkv9VyxqLR966ngRO3021Z6/uu
Gl76eE6OBflYdHClfWI3dq7jno+SMnTaEHg1nA9dIzYRTZ0tbi+6EdLJHl1NLidYTtticdZc3Ul2
fjFmTFyyhJg/o8t5qVkVyR1dp7dln4pLg3Pttlb46rM+n4OBDG/PaAGoLw2rWzHSUNPWrV+a/G69
SJ+TVnEvXTQZz/kEhtUYOg1V56jdpWZoHKeeNwqcR/jUixAPWE4naMBrsrFagoS9wq0F9sgVlKQ0
dCTg7Sl+DLX9WrOb2jPV/NmyWCibhvUD4KxDBxQer97Q8Q+dugwBtfXuNTzN5kwbyQogi4HXsBdN
vcvVog9S6na/0PsqsEcu3VRVQ8YX4dlgjcZvMWJ+QodKqH4tHELoA5smyS+BUFTbeDRcHkIhL9t6
PdpXenXKNcnLRHXeJ16hmbSzuTtJKMagINx187bqjnHytctc7fs6DyAmcWXEq4tG569LLlJrirbD
zMiFmU3KJEDpLCDv1rYFLuxDgNN9izn2rqZn4Q+0S++TiTu0OGEZTKrT+Gy49Jx4wrRD1KbBPW2X
dwQPhb5rl+UxXPriuu1Ze5SI1WNE0YK1oOCei6rfGinGh6gckgsj1NUXofXdaVAsjsRVf+lmbb5v
bXWgIYX8txCRct41yaWRGMMXJU1b5r1xdx4iGoJUOj662ewGLkHaBB5q1n4RybIp47q4JLUivMoz
JteQLxMjfq2ilQzVJfd8zw/NoEZ7HR4AvPKi9jvVwE4zU8yzLUY7FvcXAqx7hqdsequA9aAkcf4A
c7I8NiUrjlq42l2ianJ1a460NN4WWeDDaIV4BlvKP8JCbRD+7NtMGWdmq3t0xGazK2Ph6VosR69r
RUoWfZ6zmKXUmTWvSCoKX4vUDKFCrQqwos7qTyJ5glFXvZBnKQ2kkkZUdyqjzrFeUc/6fVvoxXGs
jeJYOZ0qGf/09dHI2z7oNXTMeRDWE97c0zzqU7Gw+eQN61/hjOFNrY/Q6NQsheJqJkMRH8dUGJBk
YY8P7tEc+qr0Qrs36I1SDiAa9RaAQK/tnNLccOmifJcW1kYtiZzD5DpS88cZTjGnG4tI63ZiXZ/d
VZLod03XXZW2AwA0NeHt+q0bpQhv48YMyDzQhoK1p31yMzXraF3mt2NqTGAxNZvmKud7M/Eko+xj
madZkEj1xXT7vUxTut2zgXjLQsapky4fsHAM15aVKueaUSpp0DnFOgzT5x3fqW54VQpmvM/dbq/X
mMunOnzOYivbOLicoJwzoK+cWvuCIHa66NmjNTpIJFkgI+oVH5HacsHnGn2Lcgcnd6a1ipc7k+B0
qygH0sZVd+tEBesbPR8W/YjTCQWbSWcPQp4VSH7wPkOxycxytobdr8/4P6t81wMx+TeWjbaJ1sW7
w6gEY0MQTJ/t46Iwj/3QFq+Vsbanx25s1YK8cY5WeZ5z2+JU6y4IjaN6ymj/So1jVdIUz2xc5dFl
FhPMOqVOm8iy8PO5t04myNmzEu/JWWYTW9YNdSK9rg+tfbQCXgwiEKqNSaL9rQGZ7tmwkQqj7VlI
QVc053oONZbbcJ4w5SVJ+vS2BpYl6Sj+uGSEsf/6XvysjKUzTitGVQXkFPIx3xU8jIDpwrdqvq85
TASMIodzwFwq85eGMxMhCcnFbKxKEX3hjJUJUkVY/KwTImHm9pr4rG7+Sfe//j00bOBcrUnD72XB
TkQ2ARFg+R7pAgkY86nJ2F8Q6DyXeX8Tzmz5v74DPxXqvAwqlbppatQmKJL/Wpm05mAV0Sjz/UCO
5GUJxp/NmqNJWcbVifFw9bv093/VmP9sF1ov6Fir1wCb90/m57LhsGfa2YrhIT1hpfRWQdKWDHVT
XqwO4tsma3nXbMsdr9624BGAORM9hkDbWMsVn+gZ6xke9bCbwP9/8kb8VGcDRcR1AkyEL4T78u5+
4KEcbUwdCSqOOdlZSlSdpDl+9g3+1LHgKjQqAB/BM8Ni+O4T7JN+CO2ySva2ycnVpo8LtcTu/FoX
HPLtDLj3/N/snUdz3UiaRf/L7FGR8MjFbAA8Sz560WiDoEgR3gMJ8+vnoKZqoksd3RWz74halJNI
8QFp7nfvuRknd6y06vXff+DGphT89T7M+QAn8NYnpP8zGG7Rc4vo+0Qsq5/iiP7gWl5rUSS/lyPn
0r6e7OVWarZ8rqzlOZdL+8U4adoNi6LIZairJN0WO3qb2wL32C4eGs5yVt4dOfzK66yu+s820qPh
pEUk2v9XNviPc/xv9Grylhaiwr92jj/9nN/7f9Sp//gVf+jUchOjNzVOl6z6SM889//X/uv8hmRr
uIIpDq/l9sj/oVObzm9b/siA0GWxGhNE+j+d2rB/oywYVZlQswe/6P+nU+sgb/76WOIjJz3I0mdY
rEcmX+uvC5EYNE21dS1OU2t0L0qzXL8vlg9vNgpmXVq7SzTKIWbYdQ8uILu+b9Sro7IWTIn22Iqu
x1zo4F7x3PVi1aN2WiLTiQBMZ8ndWLXa++i6tQ/OVXCt9CIQxyj3cX9XufZi3ltWmhtkM6tCd09Y
nzzjhk1J1N96LB4j54d8rc1Dw72luXhNJ1ww/mpi/guwXA0l3WoRc84924lwsSpOXdd+K7xqoAvV
rcpCxxkzO7QCG5Ecdm4irH6fFJYBdxD/F7OnrSNXYH0yFooP0xL31dmtF+PZWuKeYCRsmNrG3hXN
3gFY3GKfRooRgJxzamKkFi2aNipfd7cwclLb9XtWRd5njODlhqvRz31LyWlN/Wvg9W4qHue1g3Ay
8C30+AJq44qA1gq335HJVZTppHemwbX7vQJMjKmhzrYzdJ0dy7hu3uYK4oIPlWQ4csn0dhPx8DdW
Bxj39JFxbUkf4y3A5s9jdmlxuB8zY3rO6tQ8ZAOOOJ0z+zGfYsps2zJOXtI5neLdotKT682X2uqu
yGWNL31cVtju+zuznBl/Vko2voqdDxo3Ju7M09ua2T1+EIlSjvA158+zGjgtSz07E+/+Ead1tzOj
fHykeh1c9qoxYORHqiEl+Fi8pkPvJu7eMyBCSvmg1vQZf/NXTSPy1coy6LMU36xJy4R9HN6AA5xL
VVfHfEibECRwSIGEAVyKe26z6Wtdu95xVaj93MifG6GluL+0eofr6Sd6inMpnTW6o8XJIWlMg7wc
2Wl7MwrzZcTSrWhPmld1a2Smw2VWzQEx8CJg50muo7HoLt6wVa+Bijy5EAn2gJ8ZqGtYrNa+9X6k
o6EOVKulP7yknc8zTUa0e9jaQ9wslD1k8c/IjOpbWxse7SHlwl4uxUE0JVeHtEk3CcDxx1Q4eHwW
G3eCPe4Hz7ZOrAvJvusMuY8pBwvsRJMHWIQ/azsvT0OCbBaxdvhA/MAyRHP6ozatOlAY53dxjOtd
Ckaqdc3Zu68GPMArBkBbqILYGE4Tz5ifdBvHX1egmRfRaV0rVKWergp70F5somS+mc/ZOWltxtgN
IoQ52t33caVUWh/8LJ/IxveqpV5hXER+Xap8vHKcgTd+7DxwI9aqfQGOheWpmFjYfk1yJQ6xgK1L
sJSzdqQ4ZXyAhzK5jwWw+ztHGMz026hLbxqGDXuzph84ckHMB3pBLV1PPo7LoL7GWINr40zLVFcS
2Rv4ajxY+epH0/AxFi2I+EipO3p99EBxs+XqvjkRvXlePskNCLGLXYvKlYFUFjmGZZJA6/loAm1x
xBy0fLcosP00fOltSzginqJmj4N7TL5oO5a8a5MEdWKJtiGx5dn9W2/ztNC7bSXrnpuSuEoqWR6m
1GsCRuXGQUDwpZVkOrlLhn8pqVklZuTXmqqnnU0LBW6wjTLStOYuwlMA/Z1qFPxOrzN8rGc3beYb
ut7eeaVecGMIAPR5vSsxa9ABYN0A5srDjga2q0pLP4nYdmFK58Zz2WVQ+Z3GTi9GtyjdJ0xphqte
6nctNrq2MHIP7c6U141V1GddDntukuqaCu7mwTKl9ggLwX03SjsNUbfaYC1lR+VLnGygw9kwdlFd
zXuG5OLiREu9GyL6muJhGG6wTNc7fp9qX2tiOXTbW4txFYDXqsx91BJq0doiOQAVvAPElu7Spcf9
KhLDh/u/7SWrh3/QwaBkLm8cVO2jpUr50Rn9vYvXZfL73FRH0xtenSUjBSmEtsPQebIIK4f5SODA
H/Rm+Ipqy9oRyteuuCIle0+NeliJVe6aesb9G3vxPrJ01gNvuUknL7/dWocuSyozH9KsG6bVjDeO
OoNAuZQJDZYRHxJJhkdMhhdQMjdyB+4OC7Yp1uDhIkdWrdWk94FMD0/iMFenIaeOB9aQ7cf69ACO
D2uMR/iotkoa3cdaAqKaD9rSylMnVBTgNxX4FmT5sZAR3AmMm8Goa1oIvwuHQ1ljZqGKpn+SaSZD
E5kF4m4hw35oT9Sbc4XXmq+5db+VqVvvVjmNe0GR2Xb3XwMNB/MuwQ63H8dyPmt5+0kf26UYovFK
n4uC0As9AAVjhVtuLuLagEKFzXjJ9lM6iNMK3fOITVf6bUM3DfXbaeDFeYHHmj/zmGcF4kTOetc6
39dVLH7lUdeQ5MN3lPT8ym4ibjk0g2PSwq6GuUe/5hno8cxjEKaJ6wu6r9xTX/AdThkFNegZ1G7i
ubhEtR4Zvso2Y5GMf5SNPiEWDt1dlBtRkCi9v5ksT7G5G+RWRPxW6/ZXI9uf6ErFvrA5MKjZeim7
EXNs3rfPBR5jf+0s/CbjPHx1o0VooUe+sLb0kUut4R3cy+xeGnVzEgzXrxVIkP3k5t/HMhIhi2nN
qp2qFzQuNozBfCRpi6AUwzbNZo91nZ6ZHwYF9YhHXOdAoTv7TFH5UpH72ffZWl4D+twO+Cs5OXP5
0SfY/BR8NX+SfA9TkucYqlvvGUTGepebfc0PlLYfh3kHxkN+YIisvhry7I3XPh8uw1R5T62LwWUy
xfKIMfjkFDO+qkLG92NfTHc2wuCbS3EYoy0KqoqYco66P5qjR+nInGQNuisuRT9JE+ubtPOtqdDp
/GXwdhYZaSNoezfemuInHEwtzSlg+qROwZzxaVdzhe2bzxlxWa9vlU6wR0AUYORle9+RlcXbKOaP
jF7L21WYGlUQWAmPGRHEW7t01A7bEdEiSzTYF/GEBdJQm8HNtnkiRPnQetJ+mEiICTRQRUtZZDTI
obSqfWGypxWSFzXmM0V0IOTods6haXSbV6ZywJt1vVyZ93D3pLjRhB+wjEyrxDXX5ey1xx/wg7L6
M9ezaA2zmqqgNjY/C6e3HysnNT70OMN8tVqOhLGZjvOJgkYEghRwCa0L9jJ/iMIrwqYe+8d16toT
VVbuRSV0osjKuVud6ipCAXRDxXYwH3VtzXicHeV+RrFLiAhgyK0c7PTFxnDNDCe1w66cIN6kZhM0
dYPVrGuptakHs37oTKtLg4Ufxc2cM5jwRVTbPiOOMQ7XzhvKUM3AVCrMJ4dY7zJaxqZhr8Mw2jV8
X4ehc7RDZpNSPLRukb6wmuUvbHHjazHN4jHPhugoMjc9CXvixBuROgI7j5mSsBfVP1zVi+fYSLMF
dZikn1yTjiybwQuRiIlYZVrIs0HLYpCUs05VEHbw0FGx2K0Yhe8HonIv+KzHT7uZoDj1tSR5lA23
6HHdtxrgMYV6fZ0NodnSL1vaTPw4Xa3PssNOTYGi3U9PMalrGXBPGmXIxMd0fIsRhdqR4BzyK4bC
ZbnzosL5NkVU0L4ykErXUHnzVjo2WpIXsSOwt+BJi3cWusiNQ43Zm3Lp5OOwMj4Wa8XsqE8q7VJU
VMgxSK72XeSVVliuc3Eax0pQipvFOPOtXPP8vpzKF2aj0b3ifz3OJctrV8rHqeRs3Fft+KMq6YnT
EjfbOwN22a7iSFpUqh38oVTlk57Ql7PZYQ6TV+bc5/t2v5SYHOmOKoJGW4vetzvKRya9mu4LXKZd
SN1h6dNuQplUpmOLrlZaSrGYHkd3ju+MxoyWB8/Nuvp2jhPyjWC6RIs/ERIBE8XPsknkQiZyHA2D
oRnHzdSj9I0On8l6rIeYmCPL2EKGpOuPmaQHx5+yRa1XxWwxbukznQxlg0XP7BPW0Rl3PUcnxzwO
Cdlgw0sZsNAz0bjHLudd/IEAFIVCg3ZwnSrFVItHuMt21APRuETAjGCihtLrgw2pr9WAfWrspf4w
t/SYlHqrHVbbSUJFVf25hVZ2IqVDZ8tgptfkmNIgMkb3q+xq60MgdWHXTYkcHyiypZRQRumbrlsg
jUhtXQbeR99DhLRDp/e8n7XXxEf4yhzB9YHxeJt27vOaTWKXOqzOO9kXMBQgwr0LDtZXjBVshr3F
Te1uXEZ+2/NqtMPGyWpgVlnlwzTp9nklrhQYpdUw/9PNxtcTOJdx3mNDFBGngxbC2pyrzYObETO1
2jKErWZ96zlF7mgDkeSD9WwXs9dxOG+X3Wx0w24s3JPWVCqsubg/DHEq910ujHfbmq1jmXeNH+Ws
TEXdeFt8NTkwkFYMtmzvmgEF8wBUvulHITV1wBN+a86J/GQqfKv4TvxuEAYGcGOBxVy0HKXG+Drn
Sktph7SmHc9Nu2+wqOzaZSuz46EUvp6lyW6KymQnC7bxaMYj2nOm92sJTYZeKjPUCPAFhC2xJXtE
awJNaJTaZKZJETU5hUq62u1grguo/IQum7y4EKCrAptOYWZ+k1bsioV0atM4Fu3MacpC25LPYkhk
5T0L/9gwyigSMnBdUe66fFBsOtNynwxC3qg5zndZlTrH3EntnVHQqiRAhZ9Tod95XkkMpO9nqKRN
/N4D4AireiE41+itd0NOliQGZdJ4nSPiGIU032Jy+L459SjvZZqUb1rTv7Wmi2lAeQfLnmkfpVri
k9bEHvufWE9LSY8GfWwMBZVNIRCZgQI8Huz/zI0dyt8YYkoz2Sk+LTKp82vjcYmI0fjX9rPKitc+
w4GPuUDUu3GoSBPMJtF9WAB+kcronKW9/Z73eMzLmF4uzsy6CLSKuuldh0t3jK25vSYIWfG09O6B
1lY3MDor3SqA8zv0ByHC0ZpHb6dwyNz0A+ftTCiKqzb5Z/b65iRb2j/XiTrFOPMEpddc0TLSx0f8
z2M4aa1xnw0uikDTfQzJTGVDSUJeeLmLo3wMk2RpTl7jkKM2NMJvbqnuid0Qm07bH9zXOIot1TaG
X6myJNWncrqo+uVFDVHvo/dcTLOMnjlKPaVau8XbB/eK2qIpaOeVg2OdnKJppagvGbUurNT4Hbvu
hTgdBaaZ8QyGIw8yZZFTcDrmGQwAXpJZZ1jXdlWINA8zhUHJE8Z227eZdlxVS3JNJPiNkHyPCzF5
7Bz9y2QlBVrN6aiKm+oxqY03E138ZKrK+uztogtF3Jlho5XPM1PGr6YpNaqOK88ZfFQPDt9zA8Nm
dcoHSnEFmASK/cKh8TAA4TlR/qwoJfXlMj2QRF5xVXtRhOw0TNPe7q0l5fBf6txxZvuQj6Z8wDVq
E7Ey7ZquJ4XrhuHJFgtfeAcckXd083KUXNN45qpDP7bFH+eSZ3Zzq7BFMxjMNYIpJOjw7xsrdiLl
FWTRIRM3JGUd78Tf8J/yyvsytsLdrGbx8NLkLBuRnxebzVU3p48ob8b2kGt5vJsdQn2uy2TZLubz
mrqE+oT+3LElBYU+YG03Ni2w2arB5Oj6CPRqeyc45cFzOhg2J+G4N36PLnVqOkKAOrqqxQpEOJMH
PigYLp5yJs+RpGdrLewWL5J7bnQ17Cczd3cuPXvnxkb+a6Xog4qjfsDJFFOS1V53sbqXWf8pypQn
PiICLOfqvrWaKkSYcU8VffK+q8F74O6CgLiW2u1kWGBorP5qiLQmnDqH2C3A7UMiIANiDNSPc8bl
rLPH/lQNMUnqGsYGCcjPZork/agJZLhoSoOkXr7nsY5yNiwm1SFd6mcgMCKbLCE+pRwv3oL5PBvr
6afdu+qRtc/wsdZ1gSva8dy1iFFCz8DKadaloCcTnSVNcSSIHAy7U12soeiDaDUtktvpJMedG+sl
qACRAFVnf9TlWu9zkvvvPS2LbzhjzTLMtXX9YMAXzYG+5Np77ZTdrSsK7Zix4dEc6rozpE3mim7O
FQkwWpaEM41vnWbFO7NcyM1EBa9W3JTvRC6923oyo8s6JOOHljpfcaczhJeJ1p9bZOj7FbZqYKcu
bYNNKqZv3myPd4YBuegGFAPQgckt6wMqaEmdCU4hCAbS2W+EATd08nQOGyOtOnB3S7NPGwaTloi0
Gz3tbPrA2QyOaaSeltj+xgnBfsQRV+/jdhmOvAfLzul6ncuV9zx5hDKapDIeY1E0QZ+Yt57eR8xX
Ky0gZegFumsYWwiuzMm0GBxqwEEjrbaDSq44QwwzqKiuDjosYePZqlh/fIcBf3aIo2neRKKCjj60
MM40paP7W6aC491Ee1zgOnX33DU0iret5xHVqun39keBxrc0WRQsrAtvTg1J/4ZyevGk+A2c0GvH
9WXMKYvnNY4QjRCoE9waAFvMkRy0y9NDjquZhsPUVjAUmqbpQjYs6Q/dGHNiWiaaKY2hBIUxbCch
Vpm3EjbId6tLPF7tMRuODT5BzEYzUZseZyXOF61QAWCc+dEeG6wNlcgBdXMN8/gkNPlcUMb9iWkq
I/qBj2MO0dQwHedqzgOTF223tqAUONBz8Z7JWwUcQcsmVCZ8OY7XIEDa+4UILllgR5wb2AMhJq/p
ENNTeT/HynihhrOaQ5DjMEU6W7/DbqOT/Sce90Dwk/2Utay+g+uhXjQrHc9m0qLLgBnzLh19oC/4
8MWNKKflYBBHpWBS9eZ9DxzqAWIN15dOj+QVNA/jx1KQzAYSoh4Nw0QMnY2Rt7SuWFZp9/Mq6r/7
JAlTuyef6U6bcWycUAV9s5NxdoPCP7CfSBqOrjIdDCOV7pPNJ11mu2jo4iyc8/5ujfHygA5vjJ2J
DPUkaPE5ZxZLZVUky1dBzOUt0jcmNekUgAQITCAjJMm2OEvbl9Gx4YNo7Loxhe5s9lgBueykO7CW
2aHBVyh8pNGrDljpSU10FDe9k1/jIKgIfZKkuK7XevoGi2eYMcylZUha3gqczopYTgbtvsnb5sZe
KIosEz3e0VzeHLAnWIHZkFAkoT8NF68ozVfUW41NbGqeBOe7645M534cOP0jZ7q/98k+YGRSgSdj
hWhfZ0Hc9OVlJDivKRjCLE7R0UnsAR/dqsMa4NUwMwOqbWue6kT37qrZmU8TToyzo7mkG5yoCGGe
6Dw00g3Qm7tzD27jonVufo0J+Ae19zrEj0XsM295j5cyCQwr52bgZciKeoTpo+2WZy01o73b6cmu
MVYT8oblHRJqagLVLcaJrmw0mzqv6EaV3hom5qyH2JxdqqNrzrJi7d7SwloCrgpQ8zqq3tnIqCr1
3BodGFZSEVa2oYqH2U7ScEnYbDIbQAJ6lsqvNXJKk834Bo1V56RRJ3s9Jz4l6/XGzlf+vYjue8Jr
t1B90YFV/ix749WMWaxtDfiiZa4hSsm7rDrHx4WVhtOUxGGvFRhhXK3eG0yaj5RgHqw4e1g9SCu1
ZduBHKG5xPF6S8OLSbFz+9L0bXbHEJwEhHHkYDUc1Gqp79rMGMQwtVeYDNSbr5yQ51ZLD41io569
8b2UWXs/je39WJPk9LHlsLXr20UwKbRbiP9brbWRnNpKGNcY2z8tzR0vtQGnt2P991PGYAg90nod
Jnv043K+Vk0zn7qi/V8C23/G1n8ztoY2Lxj0/uux9SXt++0vrqT/OLz+49f9Mbz2vN/oIdjYaVQP
2bq9cc3+GF5L/Tfn92yVwXT8z6k1f8tpfkj++79M8Rt4SVfH+0u/hePa3n/9mSn7I9NEHO1feld+
dW3gwUIux1INppGh96+I11EM0CBVEp/auVovouyWg5nBc0Dzkag0At3oAyNp+8Fa+XfldzDc/jog
t7D+0xKkEwAxTWmJX4nbEL9aO0d8P5VZvV7cOF/3mtFzsVrLBmvvkAhY3DaGZUMfNjvc71djxdMO
c7xevq3RZsStOdayWOYUDvhSX+ouyCNjvgPUlIcuNRJva5N3jAb6LB3Xqyh1l5H447ZHUFx4kW4s
jpsFPfKXBDb3jUoq9dPNPHNEq0jXfZeYsvcz8PkPrUZctcsiWPLTRNDB5fttzGQ5uMqKzrU983Nz
0GqvucGDX6Ysrnmn9G7d4xvK8fhq5mkZUeZ9J7HAJhyLpYnH7lHHOqqdPYL0OhgAPqVPFZuxs5+4
uxvPDC7idFeO8cyIiICB/ZYIiffTl5AVkitUyxx72YSbfbprDZdrkBt7E2NeWse9fU3xSvxAIamz
F0VetqwQcYlXz+jVIJDMhEnptbX9n7GeSPd1Rk6qDk7L3DTWcmAOzpIQTmXXdONQn7zV5PyWOzoT
fr90IuE62J0YGqxLfIsAX+9qsRZAwNylZd2KW+91ZQagEXyd5t1Ute5hdNZw4J9QalT3YWetunEh
A/RBLmLzWDimjtGYRMkUYbPv6OXwZHEou1Jc9N4riDPsm055GfRch0gxwe/Waps7KocNHpjGFTjz
0pqRo0QudJb5G3nl/FUkwPHdokoCEzp2MKS5/XO7xj94PXt1K+eWTnFN7pNKTylmRopgEE+2OElw
crlddUplNZytCIuXrhcPCWbMezUPVcWdhmo3fKsHTZ8cbuTVaZbLk0uedWuZlv0Pm/HKQ0nhToi0
kHLDotBQTEN5xU2g3/WNhUS9pgXQA4SzVtOTQzzX8sOJczBTHUWGd0pz2vdYYYAk572IG7l4bLls
1toZlDi/ahGVuO96UGRTi5hrGsVTpjXGm+PETbxt0x8peYNnx+OlssgI7UltW6eYOT4Rw7k8deb0
M2LO8b7i8t/JhgJknzVheIfitMvWlF7WZLL8vJmulJXYtwV+5b2pVmbgDhbIYxdb+amWusMsydXf
ONt5N7pbTXjhp+Eks7zg/rfIYLTq/qkf6/jWnOz6mJuleTUlCzNYwO8YMRobnS/Rb5Ars9e2SrI3
PtHiMM+jeTXWa3Ecq6q5yUE3fzS4r6Mg6mL3nHbmetfag4JdgXuzTLmy+lHDIXTJhpIBmgYZTTPn
9EILsXkvV+HgC+WVOBZzF0Fo89L0XMEXuR0xVVyrzkxfZgwNyjeXSVyaXKWXIcnbpxH/6jaJas5m
Tn5Bm1P5BrQqw1jtDFecYEDCzqObUUbtrsZeL5PyDgdTdAL+PB2GlTG9yKSHrULZX7bCJ0/F6fIy
Z0yZ4U2dqrzBgcBEjhb0KiSoIrhQbZTCKj4ZsrlabMHuL034A9b4OVbIuWZOOZWg3QJ/A1AMXe/V
oUsrd28kAvbz7LQ/msgerwTz9j0HqzRwKmu6z2roIgktEse6G837aJmW15Hoyocd6eqeH0h0O9fN
+AJojVG/NZUh78kQ1uWcHafC4jBsZQ65pLHOv1FgUBz42HlbtI3c7+bNp6kBllu9EkjMHAkT8YKj
SVt2w52rK/y2qlzQVQyVcOq3ja/VSCDlCYer1yKwMsOVeWqQby/ku+44GskbozbiV8Pj/V9t2e5n
c9GUL5aU+Xiai4sccnmjAUi8X2aFtUmnIO26rrdMRzHfFu3YoBLyop4RXbFdw/Gion4aYBPkenxu
asgRsYf8wA+juoyMDbCzstQQT7jSHDtj4mLpj84Cw5DBsxYFfessH0k2zSBBNI+LzNhn2bEns/KD
Sx/sxCw/s5fIXdTWxvcMMsqpQMY6tFSEPDE16h9iBlY3yBVYtMd2LRgF5O23vholRC/cXoowxjsT
L0ichCUeirQG2sTb415X07R8bre6JcjjlqhLZU9nLS7VIULcviGLYp6Nwqj2Xtq2zxMTnTtmaFG4
WGo9mOmc3LOzNW+OHOsf3lC5X0u6XXydocfaIuNPIDPZzkpXcEkEWiZM9VfL3Nsh15sBnhPfZyC1
HiADxeoTYm+h3htyAUWgjMksAmfVsvPWAPdM9cqwQ8WvT55dpggTTpZ/VZbe7oGaty9eXDnOzqrj
8ocZx96haufoMuqRd6W8Cm8559hTIj08qzkBhcVgfwOaNBQ3gyVIfnllf8n1Bc2eIRe9dhrxiEED
OWjlIMkKDGuaqsYX0OAEBhvwXRAaMXZhT5rG+ybuvetVk8tPYY7FuIWC2K6JFcZXxTRoT0liO2+Y
ull60PEsBi/Uhm6LNtfzdY1oyBBefQuu0ryB/s9IiIbsMPeKRfezyPYO7gAHiWdiSokPSI2Ig07D
FWEE7z0XKzUJqfmORbu+aHFlP3rwxnxdzOb1NEjmDPFi3MEtF0EcVZftAzy3hakf1mEkUlGlITcE
40IOJTvFBqbaDtPIXR0b5jfXG9RudjVIXW1tHzRkaeQhx9yhyBghvBPqT2uzOYGsw+xhxxZ6clcg
XAzNym1byUfdhvtatb2xF0mnP5GgTCyQII11l0dthIKuZnlfxJV7IGpTB5Mwr72om/jYS0sAq4WC
ZTnzWQ6Gt9PRk3+S1jEGkgrQvqKhZV6t0QDWFz2T+mjp75i9NlTDNe2RqKpxnGn4CFabvNg0rXI9
RHrnvnAWMJ5mU2bMxm3T/fJKbXwra8/eo46+2m3h7rRM3ptG12f8+cR2XyKZeTRY8nA4DBnhjqbT
Tg502zQAoN5FbNrt+pE2XUkuPY2mszGigtRsbzTrxDyaWBnLLLfvIs6mex1r4NXo5BYStde5GbPT
lfMHwNnxxozHNiSJ9wxQurxVk7IaZEJhHdjvqr0ikUCMEPqFhsZ2NOrCu3V1d2ZXcNM3DmgO85qM
CVC7REcGLRGg0Fyik+qdnp/sItYDnuziDmkLFGxnzRmjaFFzfEXBp44wnx6cDgFlWs3p5IilugU0
A4OyMJ2Oh0O60KvWBMhUbhxywbIC35jD9MxJtfIHQ0yPShTxN5HXxTfL4AxowYTFEhe17S2+UHm1
YqLD9mZHJ+E2IzEKkZngbBnPky5W0QnPN0CeOTazczZA0YWYqKcjR0xZH8F7xP1Pk+xqz2A/HxYd
GqzZeteRQpGdB6872wWATkfrzYtldcuNbGFtyTzFkh3j+EuqaUXJGOLXFZBZZjlPsUNqZzTSmyqF
K1WY1rlEdvmeYkj3OyJFQRtBrPXd0nnF72mcFopBfTUlZtiOWr9rzPW9SxboNNq91zDFlIlywmLV
E2hlAPjqoZoOuCcIlxHMmrkiXKWFXu4Kipv4WMz9SI4hAEYyhmbB4UYr0ltlpeYFm9qb3sOdxK3J
nTvPizDPPXBPZcEPppzAvZUotZ7JpLJ2yT8DJjVBLHr7BJHxDFfuNlks49ns8J8F3lyXgXCqDlsB
uM9Vm9cAyycGM4Zn8CfLA57SyV/TzHxbNGOGLQV3tiT9KSPbvZ2dJA8ap8ovFY/fu0abhuECNC6H
3jk2yHJnGGXikpRFGqoYfWr1Ora5PklPaeN6+6Uf1qDpIztYrHHyG4bVN5VWsLPn2XJrC/5w9PTs
0nUouSc03QDvCZDuP9yY/7im/iN645+vpY4BVxcrtuk6/9z4kkQQYtLRS09Z2XOt02YXAt3qsUrb
Y+48WqLiRspZqmLLFvnfsBd+TbZj8zEcYRgUONj0TslfkgzAujtG00160ue6+1gzqpjwXSTE9GT+
8O//nL9GM/hS5gZ6YMQrkEV/xTykwK6dOSn5Uo3RVjvekaXAHxfXP//91/mnUND2hSwX3Uc38MQ7
v/b15PWyABt249PYgAYjOWudnHE2dgXG57u2y3N5jSMI8Olile/NltlhVYmTWypPt8s16MRq9/u3
9B/96O/1o78D5pOuQ/3+RTzaftGf4pH8jXCXhBXj8Kjy+P6pHNm/uTSP4PVw+Zd/gnnEb45OIm7D
15s809vv86eU5PwmiEBwSdd1gXYI0uQX6ejfSUlstn+Vc6DysH/wIAOkwM9K5O+veYeOHvd2bOPk
vNoCGCQZT0cNvpVFBo5Ex1JvIi7dG82264eUUu+bdeLY33ql0DHujdlOd/HxZ0O+LkzX5/w24ZAD
aUWrgGa73WGWqXkmsYzfVqVNG9rejPJRR9JiyJmD41wSO7lSxVRfi9+dBEio1+QO8zu3Nr1DKWRy
2HzPByvnJBnEpRaFPcvJYU2T7pSj8FzGfiOiAa/RAnNchs4vJ8+4cud6+s6saWHfcgnUmslIVFfb
AH9VHT3UrUXOMdWm+TSKHzmxinfovd5lzc3/Ye88liQ3siz6K/MDoLnDIbeB0Bmpo1LUBlYsAa0c
Gl8/B0nRZE1b9/S+N2yzJjMEwuF4/t6954bUZ5PX8QjGDjAOzrTPwsm5HzE9RDvp+KSBxSEGkdXo
ecy0aXxdtW8/3DrBDp6W3gnMhv4eTWbYoPiq5UMS1z0uf6WfrNYaz2nmCnxV7MzF2uD/nooKkKyd
Lhug4AqT8xw5d5Eoo5u2XoyvnHIxOWHgNe+MpSlPc9K8DTQ/ntLRdA5Z7A2f4rrrnn2GcNghjEX/
aoVu9Aa8K+P4boOGpKfACAi6/rIBLXCC4IBZ1xQJ1brtr+oHU+ovzTyNPY2H8ZWdFvhbX+a/4kHo
jv6SoJbjFPR1EX1+SYS+N5bIPme6q886XJabOmQoVtpuu3eRR5hbpsIzopK5N/WGQ2D2BpyW4RxX
qefViDiilcVQaJZuCEakcPiiExrjVob9RSY2s1ZbxAfcrvm1Kq34FUE6z0c6c2hE5qlC7c0BT8Lr
tUUN2nrNl09Ye6dGW/0tcrbVQlIJhTRPDuE+Xmjx5RHywACVSkzxoCiobH8afyRwvHnkT4rJQpm3
y6FO4/IhcZiXW1A7L5GuFlRlMwZr7RW3NWyRi2koyTmuGMFH00kAJ0cVGr2AKsGB4HNW/bWZRqum
82Ijb8+RMMA9KdYAJUwwsBnBJXqlvFsK23+Mwhm9hmfs6rhAHjgPW0fbd+gFh6+lq7ITdqImGBmo
I/Nq+xmkbjzdLAtQ9n3qd+Unv0rDNwMVk3EGoN+kO7905Tdw3W2/ag973CQjrMJhzuR7R7sU9iLS
u0fJlPGzntE2+fUov2RaIU4c5m5+akc3944WDM12oz0qwsSc241fKHoBYRfjuetDqV7UIOKbRsTW
r3A5ySSkGzlH6FBo99QoPD6nrkBaYU+zoLNGLCWDngohBpkQuJ9BiiNYitpq78Vl8cWOYv8Tjd9f
DTGii6y1Qu/pzN/tWs+U+lJW5S70wvItjfpWBrlGWcOPVer3zoXEirQ1RUwTVt0W/jT1bkf/+hKb
E2jZTj/Sf8Sk0CTczzA7yJzlKbrz8npBhUwfdBnW4G6rTrYWkzMkPV1zzirpnm3RrtL1OPW4DjRP
KhSOsBcVzWQDvcdhyK3kyYQGcKgSkU1bw+9Ca2e5WrybxLztFkRGiJdFjW63RPzD+bLOT9Gsmjuk
/z1d70p1T9pLLC6sW6SvICaaedPIThHgQZP8xPAYOrxnjPVnmrS1PloGJyS89hEUBzG391arja+V
7ULIaGU6cP5ECJhmC7b9itMV3AzLGkicjpvPOP/H71gMxvfZKuWt4gCFpG5E579R9qzDwA9VQz3r
h9nWM+sCXspIUClYFjOQon5GpVdvKaXGG+0gtS1ypPdO6Z6teu7gU5R0fOM2pzRNwhNumGiHCLA5
MNm+cljuD62m8k6YaKAtQ4XoYmObS7IFBmfXiGn5tmDjL3aDdBqC+nparVXM5DAXXno/rbSO/sbK
G4dYW0uPdfK6GBEY0pmiPBNv3pxxUoanzGSge+sJbEnvkZ0aG9NPnXuZjuF+kbl+copcPDnSjR7Y
FifK8Ww5UUq/gJMsnxr8iE89igdzI5I0fEHXUr4pg2yOTUlP9BzPUfbiARRhkyJ568nDaP4gYL48
gD2iOYIrae1PW3c+dvoAFC6kcmIw2LZ52iGYm5O73vR7mOFuw1m0LYq71Bd8XCcjmLPNYaW2uVFz
qzNA2kjdOpdG8vGRBpu3tl2GqDeXLny2PO2c0iRD8NvD9kViB8RSLQbiZiPqiwMOmOpCOy6886u6
fsYZ5p4ivvhX+PnQFGZtH6au6fdT2CyfORwj81saAxWbzGeojkx4SRTodw3+h13W2exHfSKXGyK0
3BMaeEjFY/qA31Zv7MZU92FFvgqbbBY+jUu4hguYt3qqoiogn3glSvTVQ7S4yWG9nlddTfLipwud
aQagh7TRxn2WDQPcWXMkAQfd9Lews5JjMgFR3ehmqnkf0c3nmZ7mo5np8eDPvn8aZN++6LAqHuiv
D8fVSoMToK9Q59Suj8drjAZypVDTbpnrxwBAlM+AdpVfMFBSPiP41YZhJ+KYNrl132cFCh3Xn04t
D0bYDYRPlb73VVSJ/1W2ysSn19rNWwJ5+7MYw+zUVkZ9KFWM0DkZ2GpYfjEPaStXzOyFcPfJkGYP
BBaMn2vXHbcZqarvJh6ue3PGk9bF66aJJsZMDss4gu3B22ZWz+XsvyUmupHdEJObe9O0TS8DUXpm
TPt19N8TI8yebdiazQPanQSngus3pBg4TmYHRSobLCoO2OVD7ctSICju4qReY3W48pW54IFooi1C
Gm/eq9hx9zUu3SAuS9ryaTQ+LtIkqqTTeVsc+86I32zUdMkX0+EWD2Y8avZOjwTQ4LRzVlrorZQT
x+dDFYFp6s8sWVMT3jCU9Ae+NOHyTtk7vZKuUn5Nh8l88bvevcomqs9Nk1yb0p13hWqKk9u0ZMz3
YDXcanpy8uWdDfCHlcRf0s55d/ux/1Wh/0bcpIlTau3+3SXG+ei4Xv6AMHfHcN+48OMgSIHISE++
a36oxR5omNQNBgyAI14CKT6BZ8B5/FHZYzYHfW/FzaZGqxJdPafXu4J468eYJlZCTMRoF8ZvB+T/
np7+7ekJY/Zfzr7/N26sKokh/Sls7ONvfj88MXb/BViAA+4Zu4oEkvHn+YlT0i+CtFOhnBXoANXu
H6cojlxC8K9Mgmht8m452/x+irKsX0B6EEHP6QqTlmPJ/+QUZa0M1b/CDITtQDBZ866VjXGdFsjf
T1E1WlkzpJi7d2tuvSA3CuwhY2zaAd6vbD66RAiWUJ2jGJBUourbyIQgkcOt/dbiyKiY/xZmHXgC
2+wpxkpU0sB2na+LNgl5KhPsPFZRz5cKhHv+miwWCuZ2Ed9SFU3+RvYZLithS3dei6BBHRIDFpLb
da55aht/GM4kLujxVtNj2sVdRisR2A5Q7dnJbmsaHYHsw24DVvsi+rlOoPZ5EazjckH1POvPA5U8
u3QMXnqYGGjNKcAmxxY9DHxF+oTv0XLYMTuHX205cXJLTut4ok3vHg3d69NQFSmcYPyDjwO+BTPt
zW1l+q9jOakDpqAO7XhUrZ+KCJLXyWY7IEmCeJR5usQ+asbjmgMiJRxxiA7bvspTxlSu0gh+YcGg
NQBz3dJ2CwEfb/jlucpi6Tl6mYl9hhXVPrT1mDo3o3Ttr1yR+SZr/TTU18Uh2LTTVmtYN67Gvb0j
8nMDasOZ6oP26jjfmZM53laplSdWvoLROZeXe1JsCqwKoxXHnTqmzGiqZiIrqB5694bxeUmkRCCp
Xk1G6DFaQh7xhGZOxHLLgkSfgamFj1iy44nr+F52ijzDdWtEhPQlB2XKp7adpwcyGIzpG1V9nf7w
ieL4gReZmc2dWZKCLZ/h18g9G75btRCHQvetHnMkx03hD5eRnubZQT3OhdJZSFwnxuFTAqBe7TA6
P1JY651IqB7DOBvv25lMmpV1w7KE0L+d6ywCiShJUU7x10aRWPZLkmSHrIrvJSbcpw51c0LsRG5u
E5+JRpA3XYTlnbI8sBRXOzBTD+dUKUB75wSbnkjL1Xv21/ZLZdb5V7NrpKJF2TrA55p1PO6FHjkS
RHsShIXV5dwqclwsFeV0ZBHTHq2y/xyn1tAFCxquB4MriJnaqiOy1y1xA9Gu2MONNA6Dskhj4+1u
ESfUB7nI6bGsOrkGMlBVYnJ1wQZ6QPIyU2Q3axAS1CMEFlS5TrkKBTmGYQ6kIOpy6+IgmDtThQEk
TwVjo54nk1aEvAmSfXpsg05MUwLXgHMRrttiesnCz9QE/r7C48upUlm7rMnKcy/d+lPaIm2D9/C4
rux7ZBpiS0cAPGQjb5eUAyUP7S7wFOYmCk3O0JaqxY9KzuIew3v0FtXJcqMba7xUAwCbNneIF0mc
6AAkITuECdRNsoWg/o04ampH+8+RZaAKAfRzwYLwspjivlQpxgESby6o8Gx6pQ2n7rQdX+2mwniV
ZtNI/pEy3wvMfIQHzgtq9zEX6olI257xdqt+GFA0i6DjauyzJe1OsAi/EsHtExyIMGFr9Jh4Nxni
+udajRPaQ3eovlreHF1JUImwhWTa/hUPW3Io/bblNWrjhKrADOi502Pqh/w0CpKCMhihgQc+axcO
6bRXZeQd8WGGmxHfD3YtqK37zkZLvnHxsd9IP+6vTMnAs3N9ru3UPLKsSdEx54s/0iWys9A/Gm6M
I8hTyOU9bSQ+p6Xc+zY5Zfzg514Cmrgqv9Hb8re5oPTZ1AVg191cWYJ5tzyFTvrUFdo7zZxdthmr
+1kakFWZY80mA1AVgq4ASC/oU8yTTUSd6zYA7XKKEkbE6jNmU2xMODS20ygttLDCsdGgj3iYwRA+
IXdOAo6T4yvJJHTQVVrdmnlNp2Nwp6/GVBKUZaruR5SNQOftZtlVeYx/yjLVm0ki3P0iaUcNk7c8
zCUSWZkTSmlqXd9A/BPPTKuWLGAIljX7qmrRtVaN+OLVvd7ifKmeUsuATzozhglwdBobi5HODyIP
xLEcSvddcSIwtgtLa7ew5QQxVB5n40XxiFuInd8baXu43uDcms0SYZo1FHMqaX6KGjQR3mjH58rX
NcUbqQddIzgIzn48f09mDRmCmLAUBFEYb1sx55xyJCEw4dQ4GymZEC16xqxqmc13dL5qR8Pf5xRr
VrfkqqWBgYvlspQVnkDX2DH69m+bwbSRXM9JHJ4UIPLbWMhmK+mXfM7bwbymJKXfurU3P4tRtkz3
ndh/svyJVqGH3qDCJck8ObTGYEC8eq+HOnstmDy/Rl6pH8jECF/qLExu+qkhaQ291SeprXkXiyo9
zDDyd+HcNUglyjZGr9sQ+MKxTnSnMl8Gwufc/pMFiAHzsNWWW4OxduDY+NLpr4iH1WCsdi79jXM5
GnRAi2ycb2x6hxkENBysXmUprmM3vlkT4Rb2EDsHkuaYPRIet5xlIp2vJq9vBFVYJg9Rx3nISYX/
Oi92exTWwoPeK2nsbdqoTfZIM5wLjIX6GrqDRt9sa6wBUUijYuuN06VvKr1HAIUd7b+jhY8cgX9X
HK8pz/+qOL77Pv7P8UtRM8zTTJC+f7zoRx7vb3/5e4nsfowMGBOB6v/LeME1f7GRi5Js7tHf/+Aj
/TlksH9RVK3oJOG8fYhX/1Eem784K5rdV4oEao8JxH9UHv+9OAbzTrIXxbsFOgj/+M9zLBI/JkSF
7nLM1vpQLezcphO9/OWi/JPpI8OSv1bgv72Jj6rdZsbB/3AM+CvaGuyrUfvo049oT7AquC1KdXdw
A3RX3e5fv9WKgPobuYzvY3FZXDA3rrA/EFJ/pWjDiG7SSC3HaUi6TYJL4gaDBCiHdf/Po6Q7FlIb
B9A4Fop59JX/+u1/nj9CiKEIXHsUUpLm8PP8kdxFzx4dE/1FOV7Nwn31EIn867f4WeP78RY2hy2f
YxV8mZ8o71obcy9C2RxtOV4nW71QjOEINXF6iqVhlf6ptP4nvxzGwJ8vKLksjDg5ollkhPjiJ/oh
kFAUKJQAR4SOzRmNo4QM6hvFObPD4pyTZmp9EEStqOmgiSpynKC++VBGMfhCHG0J/dq4JiZ4DI7U
0sS8QScdqgFMCxQPqKUt1X65MRsJzZS4c7ievnkigkj9aqaYa4a2Q+bkMSdYHb8vc+vXqxq1X/1g
CIbiBls9edJq22OEe5k5OFyot8Zoo0xXs6k3fnF10H68JvNq6CuQLOK0su9t7KlPjs1ZcLCIaesj
5vL9UEo0/n7IHKCHMERXej/0y3JCxnLbp8awV0Xxw3LzpyqxvnLOeMT+XXDS8IpzLabPEdo+3iJ1
duzNBAMTS73N6gXL4Wpq06Xc4scZv1N8Nic3je9rsjco0Cn2LbPod2M1OncTAYZIwpzwbEbqxTUk
rtk4gfvXumuC5vCdx6QPDrvFryHTFF1yE107hyjh3ssC4Q/R1gVTS0RiOBwRwoa7VEzxLYeSoI9h
Zoce4ck2AuZsRyUAcSka58hHpJuSQ5vg77o2LvELsYc8Fl+8e6kBfBHUXUvOM+WktfPJwrvxGmeD
vi8rkpZ3EIvMayUzDk466Y9C2Qx9tIYAZjZMEMMCP2CV06Eyyybb0yxjiRT4OWC5zUE6lhhhmEft
hyQXL1aV4SYeOLAZcWL27yCnGhkFYpYXA/vRNQGvsCsTcKohIqlt3DirrjiR/mkB1nsJw1g/1gvP
/kK3l5CM63fURd3VIqLwSBqQvJWTco5FyVqgS5bs+66cDmWh3mMqXk7dCVFyqaumo9Um/qNgOncA
/q9vl8ioHlaMtMmw5xZJcd0wocnFXo9p8145dgQG3Kmxqk52ctC+1d+ghCI8Y4mdh4TxWxiqqmBQ
40o0iBEixiymK2u/TkN0toqw2U71+FjP2SeOkjzbh9Q4WOQf3iAzyTZJPFBd9vQBjXCUB1PRH6X5
nx/BLlgnu26bmxmnfr4RkV3dFzPPDVY0vZeNQTzZowqb+UuLmCvIuWkuQ5QaNzATTFirPvFMuQHn
PS3KjGlq424b0fBuUaaIS/JR+xI2OZERXcfzeTK88B1+CyQvL/IxEIbjzUT1T3Owp3ZBIg8GHeZc
kdGhMy2cwwxUpqCwM+pAJx+BD8TysnY59+EKXa8IaaRsSsqt48Zgo9SrL5lWR10nnhJGVEdzUJ+J
CL8YXh49Z5WgA+9ypUm7A4tXoeCDILBZLPJ8w3HIyDeTRLwu6a3RNsTWMaXcls3yLYk82BGxyOaN
F0bDKaQjD19MPJLyt+/oih9TA5lrxcjtsECQRiroNJ+0NFw61u0I0Ag4/L5HHvilHXKgW3Ht7Npp
D/FeXW279oNSZqjaS3doH3qjVvRlhXdKilGRComTcBrowcQx8V4b26qXuzDPOtTGYT1/qqSXX9iQ
FuQxPvog037XFSM+OIzGZqS4DPI6ZOYr4gs17SHmAcC8nnM7BqkiRAkly7u28E75YH7KCjTOZiiZ
JSIHA2vOQYDGyzYE+3Ebhdn3kFkuY4V25/am9aUXVv1r2qvhvrYI0drYOfceW4Jzn8zpdPEdLONE
GWjwVUm2rcZlfKumEac6fF92EiSEc5A73EBAEae1CWLkrxLkNPXpYj2qJXUQdtFyk3mB8xBGkWLo
Gnc7B70d94kzfSuKmUFDA2apbUvg9W76YkMyP84+atGg0XkfSGARQYpKYpd7TX4A7GZdcpWMDROF
ZbgvWs844sVxgqZxv7pSMdkZ4LNvm9BOT17qude8neShJBsTFQReOHeYE6BuFqFwjg/DIakA9k69
fbQZT947iYR6bETRZ8/eAfCdD/AcuPxDPH2S7FxbXETenouUX5WHoNAWEjG00WXms9U4Owci82uH
X+XzNMDad7SzvLal2hJpAKEtrbW+62XdkXSasvKYjx4RT0DkdlhkPDx/4AKHLMbZb48ToD3xfBxP
Q6rYM36DbxOBtqK4zRXL/fGo/28H/N8W+SRz/aUq+j8d8LXIP3/X7ff57xX+x5/9UeGrX3xa2dSe
Fm1mX616od9FRK5Nlc+G5qILEqiF+Dd/KIkkjW6cYitK2HTdD+DqH0oij8ywNcWHf4OtTUD//Q+U
RJwMfqrifIEE1sYyDLvVtbgd/l6Bm9AjipWLePQHHKVBqVW3QxWnsxvCNwgxEShQnyOAWudKJHF/
GpKye4xrYygOGUl1GdyXgbBl1LRIfsMe/HaPe8qspyiISKxPHlGEi8Oq4AZiSIdgYUxI0IREKooU
J7xOZmm/cdt/ydFnRLzUdeD+fO6yanlstX9FpUGqZMmBYFM5OSQN+uWoHKifbvtx9X5xI9N2ddBn
d1i73/yMESxOlMR8KssxO7eaPmZFOspv4snRob9Axvd0B4WcgEJDyqeQZJJd0Rr+j9bURN3WlUL1
ORTo4iNgbXTypgx72UDY9TK2AG2sFrTeeqGyBRuMduNf+f2TwCAdCCOJHPTJRg4M9UKafoUTvz8t
8F0DV2FeYBA2IrYxyzUV0in8wn8d0qWJME574s0tMMo59QAVyvQx6jBnPzLxpxdvQJJfJG44gJzI
nNuk84MxYfAOaMiHy4fSh37X2HLA0alHDUyIifHe9wrZewdzYwNjX1601/riMNoyf5mznLDRIerl
myZvK9lkExp9nhrxdO/VufFjiUc/mFQTnrN4ir8ZbJZ3NYK0w8fna9dPxcrWRMnzz5NJDGa5KWmc
Bq7D9H0vdF8e+n4eiAuoF+pHLjLShW5XIt/AOtclJo8tRCPxpu+ybLw49I7iY5jLbDk6Le6KfWy7
GdT3ZS030pBM49KosvNiVadBWzwlYbewVSaR+YY73gOwUM8eYc9gkxiEFqwF0sbPad+2W96dnO22
tRPUHrb9TIM3f9GGyp9jBCtvTR23F4+Y7Wu6DGiFkbg7WwpRdUYIEd2EDXKmdAa2jVXTvuHICjEQ
kwUTVWhnHFn4kuliA8IEl1secCJh4bIbuuCO3zkbOlzMRku8+57V+oc8N9WP0VEjAnZdAPeUapni
bWQiEdj7qejiuyyveC2fLK29Uzkmeg5LoX8GvaMrl0wDlB1PYeHPt8kyQijgEbJdOhGCiS2AgCKQ
8A6y88HK5rF6AbSdHQpvgpOS0SPLUYQnhXfIpGifu8p6s7sc6pYtXjGezyCIhmZtJfeLsexoVN8W
Ubh0JCc4zj7xlpD2JiMvpMBoq0MPOTjiYU3KbV49tM5CLoeh8FPOM4asxJLnPiqZdJlNtCuIsVwz
0LudCRz5jHFlhSMyFgnG3FafGKhwSCxmNPqhdtrNiK5tY7WMM0qzTFhUTPD3ZTdMO7PqyK0WZHQE
/dgah6ZW7S1iAWQnnsoAiI72A41l0u3jAb+NcFux2rNz0kQ8w6dE8JsE3M8k3LcBkdltKGX0ddZp
ShOnOmlwatulXl2kjnJGwqsrgkxmyLplIPibL0sDzXBrpKDoj1FVNM8wWuoUySFO/D4eFLFNWbl8
wgoEKi5t4ruBQwLZSHX1gsMJfkPjChyxGItAWBCqh2MTcgB04rwj6jYuibboS0T3IxuFJEZiFNvB
ceYbEK7VYzwt7avP91cnK1ym9FQXldtCX4r0ucdDwvnX6ZdNBga02xRUNnz/psflG7uVDNyy1oHO
zfhKSoZYOGXTbjd1kd4MyD9nyAFrVE5qOsTmOJAESCyaYMREUBrnAmi+AASdABeoOAvcVQR6XRHg
s/n3JtRYf5xScq/LvEO74C36QXuMslx6/dSHbOboEdiVWqcP3z92librwh/+VGTnvOIONZn2IKhc
76LaYdOa0P+86LHwtg70GYEqi+ho2sE8YXTllIcpYnsmJ8O0uB1G8wlNCW/EAGHaYj/hk+QrE3QU
I83aeDT88g4s2XxHXHc1AxVeuh1ayeVWe9K++W+59P/ricq1qfZnE+mflku336fka/VTubT+2Z+a
AbUqpR17jehkwg8Z/o9ySQqUAdgEqHooi1wE2X/WS8rlj6htQMZSNf29XqKUMjHEeij/ubGk9R+Z
+O2f2niCkIu1iUh2nM0ZgFbi38ulhoEyMMAyvWizT+YvFgNN6OCW21k7gbWSzU6NnPvnY4L2pTBO
lRnXwI9o25bHakzEAZHN/E3jZiIFWQALmT5YhBO5Nd851EDrdVxHL80RDNMHuTDLx9l6xjSyrFRD
RvomM8Ic1zN39hzR7aQIgcrj34vE6NzHoeoHqbiFOl3Pz+oje9EZh06852rMk3k9EeP6X3nuZXFO
ECoGpOpwIgf4OBPbFy12NsUXtENN7T3HpgtnBVq9p9izJPAtund43Yr22oIakDsPt34uXpPG7Zb+
UNaDZ5KyI4pS3BCDkaHNFM1XsEl67zb1/GCbeYlAcx7Bn3jObCzkvGLQuv3vDfj/uwFxF/zLG7DS
Xfw/wRcNhv4n4Q4/Fn/6x5nF/sWyOWRYnrNOIT7utN/PLB4SHLBpTLYkfV9MQ6hzfj+0kPdA9SfX
NFpBIoTpcH/+cWhRv/CfSoRAyufYuyqB/oNDC936nw8tdJ7hWODiMT0plIuw6K9jA3edLaN3S4+Y
2wCrSn81/S9tRJCdOWjS4rqhhp/rCTd2TngiSNiiiiAGyFnY9QNzJH57T9VVQLC2QZMejbyS45ra
XRZiI2LVfisSWJNzGFsnfFnyjhYFmZVWL9Gym7T1ch5SnIXA7EMTzQ0qGRjFH7ymi4/P4L1svfq9
Fkuod0MKwWRDL9O7yJjeCsACeUfhb5RBVUYrO58U3fpg5m6sd21mrH+iQnzTWZrMDyA5/RdKd954
pFhA5NZ601M0EbFSJHJ60qmpTmFW0HZR9eRqwi+BK4LI0JV3dny3/dYCXLvmZUE2jIwhg2Fyz5Og
thCqkBsGfCNbU+s2tW9pHLxmpI9CKnld98EvrkluXlUZ/VENsfq0jN70UCri5VolUK84RSvvIrPh
++NkCl9SJ+elkQmu8hUgdQgZ0I18S3XCFSgt7KUJU9t3mo4CHI/S/GfWJKuborLtL3O0pj31oP/X
AQafdsx5N6EiZr1hTDO9V6QdU1JPfGsr4z29TNXveSr47iRfEQXVj0LdOVZS3JSxG9+pDOU/7kmQ
oGMy3aZhMpxU5aM1TNDg4E1dr6czhSS7FlOBp5l1zf/z2w+aiyjTW7TR/ovZr78wnejpgZ+0bd9I
AUPjNGLwkuCwmEhssWdnyaNRmHyFak55FYyk/NNr83wJ7LznumAJ4DPGE2EFsMcQdyDlcKM1B69A
EFuvLbpXSl9L7fNioVonIuRHHCI/24ih9F/mfHzqltbez7AorCAPkxBRSJs+ugNuNHzcjRHUsjCv
pcUCXBknrNqChZ5NVh/uIaDwSkto8k83Jo2aT8Ii6oQiGZEmE7OYbmA14O7ll/VV56odpx11Inu6
h9Xnul0TYABg8UFJjrfhwKONhL+6+4YbDvU4fmB5F8PFGLeocvmBKxCgiDv9CABvltb4L8sU02mQ
AZdCOM4SRRvAbXmpULRax49AWiNFIIGEQfG5k6Un7bPAx/OkKELDTTkycN2Esm+/TdPq8yGWg99u
WNfJ7E/1e7/+RDDs1akA9PbuyZYXY3afHIhT8ndoz5PDPAyg8y1Zv2t8wC8fSzgxXK4vzKybar3Z
V2nBe+gM09Ooei7JSK7WwxRxKyA2rW6smMCVPekWPgAQnwvXVbVSQZ17LJge2/BNjpaWFbDeEpzh
kgPOGi7ejEf70Ag2Dp6NzfviEm3Y2HVBn7135NXC9EH4sxgAZbTEE27ShgjKXLvcnE5FssvC0OWQ
x/Y4MNYo+DqCDNeknfhBG9Tj3A9CsMBIkjDQtA1cn1Bb8jqYHd9aIBPeMM9TJ8Ib/MtY5f5laRx+
wi6ZeYWqlniZchgLXtC7sAQf4MXgfTE0ijZK7MXfihwIMihHcFp56l/sZjK2CmmOxucMmnqjJh2N
+4WkXyi63BQMjDX9gM2i2LEKE4XS09xOqCjTnpiamcRchUrp6SMA0SszUl4LEroAIjG+OaEx97Zp
x5YhmGleO3h6XMHCmp5qFjpGKDgh75kIm6PPVOSAzcW8uoo1TzoY7gEvTvXy3BKjZR2nni1SLXzh
KVvzYw0fVfo2Nw15DcWy1OeocoF/KKJ24nMRpskhFcRT9paZEVc58ivlSWh9aROTrVmGM2uKky8L
fHYWflbdkigm0IUnwVRKeW36mVxQ4HNIznShyk0BZARze9v5O8Im6veRlpgD06eRdwkslytAVD5P
WhBwuRv8deW4Mq9mFJCalzfp9n6LMvRWSWyzusFUXNFK+i8aa3Z6Y6H+OSJQw9DwseYtE7FKIDq+
M/E26/rvXQfQSzL4L9S05EAjdecthlE2HbpOyj0oCXDXNrqF1EfDYF2PK1E7qBvPJ/Bm4Yf8bUtL
Wwlqr3ZHlpIdero/pV6Lkr1huKl3Nc20B8vh7srzjGFCP3J5VU66xnrHFYNnvYxlN4HWaWwdQ81l
Z61A5DkgDrzmRSaqLF/GKJqzVxsMahLk1rpLyWEkfTPu7C8+4std2hM9LePeDOBafMNZ5Z90Xa8P
g4ZQNgI3InZgH6v53bjYbGQ59UMfePSgyMiJoQ7FqPnj+cj2o4pxS34yJcQmqphXBk61+DdF2UKI
M91wIoWCSV/+uKQ5dr+EdlkAYiB64VFKxF1HswJmpuCuyfqJvZZ7EnYcWwzZwaNppwGaJudbVRYv
VSRhy4dTL8bNjB6HOkTpq2l5oHzWB1HrlPk1maP6hmeM9yBLV4Tcu8SM6IZ+QiNld2cLVd20qBaD
AcXWp8RtbGAdZfi56cydYVbNpcXJGmgo48KFA0R8byELYzx23Xxq476+cVOf4cwD/q8qwHb4iqds
XzMf3Bt0Lx9qa9ikhfsUmhatoNnJa7iILja/8ITmtGBXXcN0LYfmiBIIgWsCgLZYDpcycFvaLfCN
rBTIv1kcJWaBGF1U7RHVkal9VpqDD8Z72WO+Gc92SiZEACN9HgBFMzvcz86cu0efZamDqO3x8RHn
7BOTaC333tSBX059HnPJ1Kwuk5rOxig/4UsC64E+6z5ZMu/smiGrF8YtyC8P5auX1vQy6gk+deb2
N3oaxK2rIjycrWFPXwiuSz/NbvHJSt0mv+RNaz02GShPoyNwO7AW7e+9QQ0EkWr/19ijkdSOACMW
Ftmusd1k69Ep2s9Yto5iaAbkgl2xK7waxaRl4aXtyRO+9XSczrdcL+db2nnlfiFOnud4Qn5PMn76
X/bOazluJdu2v3J+AAq4hDmPVShPFq0oUi8IihLhvckEvv4OUK3bci2d/d4dsVs7pE1VFQrIXLnW
nGP6PgyQDOjVzg3lRzKiQcqm7ieIDNNtLKYygF5ubgEC00/vRXvTwYij/CmdjVAFGRSDea9hzkO8
2HWXII1nomkmsYb8X2yrSbN3oT8ypPcTexM13X3jD0gaWofKaNMVTQVAPmSJygrqExnXm4i64TgU
rXEEmavthV91h8wf7IvKApHCRYOtjFrhTjm0Y1XTeBvN58SYsmIhoimyaxuXlEvVqc2ZccUmgL3H
HsstGmnnkGPCu4kqa22VFplFnAh33rJDWBNkRxX5wx48HXSIZNKeOpQ6AQMxH12tuBmSwgzgf+m3
GY3ti2rK+/eIu7WLqaiRGWqey89JatdP/Zgzsw5NkwmwKhtoDX31mC5YBfhJGJm5v83s3iQAYe9K
SzvruCDX7LwuRBl7O7gCN1VFNJVEDfysZcWj0pYepeHmyFLatttqLrcN1kWJmnTuh50eZvFaeBnz
fkwBwYyWZBdGcX8YS8jJcWRvTPhra6PW82W1Mg4T+uPnsNWxVIdVpx6piDdU1y2VYKKXwUQ07aZH
VnMfNqworPxtAZ4ZUCzjDHevd+juixilQWcyXxUyN+QFWlR0A7VFrPXAQuK1XLte6LejzHLwpBC9
sYK6Db3C2yQ0MBwYabEo4uduBHmbkdQMXbwJZs+oUYWPZQ0ZJeSUX0VWuOudWGNhasHOeyC5HjRm
kIQaOaHp0Pc14qCte04gcbOhaVGBa+S5SFB/P9SOlx9miHYrv50yku36meYozHqfRI6tA77+vYyU
xy1OWLitHbEPU/ixkBaYt8hzii6ipjjTv+0+aFg8T2h2L2F4d2s2r/CuGEya+7JzWlIf/LA/Zk0z
JR86px70AzBgvz9qjTGbw55Vy9/SahoauUkNjcop4uAWXoW9L6lmERutEGVU3lPY5CzqYZrKemL5
noCJMWlqZ+bSKcREsTZzWwNK2+F3ZbKFicJ6QkfNrkvAH4gtLyG+bkuTWhRYbFt+H0nCDNZRFL3H
3WP67UYM1KDoy6m2StktQfajzd6UNHU+HUkFU7eTKY17atEcrrGkLEc1Ua++O/H/Tre1nI2/18HR
CxOLiQYyBS11ulg/nZ1HHRpP28T72kHby85HKQiYScrWhRaeWF15h3/Csw8kAvEBFH2s7Dja5ng7
2CN8xniUBFTrtMlXCL/Ypo2eqpo4GZLZ7ZlqIomI7s3JNaCkWI6epa+DldeKkMNb5rZquIQc2X/+
WiMjhFC3w7wcSsoJe0IcJuAnmYip62VbeU5KeBnlTDJQtsTuUZD9+XIsTIafLoeAyClci3GqDhJo
+fPvZIGjHyWahYZkX0Lwx307qaFbx06GXqcVPt5jul2I/AlBfC7sbLpteg7dTcyhNKlUe1uUzd/e
0e++IN2yIXXaSDzZT358R5rA2zmwATLHY4wJlMHBtUFv5aGjV9Exw1jOcdI0u8/ARq1DPVIol7KC
DWeA5knWXVcvhwkq9D9fql9IMQZzUZtYYRN9HA2Yn5gTSMQA1/dJug8rny+0qBiTfpjteege7Wme
m61d+NSxVYlYBLh2Rtn25zfwm+8KRrdh+waCQ4t3sTRnv/uuZOwY1Wz20V4oH4pzWHYRQYk+oVpn
IgHjiGNKWO8SK4mjU1+Hc0kftAvPUdkb954+GGckZJxH/vyufnNZmOHD4ODAhxLy5xuotIaQCZEd
7QkS4XinqBs3S0i2Ty1PCCNjTmrmoZgpq7Uxqp/+/Opvj+uPj7PNyzvLPxzeYIL8eE3KySVkZJy5
JlPOIRo36YTqpIP1kfKFxBNpMDCrPOs+c0PtYCwHt9IGLAhfsqnNK9uZmJOA+u8J3+yX3guhJGX6
CpWI029JYsVfLpf5i+DAcFyUBo5B38B2fPrxP3yJMXEcyTS62s6KBWugWc1lfPSG5ahTKpYLFn7/
YjK9UbsrCXRgSlXErAMTSNk75TssT5EFH2CJg8zJRLf5V1Yn/l/h8oo2b+0hy8QHtZJtSpcGH2qU
7CvM58U6cesx2kRj0+7nqeDVhZnRvMHrh+zI40Dw+e3b+a9y5m/KGdYIbsT/PAq6Alr3wxDo6w/8
q//s6e8Ej7muI4zBF41c+v8Pgeg/e2R8sWAzX2AhWOZD/xbN0BE2eRQM1+GXxW76rf/svaNbrHPL
WSb1nIGn9B/0n39JISfq3ECaI9CMIeH4xTcaSi2CXSzEAVtlHQZmOmeAauvwKGA3rHEVMaNFoAI+
lzMPAN7wSGBQ/eSDOn0vShrDtpN2HzCPdR8ixWDluyv5mx3+5wWJd2fqfHzeoGk5zs/7h888PkSP
Zh9Ii6meRWyra0wp5UX5Rk1uknza+bU+rru6QlTz59dmFebx/X498hYzLQ823loE/W/zge/XaByl
tMaHhOy4KHwsGiKieAAT/zLzGdsGTi3cC0TlpcNlctyTsv3kvUF/+KOay/mzO3Qcpep5so5RHnWb
zBnyXZ+3Q7Zpm8q5cWMPNAfkV0FWTtFfGLVFfLhe26uZnMBVqgo0hfbYFVexOem4040RJ75HdYgs
x3WDYZiJ+/OGWEMj2DvEKaaO+YR4cklLJdqCOqM6uZ2NtZ+i6JZhPOmfwDdoqvWEVBLC4fsx2I2Y
w31i6x80JJcbzHn3AxBN8hPnhmXHdery3NpsA1q8VJxtRcznRP1DMNhsrVJODozhXDk2OHSceE2C
B3GOhFQ+lsA2xUpDtn8hZBqClZn6D54kP3aV6AgBVihGFbBc4VGPW9m0lXHuAGtC26LZpiRlCIPB
7XLMu9G7JDGCNGoY/FW6w67s6m3g0S7ZyMFqk+1oKTgiwBKdW4ViF9VF0zhEZ9JpuTeGKt6UvSuH
w8KEJhSDBMhbhdIjXhuWxKmYOED1aVuF3qoMe9rwK+HQ/9nY0WydkILT6IiixJRgtDmW0Iqz+VpT
zd6L0TRhjsKGXEkhHl2yoWE6OOV1VrYKJEeDcZKUU7JpiT0juENXxhaVebttoewzrzDJTzO96HMT
m+M205MtPJIx4En1Dw6JTLezOY0owaohPc6plwae6N3nGIzLfi70mXCvut9PCYCgbU8hQeZBalK9
08BS/Xpsym6HWMrAbefB1vSM8AHUE6cIGUtYj66Iv9hSH68M4k3FKind4gs7HVFW5txYK4T8BF6i
4G5IZR1nYa0ct3XSgGfvLo601DoPaMhFjZSpcOSd0aLVqVeNW1bjmoBlJGCpCnEZeHWfkZhFJeyt
+jbdmXolP9MOLYzVmEEcilc1g1b9EkN0mzwjjc/rvV+yB151HeT4mYRcYFFWSsI5ETfspbjsnmfN
gmoa+oMi9MNotP6lDIeUPEa/b9BFowNKNv3QltqmwgZwOU5GOTHIdXtyKkYKm7uJcOdpjziI6bEW
lktPsGwL4pCHOKo/MgBgII2CfKG7ToJsm0hm+h5dW8xW0JcXbSxJvm5oYj13FVXrUqpyqyu9OtB3
z25xeC+LIf05AiaS8iqdB6i9Q0VAt2b6vFq7fLYpRhoIvMqQ9GC6cDmM2N2HPnFSG5/6yLtXEY6l
pkI2l1SyppUgqic5mpxbfDHSaoglD/IGRRAp2oOuhk962g76ZUr0DrjvkH7/ujbr6pmmri+IwcoR
tixLuc8np7NDz2XTp29qOa0fzyox54e8szQQrZm05iULLzTDHPyUbRvTsyBJWq+P3pjo/JJFvg9i
Ci96RHhKZcxyfCwjlScdekVRPoNBK7h12rk7Ve3snJvO4B1zRq20rcQjm65sra13jWfmV8yARqJP
qsTsFo6Qok0SUc1VFQ9Wgh/7qhU5/lvmi5UIPDqwB6C4PaAc4i+Ki4KwEUgHvAPu3aJmOkp0wHi2
m1aRYWOJcAjKrnU/0g8g4paLA5Msjwjyw/3iTMT8xBCZVnHjyqcKA+05dib0z0jiqlXo6QDPadBs
MtlVnzqjf4+a0jmMdLvEokqTN+TjWnmgQYAZdx6tX5T7XgIh3ax85GUkem4N9GWXsTWG9He0qbyI
c0m/lDarw+hqEC9AQiCLj5YRbyuyOlOz0mayuYS6sPO0OoUxweeDO7fdqm9oRKjGqwVelNY4WWAL
Dj4tIhc6TIiAiX1m5iP75Lb5DeGfRlO4JlbObomUrEzYQVPvltOulBbUL2N00jZgHY/I9RM2SB4W
/K6wug//LRz/TxIGm4yM70qOXzREV1n+zKz3+aficfmhfxWPvv0OqQHrhYniZ5Fcc0r8l3iBVj86
IYckD4SpixSIP/omXlgURMuJm8LFRG7wrXC0QDoKMIv44xFEUHX+k8KRecqP1RESJkRKJuUj74Ah
+sI2+b46asfMIw/IaI52r6nAsvNtT5ML71jv3QjqgOogCMOBgIPeB2VP6wzae0YfKYofx+Twr1gA
6LgXhZ+EO42Yi/Yev35+wnKTpNc9KNuPiPjcJ0E26DE2ovzUy9QMfI2DOWPQpDhi2MFBkPk4uMe0
vEjrRkOtENcVa/5Qz7tiMnaRRMUbzbFZbwvmX/7TmEyWt4dzQlOkbybncZSKQcVkCpeObxJf8ASi
gLKQDUEIi8DaP5N8Gj8Ob1Ciqq2yaFsvAMgLWpNxH221vCCMiac8iRXdfJpn8gzLHNzmFivHXJ+R
BPJxY8UqhKZwSu1wj93JatWmwPOOybBEogV2AsO5bwrYDsxRzgRch4B0w5zrCSF5KgaafKHwdVjG
4+hiN4lDQ3+RMu8AHmdxIqip6CoK+p1lWoXZuhhauFxopelSk/ttEpesQIUzW429GTR9ALbbntcZ
QcB0SpFvmjGZmRjkqjn9TDt96kS27gGLC5TVOAHxN9pjtDMzFbZnxN3aQZc40HQQGyuo1KSJYDFc
pWSIHWKSUHeRqM27TKOAXlkdSUfjEpNr5FJsHb+engGK4M1DTEDy5kSGF3il7egRtAsLwdpVnV0c
GGAPu6wcQes3b+G8Yz4cPLKQyCvBYbfE9yKjiK6Yh5PzHecqcOyIwPCeeiV1omrfzeR5tEsQcFhq
IL6zMPdWszbWV3nqvM+qIrqxGCdcy3h0b2AbjE8x4mJiFbAjtnWsbrgfKmZ+VcLOqMLr3KwmcAi1
Zq7lMFDqMKkJpJG4Z9/PwocYjuNexY52pdE66VeMHvzt6LbWRUhS1k5DSjEHBiyU6YF5JFTuJQ+5
cYzyjrl0BqA0jCMGJ2ljqTUDOFetK5pRh7JFn0T2XldsYAD2B0mBvpN5Fj1YyPtP/gxIAjynkPe0
mzrOBHUbEsMLp+fVkDaFsOXOzKGYC5abjB4FvDRTkHQDUq2V4p68xqBLB9uC8qHcCwNxBQT0hPxJ
1MvDeIWKxTyB2ar2tk0B3KcT3/WQd+0NFXv50Haq3BF2WX+SZvzBaAA59rnnHfmmiw06c3s9dTVY
U/Q5N6HTxcfSVu19hFD8cWAeWyxiW/MlrVr9pM0lW3lDdutR5srf2mn9BQdtuDcEcl2QJjRdQze9
8zNveCSPI/8wUWB9sGSfLJgjL/vQoFoE0cMT5mh9u6NJam58l6ztpAa9U0GEwT2R7xhdAKzzS3GU
qsOOVsJCrbF3+Rq8viRbzWIJB+RYmFyXYaowBNbUmkDGLO5ieroxENl8RThbF9gaOcCVHEDnhWjN
uS6Ei+L/Wkeavq5FJ/Ga+GXAQdp8sF3Nuuq19n0yt3dprbmflQDbhMds1GkJSww3a7Oe03u3Te1T
gQ7iQu+psjhhh4GbRAd/yTCfJGnm1VuuOaySAA1D9eIMurci0rS6tkJ//tTQQm1Whkb8s1/IGixN
ZL+PYlusnQaV8ZL7Q1z87EeXtmkMT73QoGYwjkV7pa+ZeBkz9Xt7HJIlgZd0si+5pFTuxuaCXFa5
EY5UQTwOgD6o7PeW5jJJUVJOF6ZawmIyh/Nb35saT5wd62cDdcW2pbpiZkIGwk2WdlBF696gt76M
m8cuQRGDCAgdQgzgT+3NuFe3lVwaYlkkrTtyZ71PmSzoww/JIgfwlvk5Ntjp1tZCJmlMqZ4HdGIn
30FyT52zqNmgnKjryChDpFhejNlQkjfgLqKDiR7r2WVUN62iAd6lYTFcYmKHWbWgwl3VMLUvNGB0
Zxh3OBkInln3unpp2PNuDelMh0gLuzV/KQOUFAsbEz9/x7hLXWj9Ys/wau/FrlrxWmn256RuzAsD
1yRAk4ZDe+6nm4aOOA85LBDANN6lb2XZBbwOSsF0fol1CAKNTglnK/W+0ts7YHf62jPamAgEThAJ
VpNtQmtppxO6cdMYbbXRHBNYio2ZZR9p8TnPxmhrD0kYtGVrIGsV9i5l2LPleX9J59K7bcxOrmMK
xfvIRbRvxG19lGmGgbANRX5JBBGVYVeOl1WpR3tAxcRGOoXT72ym6DfcuUVQ6r68TpiBfG4U4yS8
UkZO2WN7D5ET2kfeIVZiIDnrStScFvNMFNdFqIltbk7VwSBAeK3TSQqmTk8utBZIjVOW1a4f1BDY
g+qfAMbAy/UqiPxu9rHvjE9pU2eI8s35YpRFNKycTsbXtteQWt1VoJaL2FxPlupeDWvMNoMxDXcp
ZJvNm66jiuh82CgoAqvVwrtkNLozzR8SOn2r4V1AQ8I2bBnkF/mwR/CrM/dvY+0gGbsnhGmLUn5q
dTv/CGJ32EZ4Ez4XHizHaQafwrL3MfbyLy2hGQfgnYt8IcOuK/g3IPv+aoIEtwfZoB90ur0Bmktz
i6LJIBtUS1/81APimcfaDvsRxJsuzAlxzi1m2Gmyrfu0OQwUJJsB8sDeItcF2DGVlyaJ7SAwdjwl
RYUcL1eMZHuDDFydye5a1dW4sdyufOkFqbe893vc38Z6mGJnL0erWSficrZlvS/JVkVm4JvbyhAv
jV7fDMCaV2VSppwW5x1LtAZtTXs0EpDOcYyvPIG6vXJyuESZXp3dur1x9W4HHRKqZAEQDlbM0jO4
9bCOHpk9RtsSsNsKmwlJugn5ndDLjt2cR9vQzi+tQtNu/Y7Yo9wZ/D0hSQyireIGE8o1g9t4ixEK
rGaF2tTJJ9x4gxFkSZbvup4Yo34mNtiOKm8l4gEr7GjNLMKudaX1KCdY29373jaT/ZziNvaF8YXc
B2xOEyiHhJn6CrmjYCPLYvYDa7iRpuG/JMXEPFjj9iPNZe+osSR5AuKT3wMLG8XCxvTr4aCK1geG
EWmrKJm9Y9FPN3kiPkLBfv/fs9T/6SzFSeaPZ6nrL8SlAoh7LpMfz1Nff/CbGNyGKoPMmnQI/BVw
Er9rxi99epZ+DKlv/fal1fytGW++47ccFIffjmH/PlP57xi4cpoyPMNC2PnPWPjY4388U8GQWay1
rqGbNoMBgDU/nqlIce3motanPR6LjDDbJWaZ6O6FtxdCmVqkiIbFkQlr+lb2DnQzs2vbAysaPcy5
wa2xjnNd8+Fo9LkIYgIetBXGs4Hm2EvNLnolF/8VByM9IJpXGau5AIGxKrSOzDZjIubKyU1KIauj
A+qS6dyjTgypolBGzLtlR6Tgm9rjtLjBmFHoPB3z/D40NcRdNrLvTftmIePc2wBtXoxl+pvJzHjz
m71Zz7I3G1r1ZkljucmCYlBhMMTlPnHn5As21uhFzrjZFD/zKKYqHTj14XaL34xvxpsJjiF4xw6/
eOOqxSXHEDU/jYtzLqni/nKUuOmMxVcX6iwtq2px29F+zsBeRGTgisWNpxZfnoZMGado4VMr1SHm
rMXB57VcZsAISGYwhOlL0Bv5OYvrz1z8f6bPlbcXTyCJQ8V1v/gE+8UxSIxhdZ0uLsL4zVBIXVce
OT/X63TxG2YyJmSNkUe/XmjuoNIjfTO5DoVjC0ElBWGvf6C5318MmBk7EfV3BsgA3LdtiNnRRCFc
o//BA1m2g/Wg8szcQjbwdugtU8ySpExdMheGmWLpHAArTGFCjN0tAddeunGcUBwt4GuvnQaF0y6M
W3e8Lvy8DDoJLRsi3rU9LDmIXWVayxh6eFpOA+9RfqqrsUuJrC2AvnRevxbEcNO/Is3FKlV+ZIge
Xvh1Wt4IKtZLsAMfEo4eAcKRLMDGN5EPFYV300A+vKOJYi910moqo19nWZreksipXw2EzgQhWugD
jT4M2fQ2C1tSoQx6FYRzRT/RH6twnxJYsx2cIntF6PFCVrS2rWxk4piHc+OWm5wullLNoZuXgGry
tjcGuCIIeaYdOKW4qbjbSBP3T6BEiJH2GodEy+5xxiWxmgnC2sbM3VZi8niXXSzW0QBnxhiMBA5Q
rD0yNo8ONRlEtyKv68sJecrRRToapFpMAoWhRsSeLYL9seG+4baVK+VM5q6m4bsaSgKIU93meM5k
iT4efb5bYsDFCnI5sWY7xy6myHhPgrtKtgxP5DKOMGbbGYJUxlHs3UpHgVtcT5rvDcRiZ0LeCZK6
IT0JRH/GgwGMMt3oIk1OTqu7N0hCw/iDsmdixgcjzYkQ8iu0GDlCbl5/TM4QokyGfAQ4EkJscH5r
Qwv7hm1UmniEYlKmB7l4v1Y5nQE+DYpiu9y1aL3GuzFJbInD/W0YEL1NBjJLH9OnLOvbuQzg7pfu
zIGpoyqrHX8Oxo7xUMBtFkVPhZFEDL5jg4QmMtMKbk9Z4TVVuEjRBxqJ4uN7ciJFNCfXwts0hdVn
0X7qPftpqErZv7iZT7LoE9fIH8ZVPvTVkR69xXm3DLPe4hcHXDYJF0Q1w0YZ+vC+zKD7r/WG+era
7FuO8Min1dfJ5X/H5X8bl7s4Hf/U9byNq89f/ufQ5c/l5x86n19/8NtObbwzlr4mm4CPMcr/zjvp
Gu9ITCCvj2eUfZwG57/3aX6CVuiiBmOa/l3v0+avQ+v7Nn/nt//BwBwR3s97tAfITreJHgaBhmGL
QuH7vmfTRkNb+CRTaBTVq3SKKxoSVPHodH0kjqZ4lMU4XkLTR6U51I95JJZWGSOgaiCoq5jjLKhp
b1G/FuV1PugPItQjzpx5k7KSSS+YaYYeWrSaa5swsi3KD4n5xj3X+IBXpjKuUyXbZ98qLh1J1axJ
LAPM7ntEXkyoGbsSWODhr09eB31IzgXXcd24dcnyUzUrXSPcXAkGmok+nypfv3aMzlr5rXyGe6NW
8B42k03ybdsnrx2ZtUFhRdMGNezZtdROIjzBO1O++hlBg8Z4G5KqzmY4bPEYXIJpvbbT6aRH/Fcc
cdGpJ89UEVVQEZ4nOAXko/FSuc5jM3Vbjiv5ui1i6wNYgn3SemitdBR3VUfeQKmRB9tbj9mYP7vo
D7d6JG/1NrtcrkDPLkijIX9N68UhArF3a+WEgFoFNKohcqnO5XgfWfJ2aVKvPXB/pJn7L1QA/s6I
7T3a/FMG6+gwLzYvTXZcGF1nZJMczUWRrzJ179BekLX9GFvZkdnWc9ukOMfF2Y0tegyO3W1sPpC0
k9eqn67tnO9qsvpt49fMeuyF7sAgXzGkWkGIRvhccaHMmCTBUMDqpwyIN0nm9+tBGytEXqzHkbZc
y7h45txKTubiYu1ZEdfLa9U2/wERhNey0697U+6GeD4ZHr4abdRPtUu+CTPVVwtn7EYYyWWWqRNV
o9h7le/Q0OMTVvb0MIc9Z8TeyUGyWVqQdbzQmDBejkEZXLTkltJ0fGjtJmTVVveFLgI1lXJdki+A
0jd5LhFNbnJTvXjVfBrNKGEBb5Nz1riPidI/eY115YMqWzvS2E6kHc0CV0ejxvuZ4FHMcz03qrWP
Cr4jSBf5OuuhPKFmOGEMijdS8n0ii7GOvsudoOae5q9ZEF/b6Q9lZLz4tPuwuJG70kf5ka7KfdMO
97bKXwudeFNwveC5C3VvhST0ZQlxpHRtMRw5GiMvI6E3s1x3o3To2dqPVVOmWySm0EBsl/MlP8fn
pFnvcitazmPithPnPm5HtohzTUvrYxpSX8O1mwJaCOONhYEuyFUU0tuhwTYxxN837jQSLyrGQ1c4
3kGNGvyneMo3zVwXJGXUE1GZ+Xgs4qZbm1puvfRG93EaW+fC8JBrctdUSWMHLb3mNPCBdwSkhsvn
0K3gYtGpRyqR2k35kJXhQ6HosQez3fnJCs/eWsXhmWCSj/Q4x3Wm8g0d6YkkmSSo+6nd0KOKjaB1
HFpNCS6no1f10Fvc5pxr8XVJRPoGzOtDpdH9wb9A42QQz6qc2peyNEkj0dJ4Q4j2ynOBvtSz72wL
js8B/Zzw2ujBoTNNaKBUmy8VOErUewXQglFfO8o0tpbLUZp3QSVEmsiqYYQRKFRJV7buDjtlctNN
mfvoag5xJY08hGP7qsn2ZDvZ8btN5zfKokUa/IO2ZyH5Q+tEBLrMwn6WDpOgZw+pzGhqj1q2QlTd
Y4RS50Q0l3NoOH/RErEp/fJqPhuahcseMNHPOEuKwKF0JnzzEY96AEaNtF0LAwQtqr+80s+KKW9B
pkIG5cV0sjrfdq/vdaWuq6wUvMbe7LNnRAAZSWrTKTXktLYYr9N0QxC+/fO1/AVHurwmyCUHCRnY
AvcnGXZklX7sdUTaTr2IN6Ib7yvFg61Z9l5qhGIunxfr6KntWN3+/NLWLxqt5bV9SP+L8tlA08uV
/+7zoo2UM8Kbct8VrRWktG+vJ5RIy3JxSqs02+u+epGdQmEjSSFIx47nFgI9CbiEMQOCjcr5NETo
jtEK7H2szOuUJA7TkycJ32PFNLVeM1BYNVV6WTotzrTxVhXRgy5i1JbKPg8eQQpkgvk7Iurqp4ge
39r2WB7+/El/cwtZMLJMVO6GLkzzJ3GsmSd+UZl2uY/NbmtX+rXuz3g46fP/5XV+d0VtA+oqKC2b
W+mnK+pLw1P8Ifeqj0+co9T1RMNvo9OcoJj20wAB+2UfGcVNPk7Xbq8XN/Hiwrbn6LUZWZeXUgUE
S4YhVp0iDYmVL4d7zXfOVjvuiIsj56FOCphakKIbZarHSJjTrojMGrXxBMZab7vbMlMPqmXbJ7rV
PvaJV2wk2p4TprTXMCGgucxyvkXlVTulpa9hNT940bCde04aqrb2yIX3eOQSEvvmNz/5KSPkeG0O
87U7IXFCN2EQG6F9bAW4GNegxvrzhfzNCsMMfqHk6mDRAAn8eGfOtA0bGwPrfpb4BCknFCsbM1GI
XtLa//m1lr7QT6sZqm32Kc8DDSx+VpO35pTg55lKnEfjLUzPYwFc6i8v8ZuVBXelaaMrgPVFxsiP
nwckKZHfug77wx9roF0KklM4k3RqviSzNe16RE2Zae99zTzL0I838HOODEI/kHL+yWOcjjxnbFde
nlr7MWUTj31Wp3oqLmn4vM6OhDIeJtmeHOJ5lQoL1x8G9Ys8cTajV7/3aLDQ7PeiA4H0EBkxpa4M
wwIZ6zf11mzNeEXIkrkbFD0r3UxeBVM9cteyy1FlcHyjaeFcUaAaHGEFfN+Ss/h61PvbqjSJO7bm
r+ycF/W/0ReysRFgV+X3abT2b55YvgtU4fC1ddsW5o8XrDRroJtTUe6NnIPCGBfJOukHKnj8WJcG
6i3wsSIN8sk7F0gO12HXEu9gFFd9yr0cZhj4SM/YynCWqx67AC0y/VGmtRV4xDIvuQbnEEPsegjF
OaYzyCiQlajGBBOgRXzQTfkyd/oqcZM7nC9UVQ0fuNUUkY36w0QhtqrDuN6RSoyIVt5Gwlnkjdyf
ds3C1zkjlF+NYIAizP2dKeYHv27Hr3yT/3iRfvOQsGcs/6N/yuntp2sko8bNezmWe4mBihIH247k
7dhgrsI6+ss3Ap761+dkYYmzrAGZ8H55JhvbmmgDDeW+BW62MZyuCrwwPYbsVL7B9wMhhunvxAFp
NFmm0pQKMMqxa1EADlXoIBQEzIzAq9n49PtAbzPuLSfvU5cZFwwGrnKf+LXYp9pXZWUFVt29FOl8
q3Karu6yGXObRVb2HMqlSgWGls5EoA+AaVVlrilXN+CrvG3PV/p2vJxtZQVoOwhKJNiKoTY/Uctx
W4dDv8rnPj4ogAFvh6CwVFUggQ0ey0HeJz0HSY/OLyBUjnpilvdtH2H2swmasEYUaMY13vMjSRdM
it0hwJ00IU4YAq3gd8JxuSHrYdwadtttlseoU+JcufLeiZYDhMg0nqearJaGagmC2aViOBowAuo2
LX2jJhU8Yn3YXPhCvbR9H0gMcZgcksvE4sziK0pxzBuPaTyCJrARUVeCZNTiCBT4OBdNA1GMB7jv
8yOH4l0RsrMk0ciNydPhyP4SjdzHuJPlMTMEI+QxsMx2Wi8HI/QRJL4Bsz15VPawyB7NNvnbfuz8
5vGm1oF6SfYSd9TPubX5RIAJBuNi37nTS9mNt0hMz9QXXDzBY73UX29H7Wqh1/U+ld7bM1/G/XaS
nVw1KT9GQ4tstpLczMwPvLG1XKLfI5zypldufDVM+9zoNA5oGanzEcJWKLLRC5AS/xJTaRzMEfsi
wyicMKxY69llUqCxxqT99DBalFt6a9VrhAzDWkV9xoiSyjriYFirU2xVfCERZbabklcCA2PVmngg
PY6k8Poux2G4tQWchyp31AbhJInocj4VsQRiAsysMDRcJ9X04nRzvW2xT7qcDvZZ4pxHNhEOmcO9
5ajrpZrv3W/76387bH/psGGMMqgl/rMh5a4a/gMa6V8/+q3H5r0T/FX03Qgu+yoV/EZGst5Zgpr6
OxHhN22heGditBQezCLHRhNHlfBNX2gSg+bpgkcCnaG5gF7/QZ8NBOxPazUGGF3oNiU978P42of7
rrIfYICWbZpUhBy4iKR96Pd0IcrE38UAvbZOyUKOKDj1bkh4xgpnJmVypjteBWMee7BMrQF2RZhY
H1AdTdewJ8u7sXPCj0QrAL+ZLUbeLmCFPYGvSCoIBRCnZDmeAXit1FqqzCkCpI1AnWOUkNYFdT44
S7riPEa2sI7D3OTNpvETVLckwlDl0ViOFT3vtHztCtQzgIMme5tpnX0VI2y+zoioX2sV/YCN3mgW
2cUTMnt0nGUaaFZsxodRdeATq8m5NAG91yxnoXUYCsti0uRZB1ZNvdyovBmf9II3Bdgz7L/wKgSb
tnaJYyQcCEZCAtaAP3SZkn/l3iDGd1qkfn2VbYicpg/z/9g7jy25kTNKv8q8APogAATMNr0r71i1
wWHTwLuAx9PPF0n1iM2WWkez1q4Ni1mJRCJ+c+93TQrXLWb44nvCB36QeOTu2Y4AWhFLEn5dXMkT
OMOO/0YENHLDkN/szUHQ9FaOZvYYZOZ0H05JfDf2YflcYza56+DTzuepmSKJeIMpC7lebEZYruUi
XJuiYcGwxLX/MGX8Xg2HB88pEZLIa9pJSOBxOnkPS7LUHyLy/fswp5JZ8Sw3xSYM4N1sgGZUO88v
AOeiXZvqor7LRBPcS5JL0G06gTy0XL/dgNT+wn4DFUIca1s5koYpHsBQEW1TPcF08B8M+gi6FOKj
gtmX5GVwJnHGgFHBSXTEum+fDPLWjhh0qrtMNVj4FnYzW9dLxQmRzbjGZd07nM2WbA+LUXS8Z8LE
CHJufh85v94Vkus3drmOvQ4YfblaZd1+FUbhb0GbwVJlsRE8TDWLjplT+YkzKnqYIHlFPPhRDq4l
VHgGeC12Ptj1gAOw4Hz2AUSss1YEl7q2vWjXzyZk/Sktk0PoNd1yBFNLM5WEvXGxMMGPEH+8AlAK
DnWYBCxIOzK32RqtorHuHzGbSIRH9gQ1wzeEvRJMhl5KNsE38Q9/uH01ixN+pZ3j7tVGHsGsx1Nu
/MNhfrWbz1freaNd6MbVkA48HnN6djWqY/vUrnXf8/1dpK5u9pBJVnfqrjb3HFNT8mbVLWZ3BMwS
Bat2xROabjyhdmNEloU3XlGgcNEu+hg7fah99fnVYp/+8NtbP9z3UWF6BK9pV7608dQkiw4C1579
ULv3Te3j72wzPxILNb4miLU2RhBXN1immm3LGZZqFkCS6z4NQ43wsf3E4yu708g98PU2nktNE6iU
QmjbY7OsMWXBGyDIm0RizSCgRmvBEZT8DofZTMAUDL3Vb+Zums4GcVxH0rfkZg7Kx2rxLx3aPtxt
okUzVk2nMUn7rTclOaPlOGbowMDdcIyvcuFJk4dqTaTSfvIFuU6JJVZM1r1bxKNPwLRIxIhG7fmR
r0JplHHfE7k+99Xd6JuPBEdarARohfFkQeh1Gg2bQhnn453fYT9es98tz2ZZt9/S2bs1Fyt8h9A+
HqaxyZ9Kl+I2HaoWta6Do4nYqnsSG+1do73xYxITDe4ut0njz/vcYb8dE8e8I5gXUo3BTwnmAcRF
qaoGULG8VyFSR0Apd0utbroxC3GqxEwrwbHtm7BUuxRS6g06tPHObdHsJtgvsDQ0+zIR/jYJ53CH
7559eShJOxZE0SwVxUw+DARQw5I7zzlElt6LPrSrZBMJOp/MA0NCBnJFYVKpNwItxoNZRN0L856O
G2M09pGavvfKzfczrJNtpyAYDMIKP+xMGsVq0gQ97DlFCqnDMo+9S7dwsAtHnktwb7sgQLq8qtFK
7+s+c04+yYTryTC8h76Og32ycDSlRZsg73IQRw3u4t3ObVPSGyJjTbd+k3TIn5rwNWgkX1lZhKSi
9THhJ37ze1llFb3JlGSfaige+EpopsPE8ncFNKZ9tQz1ez2G5hvCNWPbDbABq7FcblF+V+e5GdWh
sAv/weZ/3LTuZNzRSr96OJTNtQjA50QtNh2WoWJaIbzLxElOaXQJssIPmJHJBl5Q0nvrzKJqXDUu
SmZnRMsoCahYD5awb23kmMhJ4kmtjBqMgof7au/VXnZC2Ic7q0as16Dzf+1qs0WQ3ZbNJulRp5q2
enTDtHpg2G/e2mlWbvyOK93n3AYO9O3JateTXtpYAE9WQ+sYR4UO+JvNFu0blBedFm6DfkHfMhLk
6LjQ2RiT2Ot0buTGlYl4qeJ+eIwRDn+dYI9u66DxL01ofRhB/z1JyugTqiACHubSXLeOfCkdacCU
aUEK29mA6BeSxjI34UuknD0D1o/Q7b/4ViP3S+V0kOgwGdjJ/Gke5mDT5ZW18Tz1uSGmfDXY5hHo
OK5PYdXfIkLNAMgZ1caC53EYLFZya2uZHRYUobjP4YBss3bMHkrh3pYRbjNGfP226Cz0hRap0t16
jNVYb1tRLLfR3IXbumi/ku75zBqCUor6gmkMyGV7gIwCB23DdhE1aaAfroC8dTHT+OuOrm41ccpt
4zIkYDnLng3LZX9GsMVHbHm4zBPf+6aEeuwH8Z1wG5KNE+AwhvdewqFC1AiJbcpM7xTM4XKpzR6D
gE1GTEQvwC7+NJZZyLOzrrfwVwl1jwZSSqe5ONpDfQQoDczIFS/JOGeXnHsemaErdgSPM2pIO5yk
ZrpXQ16fqm56cpa43YklLtls6oCfdPnaUX+uO7uvnhjbD+sEESExNIU9M08hmlCyBgIp1RY7wgSL
lTL8L2FkfYLmFL6bjbTv8FhDJvEl2tmO+0p+KaxCHMH0sWgj/fJMsGN17hvrm1eMsM3FV6aeTYz3
Iq+hTrbjwa+BcLdO7WyTBqr24LvxnorFexTGHG1weaU7k+rxziq98J6s8JPiQyckFvSZeRvPrbOG
AcItygZvM8eTtVEiFbd2nb5A6HfZqsb9vh4T2eO7KKvHPu7B79MKekQVSswNK4cj/WI0rQuIennt
QL3pYrMR5R3uuGjtjAFdXvVdJtGBBRquD8O8C8f2bskRf8QdSOzWI6uj+GAvWmIXnp7Htr+vRYdE
vbyhWgO/4S5M2jpoTgQeZtSAfUTyLl9z7CrkJko7kayqPEdesPv6F7doSngjamXNWCBhhxfLvaXK
7H9QanDsSTf/p8YPLgdN0r9v/F6/KTRd3c+qCs3y4Gf+6PjEb3BYWJfYpvihcvx/fjLPxmrmeHSD
jvjRDv5TVyF/o/dh4qBRKawEtOTiHz2fY/3mQaQOmKPglEdk5P03Pd8vU2yL5DxmgR6/IS+CwuOX
CTNipH4BYMTG2mesVsSxv2I8Ya9+uib/Yi77lzk2Idm8RwJsmDhyJfT//6mvDHt8vzbZYYc+LbHo
DmZACusUVh+ayH9fuDh6c8zv0F8WQAd//9r62v95UM+L4xthJMxl87jYf37xGKjsZGd+cIicoMp2
nmrHzTDRjxJakD2m6Cs/R0FRB6u2TOxNu8zJt8mAGLZ1lWtvcmrn1dzzVe8GFmx2YzSnXscht37K
2jzNQwTks+J0iCIyRVovfCzIo9r8f7wJD3cjyY3MAqxf4xRN5dS40pbgAIrL2k4ODvTCgHOZwMF7
aZB/rUORgVw1CjbQwpw0JhK5BnRikG5dEuhO04LF2/o+Jl5IM5AIFsxfGfZW5mQ7H6Djc5H0DMrK
heW0Qf74f+Dv/GV4x+fge1A3EPMwi/p1m9YCq+qBnwWwzetxo9BtrqZBzRQt6fe/v1p/mXDrV/L1
5pd5s0R1/OdPXFLaF7XglQaIfWxIQYV2rt+cVGc3D6ak7fz71/vlS4T6SU/SSTGE4cNNpnn0P9/e
lmjLEp8Mrxcl6oGnQ7taeqzzf/8q/+L6OWCzbQZAbH7tX1E9geJxkY+GzyAdNpLPVavtIDlkrf/8
9y90RTH9abWlh0kCnhVfPM70Xx8KKWCvYOQePLCvg8PmtUSMBdwz88wHNxc2Xn0RI+HFLJg9zgOk
6zp3MQEyWXiMiUU4F1I2D4oMQtwrA8dSLbTPaMCAdog06KTKsUQn3JsvMGIhBTAUcRBZpCMNnhPx
IlOtU7R8rAOt5bZvo7skh79/k/Z1Gfind4m6nG0VUmAdHRpITRr6+aGE0R45j5oOI+6TFVH0DGV1
NJahQ7IqUHVoBarvhFwQoKWjtLh50wOBY/2O2pSgrVqp2/qavoX4cdO4JTpiK0tuJTXBhzcS1yXJ
7VJitJ4EehJwZhD31gpb4jPx48EuBlSw6XT8VxyV1qbUkWAYXUU6RB88zrKD2xEbFvUWM3odJcbp
Eh8KItu2duQmB6xzMx4fwseggot9a1f+Myai9JgaMIlK0cSoeKLwS8wccl2gvT6SD0cgG9S/ZjXo
sDN0uDnuC4w69WA5CJ7qfg1KmHy0TuDkzPDdvnakp+U6Rq3UgWoSF+nXGZsq4xHi1iLUnnsZOozr
UhcP0EIVtTF0RJuMbfO57tvizYvi7Hst4mpaZWYwzyxVKH9XY2XabHbi6ZMHPmXj6TA4QmvzYzqn
E2ThwL1zdWhc5yc6FKFIxjsCFWnJUk3LJWfOmGDExiTPGTqCzihzAyNKAjTFU6eiIG0lxyeN9zLQ
UqDytgpreMIT8tVVpIPuDK/cm3V60deTEjGt17aOxWsrbHSC0EYJ03qFbMc8kkxaXBwdqGdcs/UE
IJBb0RuY3WYdvmdyvhDSRCAfmif/2C+O/VnhurwnxK4tj53ZYw3wWghazg6jNHeEDvrrG9v+XOnw
vyy24CDXk1+sKqtUL+Xc9uuKKHY+GnAKrQ4RHEkTjGP7wQoJ8+TZNhxpeObVbACwR1VhfbUVn7ly
Rf0wq/wmCYnchR2T4SLO+00fEmUYFwA8lGmeagvmtRk5DujNKXoq0+iGOctHrEMR464zH0NBUGKq
3LeZdYpVlOWGeRAZ2zpWsYPbu7OVEhdv6kdc1MQvVsNCECOg9VWfQvPtdEyjB3qQRxTRjaK4Wpkq
PYgh2DHDuoqQmrBHQ8c+1joAMiYzb82oGS4o5MOBm2sYvQ3HUAYM0HdZ1I0JoLaIWEnVtsZZMni4
dDp0Uk1y/pwizoNf0XrAZK75lKaV1ncLUnMeU60gwHIWzjFGM38QOt7Sq/i6uAaxlhnhd9ZCzISF
j3YF2BQRVReH68lMyy9qcKJPKbTwr67Xzp/sQY2nwveHYzYEJAFGtXPBnAVPo2OUQsM3HHvB98uY
M6yP+TxH9spMvVZAiw+8hejxxoXwakYMNYxlenEGs9zZJvNnM8Ng5uQVYYQzS2DmdsleuE15SaaK
cBATEblEM3dJyz5j6OVOzQkAU7Zxq37eGy7T3qY1M2Ivh/n7wACluiXZI9+EGtK0DOA2VGUhf8VX
t0kiTg6xgN2xzL7emsNobXnH6uS5YIBHpnVECJnzmaFA+7YEo3Nn8UW9nYlK7TdZCM8Ts1o1fAO5
NDIaNpfDDFznS+wxgwMm4r1eYS0l2q9nw6S+yKs6viOci+pkoOQjJd5cuVEAOAaxPcPuHvHNdiIx
9jFnOvYpTe1sk5nLuGEpMN0bsmaylQn7OJL2tKvxjr5WXcscMWGquxixechTiL2p4k2SmEn0WV5B
sEFUeZhnu7614yU8eS2bSYjwDNRdW2bolcp6G6iBdw4+4C4wwTjL3gbL2y3W1pFOdLd4ddjio134
GSvIIcu4Lj2wsvlNSDsw98PQ8ZYMV0QMNj1oHl2Wyq0dxPJO8GBYL4To7uvOWg4mmQbrwOvDE7WK
XNehG9C35uo0uNyvwo7n79TAw2sC43NrV1ZzSrFc4R+XjrUXZtHssdHLM2nAxuPMC0ABzDl5FwbP
/NpzLD9ghmKbRH/VPZoe2EmQIv2jYv6gk+XEJ9OXZzbl6d4bmmrfphbKBupF+ywnE/csDwWBr4WU
qcbZ1XEzAUBFoz/kKWwUO4xBjvfPItTu+65LECqPcgtslu66DJiqxNGwV/Uwx3suv5d9UbhC44tq
i4ZIsxllIiRdDL9doUyWQ4ySLkFY4Ep1ppksWuZkTnw7jdZULMfr8f6/TeV/bFjZEf5UCf2FgPKa
qIit3J8ce7a8/tAfHSv7RocEJdeiftaGPcrZfy4pXc9jP8iiUFfWP8e3BIS+6N2maUKNo3pEsfjH
lpJkF3CkKGS4py0LcsJ/07F64i9qOV7epmV1aYsl6fK6HP+pcPMHCNIVlh161rmEVD5UPicb9PKl
nJtLgqhpAmw+lz6I817TznnWMZwBHnUG7dnf2hUJZTwB7J30QhFuFaq8+1jz05UmqVclXPQVbfmx
CbvnkFPYX89989m060wlG8UFfgEzUb5aIODu62LknBlYHX6VYUkCREzhTziK/FyaoEjWDFLlZ7um
6lvp7uG1cyvjWzZ50wsHXjF9C+DxeekpaZ3xNq68rULMAk8tPZtpVhOWOLDqQ6uB2n4VGT3Sxw4/
Bk/pyng2HImgiBHdsK19DnWPwhWakFYxe5Y93Qo1MQPOYv8jz3LfOrd0sFwWqEQHpHcR8BbRr6Gq
NDzVac+3oT9CChGN6azCNvvdKZbyzIGBG8pfnI0kNOWTStHwSBE6lHk8EvPQHl+BHM2PRLAIKsxW
SxdYEt6DRDA9aFaM700KsHce2xzhKBtfYrONsRBjxiYne2i817plxbT2mI8jGVdsK7E7hRCQw0BL
HKkmO+uuYd0MaZ4t+LNqfAKGawfIG302MMTIYQyGzfSZBGF9lXnYRatYJyMEGaMaAndobSNg3qxF
a8lf35E5pbl6RHW0rGj6tde1BIPYxMEVW5/ukdSROID3aaiG5IWx7KuzIPeOqEH9jzmOLjyONeOB
FTIi/twcF/yMtNFRX2od0UD4JptP2RVk2jg+kGPZu+ydBkebwOIILvI1gcevMoBhKHaCVwpKTHTK
18u8QDni2RKSt1H0A7IaMrDZQHUBMRQ6yKBmGd3unY7pMGLMdjkHJXiR1VwQhWNF5F+Sarzwhq7Y
BRJaobV22UI4heHP/AIjbIhoiyWTq1sMIRE49CqIcsMBuoCcyUbd+MBQnY3vscC/DQcdiNF2GGaO
XT1APY2qtPvKchKYAksUNlMMtYmDoZrN93maQmLFLo46CPawjopwfI17m1z95n1mC/CyrIwrqMaJ
/7I0DH+ukR0T1TZpHy0TIKyfxtoxiBcgD9Yy7/1kcC/XV3S9Hkb0YJCCQjfFvdkM9FxkvZOVMqoM
WLbtSHJHnNEalj2FqvPZpA4HyU+y+tk1Vf3ekBU4rBo5qUOUpNJ5uAaKZHYDPgn4L2IqNg0EsjQW
zolVZOe8rZnK7wLB2H1zOmAsr9ff0s/p8g/57CTl2haSX1bWLneZgaf5NlA5WMg8ayEBtQgtyUlC
wrY8sXljCFXl+iNFT66vSTqb7W03B5qkQYbMTIhsexvMmmT9I/3GqGi+s0qH1dBIsuYZc55QXgqH
1ilMMe8SGODfl0VyR7LF0/eUsCBZ4ILyi33VDyNYSlFM/TquswnSbdaNmy6gPGEBhcFHxzIN6Vy/
4xXobUyiPTvYPC5BBgZOUF86n46klgAfpWU0w6q1sIn0BVvZ9cxEW+McwnMazMErH6Ybb7Td+hG3
RkcijGrr987p23DHaneCKhLY+3T0ix0bE0gUQySp3bv2S2ogSEErRaZQHuTTk+8axdqz2OCsLDUq
3gwX4OIyJ+DdFRl5vUslWaF2kAPtjQxK8CZcsmE5TLT6h5E4vy9NnTISE2Xl21sH7CoPhxalQRSl
zhHRANd3xrnxqkhSvrh9A0jRs4rxbhTS2cJdsugmOzSxWCREsCoYwR3tSYOScj+OycCbI1ZGdfmY
DyRKslCEHbfyaOdegmrxdngo5m+OV9inEFfXIR188TWX3lUyPXk72FXppVFu8s2Ga/GM62M+ggqH
38NIcV0lxgtWLvVKb9+SNJ91rFAD8nugqOBqIgPqImhm+W9TuTN9RBIliZzfCAFBqkBSX3vGf+ux
Ikm92SFXLLTf4e205w4aKBslps40qvi6Cgn9SgJvp26cOgq/JFy8i4yaW+Wq4htKvJg1mU/Lyuaq
YcfXTf4tQ6hHskGsCcursNG4+EMrLjls7OaB7hdFjRkwLXWn3UIExqZtsvoGMwb5sUYf3peD4mky
e2yfDNQQoiw/2dGI86UL2iXaD31iX+qsNK2XsLarVxil6ikfnftYDg2Eew1mjlpBlyq8p9IjawWe
TeffNSziMLPndDURmt3IGqezE/rPS2S5b32LG7iC/KP2ciyrgO9HDfZyUPBMkTgdpjogH6y27tuW
LY9b1DGh8GZsknO0AMsKm858aOOq2k6WZ27zVAkkkbaaVjE8xHoLW7U0N3h+x4+wnop8LZxesosq
+r44wFcjbN4QTk4uW1Ot/cnsnq0y898TKzBbjkIbI3bq9AT9GPVxcOH6rgmw+pg43s/QuvpbNpEf
o/Kbm5rpdLcS41S7YM3C7sK2KN0MDCWfZnTD53lKxUMm3O47RFL1MQdR1XyeOjMfHhJXhWDN1ZId
ozwr13WjPlnzEj7EsQg3GXLbFaXgdBk6bPg5Pv/Bc8ERtbZxp1TnblsLRyLhFcU3xMPTpdHb81DO
1gMxGcO7n7jhJipi9z6oA3nHbACuTFbG7DBRr9W3nhFmN6QtWeUGb7nxAPVUbjynH7dcLm81OO50
qtui/GACzZauql/CvjZPmaleO47ELSETEmKW+S6s6JiOaXsxZul8GsfIRsyVzWotwlZsQyOOz21E
C2czfLjpPXXwe0Y+mWehfTdRT5BJU0/OZYw7h3fo09/FRFBuotrqOw4/g/g3bhWiyi/F6OPoycVb
mDreKspdVpoWTTojJHrvKc83oh64DyzWkfFEWxfZQbholQc+CZcjfBegYCWLxqrtBz9y3Hs/UN1T
pRyCOBWrTt5PjBl/mQgG6SD+qEyu6j56cc1GnEt0DSCSJvI0GGqAqS2KpySFuYR8K813VikSXFx5
yurU1CzSDvHYam7j+B6fHpk5tjk/m2Srn+fW1qBhfnBgg3nDE2ggBQfE0qYrgge7M4d9XfYx/2o5
9ZmVfvMYyyIf1mxyxy2Gb0Rt8ViJUw+99CFJXBq50D2ieQEBlTHBJboOkbYs+te4jxmYACpm5wSg
LpqG6GVg7b/y2qnjxG3tk1sX02EyIyg0+Jd2TBv5HKDUjgRaFbhr1r7XY/iZsxg6tlt0ePYnSTRA
0nM65oi8Ad4WOUtacEd1wBsfoIQ9IWTwdu3UhCkDFsGemMjEDcQe0HphuDInJQiGcEty39MY3MYc
QUh1EIkR1Tj350k51Y5AhAllDc9TVE/QodYez5uvadO73xl1jphGXbkc4qDLv9Se1xwCFYTbXJdW
aAEUO/KZ2ZEjimrNhNhF8NfU27QcCPru/f5mrIW1CYme0fHYwyYjBuAMOX64Xch5tF8437D3lNjT
hjVQjOI+7RKbDDbJDrqYIvcxh/VHzI4RqBVadcqCcnR+z/CjRbsAehNfIJNaMHNFRn7j9BQN+XQp
M/girJCDiR22Hz60lAE30LVrnryzHZEVPwDzW2yGt6ETvEeATx6XEK8Do/B412T9fJGtlLdNGTcE
WzSNsekr2Z/sKu/Ok2iIIy+T6V7Irn2Ox+LUjM259pdp0wRWc1fAX/wCUplZSdeokxhkuFeR/0qh
Nu4YyWwGTzkPjKzyfCWHLAMSgsMrPwGuxMOaBAuQo9FRdbpmV1CluCzd5bG3zfr3KStyMFGBlQ+Q
jFmy22XPBbFRRGS9MoovM7LJeyOYlzuD8T4e8ZqN/u9+VzOQnsvMA/XbO6G1B8BiG8dwwhCF2PSx
EvlbTd5YfC7zxgsvdml+7sagvpkkhRxu3aY/EkoBUxbzW7b1szT2HgPU6OTXFvyTGgGKlOF9VUNV
1MnZCimSrMe3RSdmObbyI+8ev1Vzz+l37IprutZPnfy/WLP+uvfCGi/ZsEIGZaPsOL8uCSM8X7MV
Udd6SjnH0aYTlUlsPS8zOZ6BEv9xo/frSoo0Yyik0mJ3bGK2+dVugyBhRtLcVocSGtMFhSXIZB7M
nzOjI68C8/0X0DiOc4vXr8dezz41BAsNlK64SWVKtts194VZp6PuCqVzTQ2XQD0FB+p1iAm8GzKU
ZitnKUPKtsJtv5pEcAU09EQJP1muDjttJpJ3kp68xq5O5WccwGP3hFhTthjTBGradekiuv4guRiK
GcoVGrYoJJgysSMdvsYT47nwbBam+dx+5ZYpv/vLUD7ZcL80ALjlz7PMrFH/Qoa7RPRGhn52mjRY
DPseFpgt7S6Acgz9OyLbdOYPKljKNdF0Khbo+Fvhk6ipe+Frat/ff+i/Lh9ZPErXYVLjY3RlOPPL
sjOjQmbbYFYHydSXTjNJ6Q16Qf7oj5Hav/UN6b/o533Z9YUALlEGkKNi/Xp3+YoOrsl5oTxmB8Nw
osAGUTZ8Pnz3dL6hztKNSLVxwdPjyvz7t/nXV2eh6wfgJxwouIFO7/556FMbs/DMGSKmSmvr2R2x
2iQkgVA/5upQAbaFDtB5NAHGWNC2/f2Li19NTAHyAccyMTALHfXz63sfEbyGVajAm4qav51wzN65
8bKGtNS0pW1G/MCbH5wZqECkw0NMVfY0fmXk5egOJvFjRfu/8eZ/Gm/yTePO+Pd6nLdvbfd//uWM
88dP/jHj9BDRYMKAanD1TehB5h8zTus3F3qtT8RMIP6BNPmDdmL+hngF+4YPvsP2CaL554zT+w1J
jqt35jwUrcAN/psZp+v/+mQlnsSD5aXDpYgy4YH+59s9mh16/DSKoRl4/bnyS/i6uBvbs02I6SZ3
9DQr623xyNOUyU9EnHsyJZtclz9ZrAyKc4yKO9UF6okkAoO1Uh68JgQR7okFi1b2taKiJWp2cJ2o
syZdcsEA8dSuT/tQVxsOVVnAEFWunEy6myFgPSR1AdfAmSxJdGOINkdqFRV+9IJAD336IFW4DtyU
eLXxVVwrQyds55elGxbkcTmjisEwN52uJSNdVXbXAnPStWaHdpeNlRGCeSLdlXHZgshbmR4VamU8
JGGdtpt4SseDoo+6Wca5XE26ul10nZvqipctrb1jJBHfg+wHmBAs+p0ziGm3VuESLqdrZ9gEVMPx
OBdPUSzljlEprLCW/+3pyjsQyQu6X7mKfKpy35nRxlC4GQ1IrIheBNRV4nRPGbOF+7AS9kN4LfOr
a8lfzT1eztw3lk3QhwHEhoEUP90nuPSBG37nbGO3tDhOFYA/NDyPvtt+67OsPgiaDk93H6KP7yLO
oG5DComTbzzWzGtHjs4KI9risPpU2pNXuh1W+aVDgtkdgrHsXpyWddyqThaxNQZLQZCcaY9UW0o+
D9lfFt86dDRRCOclskr6KnZ6r2E5mycCGF6AQjtYM8zyA6jdfBIxpWIx+zHyBzApopMQoaLosXWg
W1O/VfkNGYwwLK5tXpAXsbeqi8pFstC695lthEC+vOE9VKH1MOPl38rInS7zUn/rrs1kOS/uNmyS
6H6hoztNATVT6pLxqPtQBCVYHgVtZV9yygq7+xS1VclQ1cuOCB5pZsdrYztdm1wVRe2HOTZIi9NB
PNDCy7MWsj1lLnZa4hF6qtm2cdfdUHDJxrpQN0wWP0bCrW+N2jLYAZvfnLJAuTEini9k2RwH3ZXn
uj9HNy/aTaFm/52FQv+8GFoaOoT51m2QkayXa6tvXtv+0K3KfJ2X4/jBqLcyN/BQE/Rh6EbRQOjZ
wcKnvJUeiZ8JJkbzYdBThkzPG+qG1QfC6zl8GBhHjFK8L23wbqqe1bgdsKowC+I63KQO1g77arUH
rkC/qoccrOafCTD7ZgIMxoqgRyGs48yDRKLv38U5VGMy7DU6xrUOEc+cR/4GtgZ2G9+2TXJGJDMe
J1Hi9alcJ57WfdSO1k17Hcv4IdwSVqD1e3Ed2yg9wVFmu0v1TAeBO7t7PeeZrxMfPfvpGQLRY8VE
MevBkEXuSnHoQ1EE9ERzeqZFhUaetEzdV+R4yJtW2uHWs6v4GBeh2DZ1N8JIgakqiIN8c1Qxy1W3
nEvTMw4RhPt95tMIhK5l7GSI9SAw53FXOuTMAg7KPk3M4zcFjoOzn3g7p+wKvNezoFdonWxFGKh8
gJiYkfGG2hwcYLH2B3QIaVOwg83sZVNRU+4HnP3rQRTRzTjg1Fr36bI8UwXJo2T+fsMsxyB0mKFG
DkIhizZF3pKfloBE3U6GXezS+uzO0yc8RYToqNY6TgjXt5I/dc6lWd2I3CbvRToGEv6maiyTXbS0
vSOIeNpjTzUPdqDsZ3RuxKy4kJ5jiaUVrtsy70NqEm8d5Fn2vqRgwp3JG8+s6FDvqYGdjw81e+gh
5EsvUDuL5QnWruE2X6L5O8onwM+D5+1iGQFr9JIaGEzYfnFCF1ONh25/Fbs6sQOlwDEs5nxdUQBd
krz/0A743djlw6FcmpFvKWGNy6qrxxGhUZF0X6yS02brOV57cYoQHnskniIAoWCrC/OcsKZeq9JP
97mHxYMe7dAS9b4CFOpvS6+aEXsbwwEVs3k0Z+2DC7L46I7OhBPMN89uh4qAE9vftbVpEdQhgvNU
egnDufwx1PJpr428/VgHZHCEmsiV4MhhdOUzCa159o5iyDeo+JpjgwMd8EGUNRtzsu+VqLRV0CIc
la/oTVxHyW2C5HudEWe8hgwVbKSViBOKwnA39s15Kopmay5T+5XR4gT2oiYnlECdS2cjh1l6Jz6q
Jfgdd29xjCTE5gCmZZ+NvxeF029NMROP03PcAJk++qqNDv3IMLsI/dsBKR3aKywehQXeox/kA9Cr
YqeAaEdz+tibrfEwxun9xHU9gZyy+Dbmt5FXLLuJfAaOxiSSqC2wX+7kQsPtEJRe0mv3gDDZ2LyQ
RkmL3XNdHxvIgC6BR93c38zEBFfQNhehsHdqGGBn2jOGOfLlwQS6pb+Y2zgM6uWpSMzA+DS2Gi6Y
MENfcOZBAjF/8Aeh6+e5s/XoweZDLZMneY0zWq7RRi3A6tshY6uGhI25v5Wy3VmZhBp9m6/pSCZO
zzursoyY4Ce1vNl1P70VlTmdPJ2w1OuspWY2RmKXCg/amJiz4YSQZOTRn5dcA9rHw6wzm0TBE9Mn
FOHzrBOd2FmnJwbUvc0yg8Qnf+lBd5hFy9YCaYMXjLv5mhBl9QaQYzCn7ew3u9FvQCldQ6WKksdr
1thcIBxW0y42o+jVmcMaBARaHVVnWAaCAr5Bcg2uMqFxoXfrgWBwuiG/qNDynlXdF/G2s1QtoKTP
PfIYTi5zJ7GjgMCZYz9dtx5BDkvG5m5uRQmY2W+H/ngdWuVxZqBU1JlbZmjiPofAENwJabjduuqW
JtlhPIHq5gcLqeJ2DxdUh3m1pGcTypqa6YMfq+aRYGwEb4E7J1i6ArlvMYXuiF11D8s1K6zJpoHc
sFl5dLs6TiwHK7EJoWReimvaGFCy/8veuTWnrSxR+K+48g4ldEUP2VXHGDvYwbk5ley8UDJoSwNC
Al0A+defbwRyELZxEqlqU6cObwl4NGrNtLrXdK+Vf4foSr80E+NKS6EVPReFRBkYFaJWMzGC2hQF
M3RSETNricTra5vW/FbPTY6ziICW9IRARziA21X5Rj/TtOctYAmFA1SDOHxRyKcls1ShlS1Nv+O8
H2jTSkxY9Dr3OlzfbGxDoZ+VeGvJeRs5IgeoM1jN0myan8eZofZSeEwWPd30IQJbJoC+5szP+hAn
DVFwoIlsjRbcOrOMAdrfCMSFWtf4lBSycYkRBlc6cG4f6SUNnckE+C4I9XyC6pn/wybm/ooCmHUz
0n1E6aQyJULqhGYXI6/j2UOo3LSemlvfU2iGv+XU5lD/hPBPICWA1I2hDGJA+JhGwKn5t7bQ6R0F
EQTP0Cz8QKDaw4AyQldtjTgfWYqOgz8V12Ldgv58qSOksoJMrjeL59boEmFMn4JJugjPPQpuKORO
tc+gehq9K2vYtJH67M90erlBGLO+sVmtbh6s1Zp+OG/9ObGoEZyGa8BCA3mECDVthw62zRIKvUi/
7IiI7tlFZwHeAksHPLcbJEZG6RK+FN+8VFeKNVEpMH/PYf7DbRfOtS+LNSI7Pfz59B9O2pM7O1SC
715HQQ8OAnAbyjtvdM2BjXKNCOLy0mK93ihLz/ykPaR00FJnNlAf0KBoPaBBCgvVop9D3kvsD/O5
gcRUj5Ybf4ZrnoeXa4QBr6ZBKxxsFCD3BV3LdyjaapctJe6niyUMxV7swy0C5DqV4CtOYgUZCPh7
ZK3UiwTxmqFGdUcPab9FfyYh3LxAc2cS2I0kxDsrwF5BjIL4zJIACijYL1BhpCcAiCVUvErRWjML
/HghoeRVgSqvJcBcJLX/z/9fzf85mzya/+eQEodepR8H/nH+Zpf5dxS9zaZTLVMBEeCQ8Gd1E9w1
fAVDnUatL5AmOXmZ+Mt2HGpg4K6zdBP8CbigbMdR2rg8i7onGEpBBqiW+g0KhgMwD5TJkCX+UOFD
+kTeL2GBvdIm5Ic69Hct17fZfOIlAT1t93vWeAYilkXteyDekwsc4ArxRgvmiw0X6E5NRInm55nt
iNWtsHv+Tr32RbywQH8r16LTA/FVlR4C2wAHP2Djyim+DYxA74D1BrkiDxaojKAbHFBBnS2NH8l0
43XHPj2rqUIxtpqgwhZBMiXCa0XDFcwn0TLqWh4JJZImtnU1ij3lCuK5zBVdBc2391msJxx7Kubi
YRAk9nQU33Wn1K+CVEaju3yZXk5VYVwnhAwfp2SgyONNR8sw7eGrvPOuFlOhqK5MqEhRUtJsTgCD
+dKffeEIw1vFVMSHpLkXTIL3ujBz+jrokr+OwQC/5psguwlGS/pzKbIN1khdCYSjbizkti6MDY3Z
3Q4t/z8oUzY5+PbmFHrwtkeewtC1D3rLWjzcTFPbb31ZUwSih31t5cGrDf3EbJpuRldWEIvk6n/L
a+zcn6xZRB+U7rxPmRvnn90kC9Kk3FXy24+RCNO76M9+dHygs1/qC6SCxwQjruCQxaSKGR8bI3C4
sWzivn1DIx9ANmcnGnU+8kOdYxDR5rH9umUZbTwUTEcAgMWHvcoF94z0khmO3+HWnsd/c+wOtgYa
TN6+6XQU2etUywoqjDiyCRG0dfepWqGrtpFo0Dh1wL3urPSvWGEcZWEqV6MnonD//YKn/jUbHIzw
cyVodtvg6M6Sx2jlPe6vBNvm9QMiDP/11kbbC57QSqAQiHrfWgtBs9oUHAPJd1Dulh/2174RSP8R
U6RZCy6mrRVObTtAxrrdottX5KOj+g2foHWJJmgEkIdNzxpBMSCQkuLlOIt/ZRs4E+KrC5GksRin
+9ugg3zKdlJ/fvu63uaMT7FoWNs+YuKs6hpATYayc2AeIqNTu39ijpp7QFeg4IesmHL8552hDad+
lzYVyiBPcw8QwMmgtZ4nsCUVGuydmvLCKjBZBQbNxDT5ys/2TXxC7pCqj/rhgUZ4gK6ClGMon3Vl
L6jIJ5UMACe2FzQa12qvAqNNQ7XNyfv2IStEGvv33zXbcBao8pVQLILTWwUwaKq1XwjsBZVmF5px
tnd5YAWZsz521ZzaKoDMunaQbLX1okmbI/fiQ0K7vwqocWMXmJxjFa1HJ+gL6IaSHUq1PCLvRYI/
my6qnUck2Nq3QhdNNE1yedi/HyT/gtt8zL16vggmRdYl3OS55OylH5TZxtPvd5mGTCdkIF35oQSD
ttf+mZT9VQlAimxo78syOyqus/vz3Q0+vXTlWuVdlf/5TrixQ+sqlfMyE91N89aZk7n9J3DunaqI
OPgPwc/Pmbx9U5nn3vN/ZeBk5pTjFCmWogOb1B4XZeEorA5sS/Ls+gPPnDBxknKkYsqgV+W/n4Xz
HrfCMVP0nAANl/igU3GbZ9SdNShSFDuTqJylnPU2eK8/chi641SMs0pszLERoWHdwS/cwFk7sVuO
JKeNLlIDxi7j+bPonzOMk83vqw2ilJQ2sApp947FpLoKtwhCXctcuRFdrdWRiQpwu3VHfofFhSjH
KZa3Zsriw7oDDyaOX1mAu/yp9rhoJ4WRqO5IXo8NrL9BOEFqqGpl2SHcgDGi9cGwdldC9i9TdP2S
D7l56pvMjtppYGBmlo1neTlSsS5kEFL+x5/7vfcRVBVPzGwDf9Ufe+iIsOI9JItYA3MeOnH+RFsO
YuoGHuHQSRJn7GeJm6aVNQ1Dst6EScTYF55TBfSAmhrY4UPBuyCJ0srKVkGvGtgwQ5HQopOIxaLi
m2gKlmlS3X0jR4+y+HDoRiYOWd6BD6GkumvXn/Stex87B9ETjFgU4ta2x627cqrvrR3MUdfQt+76
7J0zXyS+qL7WGd9uYPfI8a/dOHHz0gjSU3F40Wlo8KG7EePKa4zB5ZlAE5b5m5a3cqTdvCWqUnto
aIr9s54TR7wpq5tTM2XlfzMXuHBmh3sfSo0GQpIPvqhaXGe11J/1h1lARFLNalQAmAac7IfYRbin
nGLxKLcAWV1Lf3xFgrxm/PCabmrN4b+8KhrRyAWeLkSpSdFAPHiH9d0kcSshxQ76q/tk79xNNavU
mHQDCevX1PH3F+IOo6s73SM0sDWf4bO9LDu+nppDf3N470BoXd2aHC5I1K6uRV5txKk7eZGMI2i0
Km5lh7XVnvvLRURHZ/0c0vR4YP8UfyoP4p/7syq4Jn8xDlwn/uu/AAAA//8=</cx:binary>
              </cx:geoCache>
            </cx:geography>
          </cx:layoutPr>
          <cx:valueColors>
            <cx:minColor>
              <a:srgbClr val="B8E2C5"/>
            </cx:minColor>
            <cx:midColor>
              <a:srgbClr val="36864F"/>
            </cx:midColor>
            <cx:maxColor>
              <a:srgbClr val="235733"/>
            </cx:maxColor>
          </cx:valueColors>
          <cx:valueColorPositions count="3"/>
        </cx:series>
      </cx:plotAreaRegion>
    </cx:plotArea>
  </cx:chart>
  <cx:spPr>
    <a:noFill/>
    <a:ln>
      <a:noFill/>
    </a:ln>
    <a:effectLst/>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_xlchart.v2.14</cx:f>
      </cx:strDim>
      <cx:numDim type="val">
        <cx:f>_xlchart.v2.15</cx:f>
      </cx:numDim>
    </cx:data>
  </cx:chartData>
  <cx:chart>
    <cx:plotArea>
      <cx:plotAreaRegion>
        <cx:plotSurface>
          <cx:spPr>
            <a:ln>
              <a:noFill/>
            </a:ln>
          </cx:spPr>
        </cx:plotSurface>
        <cx:series layoutId="funnel" uniqueId="{889719A0-F434-460A-B1AC-CAE625D086A7}">
          <cx:spPr>
            <a:solidFill>
              <a:schemeClr val="accent1">
                <a:lumMod val="50000"/>
              </a:schemeClr>
            </a:solidFill>
          </cx:spPr>
          <cx:dataPt idx="0">
            <cx:spPr>
              <a:solidFill>
                <a:srgbClr val="235733"/>
              </a:solidFill>
            </cx:spPr>
          </cx:dataPt>
          <cx:dataPt idx="1">
            <cx:spPr>
              <a:solidFill>
                <a:srgbClr val="2D7142"/>
              </a:solidFill>
            </cx:spPr>
          </cx:dataPt>
          <cx:dataPt idx="2">
            <cx:spPr>
              <a:solidFill>
                <a:srgbClr val="46B067"/>
              </a:solidFill>
            </cx:spPr>
          </cx:dataPt>
          <cx:dataPt idx="3">
            <cx:spPr>
              <a:solidFill>
                <a:srgbClr val="76C88F"/>
              </a:solidFill>
            </cx:spPr>
          </cx:dataPt>
          <cx:dataPt idx="4">
            <cx:spPr>
              <a:solidFill>
                <a:srgbClr val="9AD6AD"/>
              </a:solidFill>
            </cx:spPr>
          </cx:dataPt>
          <cx:dataPt idx="5">
            <cx:spPr>
              <a:solidFill>
                <a:srgbClr val="B8E2C5"/>
              </a:solidFill>
            </cx:spPr>
          </cx:dataPt>
          <cx:dataLabels>
            <cx:visibility seriesName="0" categoryName="0" value="1"/>
          </cx:dataLabels>
          <cx:dataId val="0"/>
        </cx:series>
      </cx:plotAreaRegion>
      <cx:axis id="0">
        <cx:catScaling gapWidth="0.0599999987"/>
        <cx:tickLabels/>
        <cx:spPr>
          <a:ln>
            <a:noFill/>
          </a:ln>
        </cx:sp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4">
  <a:schemeClr val="accent1"/>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6.xml"/><Relationship Id="rId7" Type="http://schemas.openxmlformats.org/officeDocument/2006/relationships/image" Target="../media/image1.png"/><Relationship Id="rId12" Type="http://schemas.openxmlformats.org/officeDocument/2006/relationships/hyperlink" Target="#RECOMMENDATIONS!A1"/><Relationship Id="rId2" Type="http://schemas.openxmlformats.org/officeDocument/2006/relationships/chart" Target="../charts/chart5.xml"/><Relationship Id="rId1" Type="http://schemas.microsoft.com/office/2014/relationships/chartEx" Target="../charts/chartEx3.xml"/><Relationship Id="rId6" Type="http://schemas.openxmlformats.org/officeDocument/2006/relationships/chart" Target="../charts/chart8.xml"/><Relationship Id="rId11" Type="http://schemas.openxmlformats.org/officeDocument/2006/relationships/hyperlink" Target="#'POST ANALYSIS BOARD'!A1"/><Relationship Id="rId5" Type="http://schemas.microsoft.com/office/2014/relationships/chartEx" Target="../charts/chartEx4.xml"/><Relationship Id="rId10" Type="http://schemas.openxmlformats.org/officeDocument/2006/relationships/hyperlink" Target="#'PRE ANALYSIS BOARD'!A1"/><Relationship Id="rId4" Type="http://schemas.openxmlformats.org/officeDocument/2006/relationships/chart" Target="../charts/chart7.xml"/><Relationship Id="rId9" Type="http://schemas.openxmlformats.org/officeDocument/2006/relationships/image" Target="../media/image3.svg"/></Relationships>
</file>

<file path=xl/drawings/_rels/drawing14.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8.svg"/><Relationship Id="rId3" Type="http://schemas.microsoft.com/office/2014/relationships/chartEx" Target="../charts/chartEx5.xml"/><Relationship Id="rId7" Type="http://schemas.microsoft.com/office/2014/relationships/chartEx" Target="../charts/chartEx7.xml"/><Relationship Id="rId12" Type="http://schemas.openxmlformats.org/officeDocument/2006/relationships/image" Target="../media/image7.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2.xml"/><Relationship Id="rId11" Type="http://schemas.openxmlformats.org/officeDocument/2006/relationships/hyperlink" Target="#'Recommendations Board'!A1"/><Relationship Id="rId5" Type="http://schemas.microsoft.com/office/2014/relationships/chartEx" Target="../charts/chartEx6.xml"/><Relationship Id="rId15" Type="http://schemas.openxmlformats.org/officeDocument/2006/relationships/hyperlink" Target="#'Post Analysis Board'!A1"/><Relationship Id="rId10" Type="http://schemas.openxmlformats.org/officeDocument/2006/relationships/image" Target="../media/image6.svg"/><Relationship Id="rId4" Type="http://schemas.openxmlformats.org/officeDocument/2006/relationships/chart" Target="../charts/chart11.xml"/><Relationship Id="rId9" Type="http://schemas.openxmlformats.org/officeDocument/2006/relationships/image" Target="../media/image5.png"/><Relationship Id="rId14" Type="http://schemas.openxmlformats.org/officeDocument/2006/relationships/hyperlink" Target="#'Pre Analysis Board'!A1"/></Relationships>
</file>

<file path=xl/drawings/drawing1.xml><?xml version="1.0" encoding="utf-8"?>
<xdr:wsDr xmlns:xdr="http://schemas.openxmlformats.org/drawingml/2006/spreadsheetDrawing" xmlns:a="http://schemas.openxmlformats.org/drawingml/2006/main">
  <xdr:twoCellAnchor>
    <xdr:from>
      <xdr:col>2</xdr:col>
      <xdr:colOff>1112520</xdr:colOff>
      <xdr:row>2</xdr:row>
      <xdr:rowOff>114300</xdr:rowOff>
    </xdr:from>
    <xdr:to>
      <xdr:col>12</xdr:col>
      <xdr:colOff>45720</xdr:colOff>
      <xdr:row>24</xdr:row>
      <xdr:rowOff>30480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861A6BFA-C67A-DCE7-62F3-EEE7D6EEAB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749040" y="480060"/>
              <a:ext cx="6149340" cy="393954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106680</xdr:colOff>
      <xdr:row>2</xdr:row>
      <xdr:rowOff>167640</xdr:rowOff>
    </xdr:from>
    <xdr:to>
      <xdr:col>13</xdr:col>
      <xdr:colOff>190500</xdr:colOff>
      <xdr:row>23</xdr:row>
      <xdr:rowOff>22860</xdr:rowOff>
    </xdr:to>
    <xdr:graphicFrame macro="">
      <xdr:nvGraphicFramePr>
        <xdr:cNvPr id="2" name="Chart 1">
          <a:extLst>
            <a:ext uri="{FF2B5EF4-FFF2-40B4-BE49-F238E27FC236}">
              <a16:creationId xmlns:a16="http://schemas.microsoft.com/office/drawing/2014/main" id="{154BC282-012F-08FB-53FD-39929CF6CB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266700</xdr:colOff>
      <xdr:row>4</xdr:row>
      <xdr:rowOff>175260</xdr:rowOff>
    </xdr:from>
    <xdr:to>
      <xdr:col>9</xdr:col>
      <xdr:colOff>320040</xdr:colOff>
      <xdr:row>24</xdr:row>
      <xdr:rowOff>45720</xdr:rowOff>
    </xdr:to>
    <xdr:graphicFrame macro="">
      <xdr:nvGraphicFramePr>
        <xdr:cNvPr id="4" name="Chart 3">
          <a:extLst>
            <a:ext uri="{FF2B5EF4-FFF2-40B4-BE49-F238E27FC236}">
              <a16:creationId xmlns:a16="http://schemas.microsoft.com/office/drawing/2014/main" id="{A51902CF-30D9-F6B5-39A3-86D8ED07D7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327660</xdr:colOff>
      <xdr:row>6</xdr:row>
      <xdr:rowOff>22860</xdr:rowOff>
    </xdr:from>
    <xdr:to>
      <xdr:col>11</xdr:col>
      <xdr:colOff>304800</xdr:colOff>
      <xdr:row>24</xdr:row>
      <xdr:rowOff>121920</xdr:rowOff>
    </xdr:to>
    <xdr:graphicFrame macro="">
      <xdr:nvGraphicFramePr>
        <xdr:cNvPr id="2" name="Chart 1">
          <a:extLst>
            <a:ext uri="{FF2B5EF4-FFF2-40B4-BE49-F238E27FC236}">
              <a16:creationId xmlns:a16="http://schemas.microsoft.com/office/drawing/2014/main" id="{FFF97E74-F1B3-ABCA-1DF7-9B34E5B08D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594360</xdr:colOff>
      <xdr:row>6</xdr:row>
      <xdr:rowOff>121920</xdr:rowOff>
    </xdr:from>
    <xdr:to>
      <xdr:col>13</xdr:col>
      <xdr:colOff>243840</xdr:colOff>
      <xdr:row>25</xdr:row>
      <xdr:rowOff>106680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56A6FF1-833A-6822-1071-E9A3BACF67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787140" y="1219200"/>
              <a:ext cx="6355080" cy="345948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259080</xdr:colOff>
      <xdr:row>4</xdr:row>
      <xdr:rowOff>22860</xdr:rowOff>
    </xdr:from>
    <xdr:to>
      <xdr:col>12</xdr:col>
      <xdr:colOff>198120</xdr:colOff>
      <xdr:row>21</xdr:row>
      <xdr:rowOff>76200</xdr:rowOff>
    </xdr:to>
    <xdr:graphicFrame macro="">
      <xdr:nvGraphicFramePr>
        <xdr:cNvPr id="2" name="Chart 1">
          <a:extLst>
            <a:ext uri="{FF2B5EF4-FFF2-40B4-BE49-F238E27FC236}">
              <a16:creationId xmlns:a16="http://schemas.microsoft.com/office/drawing/2014/main" id="{0004D9AD-0B10-603B-8198-1672F6E4D5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117231</xdr:colOff>
      <xdr:row>0</xdr:row>
      <xdr:rowOff>126999</xdr:rowOff>
    </xdr:from>
    <xdr:to>
      <xdr:col>29</xdr:col>
      <xdr:colOff>332153</xdr:colOff>
      <xdr:row>41</xdr:row>
      <xdr:rowOff>48845</xdr:rowOff>
    </xdr:to>
    <xdr:sp macro="" textlink="">
      <xdr:nvSpPr>
        <xdr:cNvPr id="3" name="Rectangle 2">
          <a:extLst>
            <a:ext uri="{FF2B5EF4-FFF2-40B4-BE49-F238E27FC236}">
              <a16:creationId xmlns:a16="http://schemas.microsoft.com/office/drawing/2014/main" id="{651E76E3-B89E-06EE-9271-2F04E2C3EE00}"/>
            </a:ext>
          </a:extLst>
        </xdr:cNvPr>
        <xdr:cNvSpPr/>
      </xdr:nvSpPr>
      <xdr:spPr>
        <a:xfrm>
          <a:off x="117231" y="126999"/>
          <a:ext cx="17779999" cy="7532077"/>
        </a:xfrm>
        <a:prstGeom prst="rect">
          <a:avLst/>
        </a:prstGeom>
        <a:solidFill>
          <a:srgbClr val="0F766E">
            <a:alpha val="2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214923</xdr:colOff>
      <xdr:row>1</xdr:row>
      <xdr:rowOff>19539</xdr:rowOff>
    </xdr:from>
    <xdr:to>
      <xdr:col>3</xdr:col>
      <xdr:colOff>557846</xdr:colOff>
      <xdr:row>40</xdr:row>
      <xdr:rowOff>156308</xdr:rowOff>
    </xdr:to>
    <xdr:sp macro="" textlink="">
      <xdr:nvSpPr>
        <xdr:cNvPr id="4" name="Rectangle 3">
          <a:extLst>
            <a:ext uri="{FF2B5EF4-FFF2-40B4-BE49-F238E27FC236}">
              <a16:creationId xmlns:a16="http://schemas.microsoft.com/office/drawing/2014/main" id="{BC7D634D-33CB-B155-7F3B-8FBA14CC7C80}"/>
            </a:ext>
          </a:extLst>
        </xdr:cNvPr>
        <xdr:cNvSpPr/>
      </xdr:nvSpPr>
      <xdr:spPr>
        <a:xfrm>
          <a:off x="214923" y="205154"/>
          <a:ext cx="2160000" cy="7375769"/>
        </a:xfrm>
        <a:prstGeom prst="rect">
          <a:avLst/>
        </a:prstGeom>
        <a:solidFill>
          <a:srgbClr val="0F76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152402</xdr:colOff>
      <xdr:row>5</xdr:row>
      <xdr:rowOff>117231</xdr:rowOff>
    </xdr:from>
    <xdr:to>
      <xdr:col>8</xdr:col>
      <xdr:colOff>19539</xdr:colOff>
      <xdr:row>10</xdr:row>
      <xdr:rowOff>175846</xdr:rowOff>
    </xdr:to>
    <xdr:sp macro="" textlink="">
      <xdr:nvSpPr>
        <xdr:cNvPr id="5" name="Rectangle 4">
          <a:extLst>
            <a:ext uri="{FF2B5EF4-FFF2-40B4-BE49-F238E27FC236}">
              <a16:creationId xmlns:a16="http://schemas.microsoft.com/office/drawing/2014/main" id="{938433E8-F834-E7C4-06A5-90F1F81E0903}"/>
            </a:ext>
          </a:extLst>
        </xdr:cNvPr>
        <xdr:cNvSpPr/>
      </xdr:nvSpPr>
      <xdr:spPr>
        <a:xfrm>
          <a:off x="2575171" y="1045308"/>
          <a:ext cx="2289906" cy="986692"/>
        </a:xfrm>
        <a:prstGeom prst="rect">
          <a:avLst/>
        </a:prstGeom>
        <a:solidFill>
          <a:srgbClr val="0F76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181711</xdr:colOff>
      <xdr:row>12</xdr:row>
      <xdr:rowOff>19538</xdr:rowOff>
    </xdr:from>
    <xdr:to>
      <xdr:col>12</xdr:col>
      <xdr:colOff>302846</xdr:colOff>
      <xdr:row>25</xdr:row>
      <xdr:rowOff>156307</xdr:rowOff>
    </xdr:to>
    <xdr:sp macro="" textlink="">
      <xdr:nvSpPr>
        <xdr:cNvPr id="6" name="Rectangle 5">
          <a:extLst>
            <a:ext uri="{FF2B5EF4-FFF2-40B4-BE49-F238E27FC236}">
              <a16:creationId xmlns:a16="http://schemas.microsoft.com/office/drawing/2014/main" id="{8347899E-EB43-3E2A-AC40-0A74A60136F9}"/>
            </a:ext>
          </a:extLst>
        </xdr:cNvPr>
        <xdr:cNvSpPr/>
      </xdr:nvSpPr>
      <xdr:spPr>
        <a:xfrm>
          <a:off x="2604480" y="2246923"/>
          <a:ext cx="4966674" cy="2549769"/>
        </a:xfrm>
        <a:prstGeom prst="rect">
          <a:avLst/>
        </a:prstGeom>
        <a:solidFill>
          <a:srgbClr val="0F76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21</xdr:col>
      <xdr:colOff>58616</xdr:colOff>
      <xdr:row>1</xdr:row>
      <xdr:rowOff>66430</xdr:rowOff>
    </xdr:from>
    <xdr:to>
      <xdr:col>29</xdr:col>
      <xdr:colOff>87923</xdr:colOff>
      <xdr:row>26</xdr:row>
      <xdr:rowOff>146538</xdr:rowOff>
    </xdr:to>
    <xdr:sp macro="" textlink="">
      <xdr:nvSpPr>
        <xdr:cNvPr id="8" name="Rectangle 7">
          <a:extLst>
            <a:ext uri="{FF2B5EF4-FFF2-40B4-BE49-F238E27FC236}">
              <a16:creationId xmlns:a16="http://schemas.microsoft.com/office/drawing/2014/main" id="{31E92094-0E57-E4A2-8CE8-CE1249DAA00F}"/>
            </a:ext>
          </a:extLst>
        </xdr:cNvPr>
        <xdr:cNvSpPr/>
      </xdr:nvSpPr>
      <xdr:spPr>
        <a:xfrm>
          <a:off x="12778154" y="252045"/>
          <a:ext cx="4874846" cy="4720493"/>
        </a:xfrm>
        <a:prstGeom prst="rect">
          <a:avLst/>
        </a:prstGeom>
        <a:solidFill>
          <a:srgbClr val="0F76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20</xdr:col>
      <xdr:colOff>42985</xdr:colOff>
      <xdr:row>27</xdr:row>
      <xdr:rowOff>156308</xdr:rowOff>
    </xdr:from>
    <xdr:to>
      <xdr:col>29</xdr:col>
      <xdr:colOff>156308</xdr:colOff>
      <xdr:row>40</xdr:row>
      <xdr:rowOff>105507</xdr:rowOff>
    </xdr:to>
    <xdr:sp macro="" textlink="">
      <xdr:nvSpPr>
        <xdr:cNvPr id="11" name="Rectangle 10">
          <a:extLst>
            <a:ext uri="{FF2B5EF4-FFF2-40B4-BE49-F238E27FC236}">
              <a16:creationId xmlns:a16="http://schemas.microsoft.com/office/drawing/2014/main" id="{6E80FE53-4A7A-C916-5D5A-02005FB82F1D}"/>
            </a:ext>
          </a:extLst>
        </xdr:cNvPr>
        <xdr:cNvSpPr/>
      </xdr:nvSpPr>
      <xdr:spPr>
        <a:xfrm>
          <a:off x="12156831" y="5167923"/>
          <a:ext cx="5564554" cy="2362199"/>
        </a:xfrm>
        <a:prstGeom prst="rect">
          <a:avLst/>
        </a:prstGeom>
        <a:solidFill>
          <a:srgbClr val="0F76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128956</xdr:colOff>
      <xdr:row>5</xdr:row>
      <xdr:rowOff>123093</xdr:rowOff>
    </xdr:from>
    <xdr:to>
      <xdr:col>11</xdr:col>
      <xdr:colOff>601785</xdr:colOff>
      <xdr:row>10</xdr:row>
      <xdr:rowOff>181708</xdr:rowOff>
    </xdr:to>
    <xdr:sp macro="" textlink="">
      <xdr:nvSpPr>
        <xdr:cNvPr id="15" name="Rectangle 14">
          <a:extLst>
            <a:ext uri="{FF2B5EF4-FFF2-40B4-BE49-F238E27FC236}">
              <a16:creationId xmlns:a16="http://schemas.microsoft.com/office/drawing/2014/main" id="{06DE1C43-1D0D-5FE3-8D04-A6BCFBB15A16}"/>
            </a:ext>
          </a:extLst>
        </xdr:cNvPr>
        <xdr:cNvSpPr/>
      </xdr:nvSpPr>
      <xdr:spPr>
        <a:xfrm>
          <a:off x="4974494" y="1051170"/>
          <a:ext cx="2289906" cy="986692"/>
        </a:xfrm>
        <a:prstGeom prst="rect">
          <a:avLst/>
        </a:prstGeom>
        <a:solidFill>
          <a:srgbClr val="0F76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105509</xdr:colOff>
      <xdr:row>5</xdr:row>
      <xdr:rowOff>128955</xdr:rowOff>
    </xdr:from>
    <xdr:to>
      <xdr:col>15</xdr:col>
      <xdr:colOff>578338</xdr:colOff>
      <xdr:row>11</xdr:row>
      <xdr:rowOff>1955</xdr:rowOff>
    </xdr:to>
    <xdr:sp macro="" textlink="">
      <xdr:nvSpPr>
        <xdr:cNvPr id="16" name="Rectangle 15">
          <a:extLst>
            <a:ext uri="{FF2B5EF4-FFF2-40B4-BE49-F238E27FC236}">
              <a16:creationId xmlns:a16="http://schemas.microsoft.com/office/drawing/2014/main" id="{F798A3DF-2E7D-041E-85BF-C0BB64BA1287}"/>
            </a:ext>
          </a:extLst>
        </xdr:cNvPr>
        <xdr:cNvSpPr/>
      </xdr:nvSpPr>
      <xdr:spPr>
        <a:xfrm>
          <a:off x="7373817" y="1057032"/>
          <a:ext cx="2289906" cy="986692"/>
        </a:xfrm>
        <a:prstGeom prst="rect">
          <a:avLst/>
        </a:prstGeom>
        <a:solidFill>
          <a:srgbClr val="0F76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16</xdr:col>
      <xdr:colOff>82063</xdr:colOff>
      <xdr:row>5</xdr:row>
      <xdr:rowOff>134817</xdr:rowOff>
    </xdr:from>
    <xdr:to>
      <xdr:col>19</xdr:col>
      <xdr:colOff>554892</xdr:colOff>
      <xdr:row>11</xdr:row>
      <xdr:rowOff>7817</xdr:rowOff>
    </xdr:to>
    <xdr:sp macro="" textlink="">
      <xdr:nvSpPr>
        <xdr:cNvPr id="17" name="Rectangle 16">
          <a:extLst>
            <a:ext uri="{FF2B5EF4-FFF2-40B4-BE49-F238E27FC236}">
              <a16:creationId xmlns:a16="http://schemas.microsoft.com/office/drawing/2014/main" id="{AAC09333-981E-4FDA-3839-EC66760B37AA}"/>
            </a:ext>
          </a:extLst>
        </xdr:cNvPr>
        <xdr:cNvSpPr/>
      </xdr:nvSpPr>
      <xdr:spPr>
        <a:xfrm>
          <a:off x="9773140" y="1062894"/>
          <a:ext cx="2289906" cy="986692"/>
        </a:xfrm>
        <a:prstGeom prst="rect">
          <a:avLst/>
        </a:prstGeom>
        <a:solidFill>
          <a:srgbClr val="0F76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422034</xdr:colOff>
      <xdr:row>26</xdr:row>
      <xdr:rowOff>171938</xdr:rowOff>
    </xdr:from>
    <xdr:to>
      <xdr:col>19</xdr:col>
      <xdr:colOff>439615</xdr:colOff>
      <xdr:row>40</xdr:row>
      <xdr:rowOff>123092</xdr:rowOff>
    </xdr:to>
    <xdr:sp macro="" textlink="">
      <xdr:nvSpPr>
        <xdr:cNvPr id="18" name="Rectangle 17">
          <a:extLst>
            <a:ext uri="{FF2B5EF4-FFF2-40B4-BE49-F238E27FC236}">
              <a16:creationId xmlns:a16="http://schemas.microsoft.com/office/drawing/2014/main" id="{09502C53-5559-FD08-20C7-7B99A7EAA4BC}"/>
            </a:ext>
          </a:extLst>
        </xdr:cNvPr>
        <xdr:cNvSpPr/>
      </xdr:nvSpPr>
      <xdr:spPr>
        <a:xfrm>
          <a:off x="7084649" y="4997938"/>
          <a:ext cx="4863120" cy="2549769"/>
        </a:xfrm>
        <a:prstGeom prst="rect">
          <a:avLst/>
        </a:prstGeom>
        <a:solidFill>
          <a:srgbClr val="0F76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185615</xdr:colOff>
      <xdr:row>26</xdr:row>
      <xdr:rowOff>168031</xdr:rowOff>
    </xdr:from>
    <xdr:to>
      <xdr:col>11</xdr:col>
      <xdr:colOff>236414</xdr:colOff>
      <xdr:row>40</xdr:row>
      <xdr:rowOff>119185</xdr:rowOff>
    </xdr:to>
    <xdr:sp macro="" textlink="">
      <xdr:nvSpPr>
        <xdr:cNvPr id="19" name="Rectangle 18">
          <a:extLst>
            <a:ext uri="{FF2B5EF4-FFF2-40B4-BE49-F238E27FC236}">
              <a16:creationId xmlns:a16="http://schemas.microsoft.com/office/drawing/2014/main" id="{A84BF838-963B-7A88-1064-8845B02A13F5}"/>
            </a:ext>
          </a:extLst>
        </xdr:cNvPr>
        <xdr:cNvSpPr/>
      </xdr:nvSpPr>
      <xdr:spPr>
        <a:xfrm>
          <a:off x="2608384" y="4994031"/>
          <a:ext cx="4290645" cy="2549769"/>
        </a:xfrm>
        <a:prstGeom prst="rect">
          <a:avLst/>
        </a:prstGeom>
        <a:solidFill>
          <a:srgbClr val="0F76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547078</xdr:colOff>
      <xdr:row>12</xdr:row>
      <xdr:rowOff>17584</xdr:rowOff>
    </xdr:from>
    <xdr:to>
      <xdr:col>20</xdr:col>
      <xdr:colOff>517764</xdr:colOff>
      <xdr:row>25</xdr:row>
      <xdr:rowOff>154353</xdr:rowOff>
    </xdr:to>
    <xdr:sp macro="" textlink="">
      <xdr:nvSpPr>
        <xdr:cNvPr id="21" name="Rectangle 20">
          <a:extLst>
            <a:ext uri="{FF2B5EF4-FFF2-40B4-BE49-F238E27FC236}">
              <a16:creationId xmlns:a16="http://schemas.microsoft.com/office/drawing/2014/main" id="{C6B96B1B-12E4-ACB2-AE1F-6F83B3EAD72F}"/>
            </a:ext>
          </a:extLst>
        </xdr:cNvPr>
        <xdr:cNvSpPr/>
      </xdr:nvSpPr>
      <xdr:spPr>
        <a:xfrm>
          <a:off x="7815386" y="2244969"/>
          <a:ext cx="4816224" cy="2549769"/>
        </a:xfrm>
        <a:prstGeom prst="rect">
          <a:avLst/>
        </a:prstGeom>
        <a:solidFill>
          <a:srgbClr val="0F76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138726</xdr:colOff>
      <xdr:row>1</xdr:row>
      <xdr:rowOff>103555</xdr:rowOff>
    </xdr:from>
    <xdr:to>
      <xdr:col>19</xdr:col>
      <xdr:colOff>566614</xdr:colOff>
      <xdr:row>4</xdr:row>
      <xdr:rowOff>166078</xdr:rowOff>
    </xdr:to>
    <xdr:sp macro="" textlink="">
      <xdr:nvSpPr>
        <xdr:cNvPr id="22" name="Rectangle 21">
          <a:extLst>
            <a:ext uri="{FF2B5EF4-FFF2-40B4-BE49-F238E27FC236}">
              <a16:creationId xmlns:a16="http://schemas.microsoft.com/office/drawing/2014/main" id="{0E096609-A297-024D-57D6-0B231ED2A996}"/>
            </a:ext>
          </a:extLst>
        </xdr:cNvPr>
        <xdr:cNvSpPr/>
      </xdr:nvSpPr>
      <xdr:spPr>
        <a:xfrm>
          <a:off x="2561495" y="289170"/>
          <a:ext cx="9513273" cy="619370"/>
        </a:xfrm>
        <a:prstGeom prst="rect">
          <a:avLst/>
        </a:prstGeom>
        <a:solidFill>
          <a:srgbClr val="0F76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117231</xdr:colOff>
      <xdr:row>0</xdr:row>
      <xdr:rowOff>126999</xdr:rowOff>
    </xdr:from>
    <xdr:to>
      <xdr:col>29</xdr:col>
      <xdr:colOff>332153</xdr:colOff>
      <xdr:row>41</xdr:row>
      <xdr:rowOff>48845</xdr:rowOff>
    </xdr:to>
    <xdr:sp macro="" textlink="">
      <xdr:nvSpPr>
        <xdr:cNvPr id="2" name="Rectangle 1">
          <a:extLst>
            <a:ext uri="{FF2B5EF4-FFF2-40B4-BE49-F238E27FC236}">
              <a16:creationId xmlns:a16="http://schemas.microsoft.com/office/drawing/2014/main" id="{EB1FCE80-F248-4B22-84A8-B898A660D34C}"/>
            </a:ext>
          </a:extLst>
        </xdr:cNvPr>
        <xdr:cNvSpPr/>
      </xdr:nvSpPr>
      <xdr:spPr>
        <a:xfrm>
          <a:off x="117231" y="126999"/>
          <a:ext cx="17893322" cy="7419926"/>
        </a:xfrm>
        <a:prstGeom prst="rect">
          <a:avLst/>
        </a:prstGeom>
        <a:solidFill>
          <a:srgbClr val="0F766E">
            <a:alpha val="2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214923</xdr:colOff>
      <xdr:row>1</xdr:row>
      <xdr:rowOff>19539</xdr:rowOff>
    </xdr:from>
    <xdr:to>
      <xdr:col>3</xdr:col>
      <xdr:colOff>557846</xdr:colOff>
      <xdr:row>40</xdr:row>
      <xdr:rowOff>156308</xdr:rowOff>
    </xdr:to>
    <xdr:sp macro="" textlink="">
      <xdr:nvSpPr>
        <xdr:cNvPr id="3" name="Rectangle 2">
          <a:extLst>
            <a:ext uri="{FF2B5EF4-FFF2-40B4-BE49-F238E27FC236}">
              <a16:creationId xmlns:a16="http://schemas.microsoft.com/office/drawing/2014/main" id="{12C73E51-B734-4844-8CF9-31BDA48BD642}"/>
            </a:ext>
          </a:extLst>
        </xdr:cNvPr>
        <xdr:cNvSpPr/>
      </xdr:nvSpPr>
      <xdr:spPr>
        <a:xfrm>
          <a:off x="214923" y="202419"/>
          <a:ext cx="2171723" cy="7269089"/>
        </a:xfrm>
        <a:prstGeom prst="rect">
          <a:avLst/>
        </a:prstGeom>
        <a:solidFill>
          <a:srgbClr val="0F76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64481</xdr:colOff>
      <xdr:row>5</xdr:row>
      <xdr:rowOff>156307</xdr:rowOff>
    </xdr:from>
    <xdr:to>
      <xdr:col>8</xdr:col>
      <xdr:colOff>0</xdr:colOff>
      <xdr:row>11</xdr:row>
      <xdr:rowOff>29307</xdr:rowOff>
    </xdr:to>
    <xdr:sp macro="" textlink="">
      <xdr:nvSpPr>
        <xdr:cNvPr id="4" name="Rectangle 3">
          <a:extLst>
            <a:ext uri="{FF2B5EF4-FFF2-40B4-BE49-F238E27FC236}">
              <a16:creationId xmlns:a16="http://schemas.microsoft.com/office/drawing/2014/main" id="{8F9C7055-529B-4E27-AAFE-FE1D9917363A}"/>
            </a:ext>
          </a:extLst>
        </xdr:cNvPr>
        <xdr:cNvSpPr/>
      </xdr:nvSpPr>
      <xdr:spPr>
        <a:xfrm>
          <a:off x="2487250" y="1084384"/>
          <a:ext cx="2358288" cy="986692"/>
        </a:xfrm>
        <a:prstGeom prst="rect">
          <a:avLst/>
        </a:prstGeom>
        <a:solidFill>
          <a:srgbClr val="0F76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78153</xdr:colOff>
      <xdr:row>1</xdr:row>
      <xdr:rowOff>29308</xdr:rowOff>
    </xdr:from>
    <xdr:to>
      <xdr:col>21</xdr:col>
      <xdr:colOff>126999</xdr:colOff>
      <xdr:row>4</xdr:row>
      <xdr:rowOff>166078</xdr:rowOff>
    </xdr:to>
    <xdr:sp macro="" textlink="">
      <xdr:nvSpPr>
        <xdr:cNvPr id="14" name="Rectangle 13">
          <a:extLst>
            <a:ext uri="{FF2B5EF4-FFF2-40B4-BE49-F238E27FC236}">
              <a16:creationId xmlns:a16="http://schemas.microsoft.com/office/drawing/2014/main" id="{D53EE7FD-2054-494B-B43A-C87AAEB301F8}"/>
            </a:ext>
          </a:extLst>
        </xdr:cNvPr>
        <xdr:cNvSpPr/>
      </xdr:nvSpPr>
      <xdr:spPr>
        <a:xfrm>
          <a:off x="2500922" y="214923"/>
          <a:ext cx="10345615" cy="693617"/>
        </a:xfrm>
        <a:prstGeom prst="rect">
          <a:avLst/>
        </a:prstGeom>
        <a:solidFill>
          <a:srgbClr val="0F76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Africa's Top 250 Companies: Market Value &amp; Performance (2022)</a:t>
          </a:r>
          <a:endParaRPr lang="en-NG" sz="2400" b="1"/>
        </a:p>
      </xdr:txBody>
    </xdr:sp>
    <xdr:clientData/>
  </xdr:twoCellAnchor>
  <xdr:twoCellAnchor>
    <xdr:from>
      <xdr:col>21</xdr:col>
      <xdr:colOff>283308</xdr:colOff>
      <xdr:row>1</xdr:row>
      <xdr:rowOff>19539</xdr:rowOff>
    </xdr:from>
    <xdr:to>
      <xdr:col>29</xdr:col>
      <xdr:colOff>223325</xdr:colOff>
      <xdr:row>26</xdr:row>
      <xdr:rowOff>78155</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B1F15B54-5FC9-4A2D-BAAE-B23D2407E1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3084908" y="202419"/>
              <a:ext cx="4816817" cy="4630616"/>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50806</xdr:colOff>
      <xdr:row>11</xdr:row>
      <xdr:rowOff>143021</xdr:rowOff>
    </xdr:from>
    <xdr:to>
      <xdr:col>12</xdr:col>
      <xdr:colOff>254001</xdr:colOff>
      <xdr:row>26</xdr:row>
      <xdr:rowOff>97692</xdr:rowOff>
    </xdr:to>
    <xdr:graphicFrame macro="">
      <xdr:nvGraphicFramePr>
        <xdr:cNvPr id="17" name="Chart 16">
          <a:extLst>
            <a:ext uri="{FF2B5EF4-FFF2-40B4-BE49-F238E27FC236}">
              <a16:creationId xmlns:a16="http://schemas.microsoft.com/office/drawing/2014/main" id="{3872A92D-E1E9-4317-8E93-B40C69C52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371231</xdr:colOff>
      <xdr:row>11</xdr:row>
      <xdr:rowOff>150838</xdr:rowOff>
    </xdr:from>
    <xdr:to>
      <xdr:col>21</xdr:col>
      <xdr:colOff>146539</xdr:colOff>
      <xdr:row>26</xdr:row>
      <xdr:rowOff>97694</xdr:rowOff>
    </xdr:to>
    <xdr:graphicFrame macro="">
      <xdr:nvGraphicFramePr>
        <xdr:cNvPr id="18" name="Chart 17">
          <a:extLst>
            <a:ext uri="{FF2B5EF4-FFF2-40B4-BE49-F238E27FC236}">
              <a16:creationId xmlns:a16="http://schemas.microsoft.com/office/drawing/2014/main" id="{EB8188EC-29A1-4515-A07A-7998ED225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54709</xdr:colOff>
      <xdr:row>27</xdr:row>
      <xdr:rowOff>18756</xdr:rowOff>
    </xdr:from>
    <xdr:to>
      <xdr:col>11</xdr:col>
      <xdr:colOff>312617</xdr:colOff>
      <xdr:row>40</xdr:row>
      <xdr:rowOff>117231</xdr:rowOff>
    </xdr:to>
    <xdr:graphicFrame macro="">
      <xdr:nvGraphicFramePr>
        <xdr:cNvPr id="19" name="Chart 18">
          <a:extLst>
            <a:ext uri="{FF2B5EF4-FFF2-40B4-BE49-F238E27FC236}">
              <a16:creationId xmlns:a16="http://schemas.microsoft.com/office/drawing/2014/main" id="{9907C850-E786-4965-B4C7-744313A82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425942</xdr:colOff>
      <xdr:row>27</xdr:row>
      <xdr:rowOff>19538</xdr:rowOff>
    </xdr:from>
    <xdr:to>
      <xdr:col>19</xdr:col>
      <xdr:colOff>537308</xdr:colOff>
      <xdr:row>40</xdr:row>
      <xdr:rowOff>126999</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9EAE242C-0975-47A2-89F0-AE3EB1C934B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131542" y="4957298"/>
              <a:ext cx="4988166" cy="2484901"/>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78153</xdr:colOff>
      <xdr:row>27</xdr:row>
      <xdr:rowOff>29308</xdr:rowOff>
    </xdr:from>
    <xdr:to>
      <xdr:col>29</xdr:col>
      <xdr:colOff>205154</xdr:colOff>
      <xdr:row>40</xdr:row>
      <xdr:rowOff>138140</xdr:rowOff>
    </xdr:to>
    <xdr:graphicFrame macro="">
      <xdr:nvGraphicFramePr>
        <xdr:cNvPr id="21" name="Chart 20">
          <a:extLst>
            <a:ext uri="{FF2B5EF4-FFF2-40B4-BE49-F238E27FC236}">
              <a16:creationId xmlns:a16="http://schemas.microsoft.com/office/drawing/2014/main" id="{210665CA-37CE-42A8-946A-431C98E2C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xdr:row>
      <xdr:rowOff>133512</xdr:rowOff>
    </xdr:from>
    <xdr:to>
      <xdr:col>2</xdr:col>
      <xdr:colOff>381001</xdr:colOff>
      <xdr:row>7</xdr:row>
      <xdr:rowOff>29308</xdr:rowOff>
    </xdr:to>
    <xdr:pic>
      <xdr:nvPicPr>
        <xdr:cNvPr id="23" name="Picture 22">
          <a:extLst>
            <a:ext uri="{FF2B5EF4-FFF2-40B4-BE49-F238E27FC236}">
              <a16:creationId xmlns:a16="http://schemas.microsoft.com/office/drawing/2014/main" id="{720EEBB5-B10A-8ED7-C789-F6E10B46EA0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319127"/>
          <a:ext cx="1592386" cy="1009489"/>
        </a:xfrm>
        <a:prstGeom prst="rect">
          <a:avLst/>
        </a:prstGeom>
      </xdr:spPr>
    </xdr:pic>
    <xdr:clientData/>
  </xdr:twoCellAnchor>
  <xdr:twoCellAnchor>
    <xdr:from>
      <xdr:col>11</xdr:col>
      <xdr:colOff>468922</xdr:colOff>
      <xdr:row>27</xdr:row>
      <xdr:rowOff>39077</xdr:rowOff>
    </xdr:from>
    <xdr:to>
      <xdr:col>15</xdr:col>
      <xdr:colOff>244229</xdr:colOff>
      <xdr:row>28</xdr:row>
      <xdr:rowOff>146538</xdr:rowOff>
    </xdr:to>
    <xdr:sp macro="" textlink="">
      <xdr:nvSpPr>
        <xdr:cNvPr id="24" name="TextBox 23">
          <a:extLst>
            <a:ext uri="{FF2B5EF4-FFF2-40B4-BE49-F238E27FC236}">
              <a16:creationId xmlns:a16="http://schemas.microsoft.com/office/drawing/2014/main" id="{9DF3CAF3-D0B8-AA6B-4127-DAF46AC5AB3D}"/>
            </a:ext>
          </a:extLst>
        </xdr:cNvPr>
        <xdr:cNvSpPr txBox="1"/>
      </xdr:nvSpPr>
      <xdr:spPr>
        <a:xfrm>
          <a:off x="7131537" y="5050692"/>
          <a:ext cx="2198077" cy="2930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F766E"/>
              </a:solidFill>
            </a:rPr>
            <a:t>MARKET CAP BY COMPANY</a:t>
          </a:r>
          <a:endParaRPr lang="en-NG" sz="1400" b="1">
            <a:solidFill>
              <a:srgbClr val="0F766E"/>
            </a:solidFill>
          </a:endParaRPr>
        </a:p>
      </xdr:txBody>
    </xdr:sp>
    <xdr:clientData/>
  </xdr:twoCellAnchor>
  <xdr:twoCellAnchor>
    <xdr:from>
      <xdr:col>21</xdr:col>
      <xdr:colOff>298939</xdr:colOff>
      <xdr:row>1</xdr:row>
      <xdr:rowOff>54710</xdr:rowOff>
    </xdr:from>
    <xdr:to>
      <xdr:col>25</xdr:col>
      <xdr:colOff>74246</xdr:colOff>
      <xdr:row>2</xdr:row>
      <xdr:rowOff>162171</xdr:rowOff>
    </xdr:to>
    <xdr:sp macro="" textlink="">
      <xdr:nvSpPr>
        <xdr:cNvPr id="25" name="TextBox 24">
          <a:extLst>
            <a:ext uri="{FF2B5EF4-FFF2-40B4-BE49-F238E27FC236}">
              <a16:creationId xmlns:a16="http://schemas.microsoft.com/office/drawing/2014/main" id="{A6EB55D4-B92D-83E7-A256-EF62F0E5EA87}"/>
            </a:ext>
          </a:extLst>
        </xdr:cNvPr>
        <xdr:cNvSpPr txBox="1"/>
      </xdr:nvSpPr>
      <xdr:spPr>
        <a:xfrm>
          <a:off x="13018477" y="240325"/>
          <a:ext cx="2198077" cy="2930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400" b="1" i="0" baseline="0">
              <a:solidFill>
                <a:srgbClr val="0F766E"/>
              </a:solidFill>
              <a:effectLst/>
              <a:latin typeface="+mn-lt"/>
              <a:ea typeface="+mn-ea"/>
              <a:cs typeface="+mn-cs"/>
            </a:rPr>
            <a:t>TOP COUNTRIES BY MCAP</a:t>
          </a:r>
          <a:endParaRPr lang="en-NG" sz="1400" b="1">
            <a:solidFill>
              <a:srgbClr val="0F766E"/>
            </a:solidFill>
            <a:effectLst/>
          </a:endParaRPr>
        </a:p>
      </xdr:txBody>
    </xdr:sp>
    <xdr:clientData/>
  </xdr:twoCellAnchor>
  <xdr:twoCellAnchor>
    <xdr:from>
      <xdr:col>1</xdr:col>
      <xdr:colOff>508000</xdr:colOff>
      <xdr:row>2</xdr:row>
      <xdr:rowOff>58613</xdr:rowOff>
    </xdr:from>
    <xdr:to>
      <xdr:col>3</xdr:col>
      <xdr:colOff>527539</xdr:colOff>
      <xdr:row>7</xdr:row>
      <xdr:rowOff>29305</xdr:rowOff>
    </xdr:to>
    <xdr:sp macro="" textlink="">
      <xdr:nvSpPr>
        <xdr:cNvPr id="26" name="TextBox 25">
          <a:extLst>
            <a:ext uri="{FF2B5EF4-FFF2-40B4-BE49-F238E27FC236}">
              <a16:creationId xmlns:a16="http://schemas.microsoft.com/office/drawing/2014/main" id="{910BBA6D-10E4-2582-EE74-EC69AF2C36E2}"/>
            </a:ext>
          </a:extLst>
        </xdr:cNvPr>
        <xdr:cNvSpPr txBox="1"/>
      </xdr:nvSpPr>
      <xdr:spPr>
        <a:xfrm>
          <a:off x="1113692" y="429844"/>
          <a:ext cx="1230924" cy="898769"/>
        </a:xfrm>
        <a:prstGeom prst="rect">
          <a:avLst/>
        </a:prstGeom>
        <a:solidFill>
          <a:srgbClr val="0F766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Aptos Display" panose="020B0004020202020204" pitchFamily="34" charset="0"/>
            </a:rPr>
            <a:t>FOCUS</a:t>
          </a:r>
        </a:p>
        <a:p>
          <a:r>
            <a:rPr lang="en-US" sz="1600" b="1">
              <a:solidFill>
                <a:schemeClr val="bg1"/>
              </a:solidFill>
              <a:latin typeface="Aptos Display" panose="020B0004020202020204" pitchFamily="34" charset="0"/>
            </a:rPr>
            <a:t>ANALYTICS</a:t>
          </a:r>
          <a:endParaRPr lang="en-NG" sz="1600" b="1">
            <a:solidFill>
              <a:schemeClr val="bg1"/>
            </a:solidFill>
            <a:latin typeface="Aptos Display" panose="020B0004020202020204" pitchFamily="34" charset="0"/>
          </a:endParaRPr>
        </a:p>
      </xdr:txBody>
    </xdr:sp>
    <xdr:clientData/>
  </xdr:twoCellAnchor>
  <xdr:twoCellAnchor>
    <xdr:from>
      <xdr:col>15</xdr:col>
      <xdr:colOff>410307</xdr:colOff>
      <xdr:row>11</xdr:row>
      <xdr:rowOff>156309</xdr:rowOff>
    </xdr:from>
    <xdr:to>
      <xdr:col>21</xdr:col>
      <xdr:colOff>97693</xdr:colOff>
      <xdr:row>14</xdr:row>
      <xdr:rowOff>48848</xdr:rowOff>
    </xdr:to>
    <xdr:sp macro="" textlink="">
      <xdr:nvSpPr>
        <xdr:cNvPr id="28" name="TextBox 27">
          <a:extLst>
            <a:ext uri="{FF2B5EF4-FFF2-40B4-BE49-F238E27FC236}">
              <a16:creationId xmlns:a16="http://schemas.microsoft.com/office/drawing/2014/main" id="{B8C42609-1AB3-B32E-D33F-FC907A5DB12D}"/>
            </a:ext>
          </a:extLst>
        </xdr:cNvPr>
        <xdr:cNvSpPr txBox="1"/>
      </xdr:nvSpPr>
      <xdr:spPr>
        <a:xfrm>
          <a:off x="9495692" y="2198078"/>
          <a:ext cx="3321539" cy="449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solidFill>
                <a:srgbClr val="0F766E"/>
              </a:solidFill>
            </a:rPr>
            <a:t>Naspers and Fawry each lost over half their value in a single year — the two steepest declines on the entire list.</a:t>
          </a:r>
          <a:endParaRPr lang="en-NG" sz="1100">
            <a:solidFill>
              <a:srgbClr val="0F766E"/>
            </a:solidFill>
          </a:endParaRPr>
        </a:p>
      </xdr:txBody>
    </xdr:sp>
    <xdr:clientData/>
  </xdr:twoCellAnchor>
  <xdr:twoCellAnchor>
    <xdr:from>
      <xdr:col>8</xdr:col>
      <xdr:colOff>195383</xdr:colOff>
      <xdr:row>27</xdr:row>
      <xdr:rowOff>5864</xdr:rowOff>
    </xdr:from>
    <xdr:to>
      <xdr:col>11</xdr:col>
      <xdr:colOff>328243</xdr:colOff>
      <xdr:row>31</xdr:row>
      <xdr:rowOff>48848</xdr:rowOff>
    </xdr:to>
    <xdr:sp macro="" textlink="">
      <xdr:nvSpPr>
        <xdr:cNvPr id="29" name="TextBox 28">
          <a:extLst>
            <a:ext uri="{FF2B5EF4-FFF2-40B4-BE49-F238E27FC236}">
              <a16:creationId xmlns:a16="http://schemas.microsoft.com/office/drawing/2014/main" id="{E554141E-627D-A76D-6996-CB2EC54BBA2F}"/>
            </a:ext>
          </a:extLst>
        </xdr:cNvPr>
        <xdr:cNvSpPr txBox="1"/>
      </xdr:nvSpPr>
      <xdr:spPr>
        <a:xfrm>
          <a:off x="5040921" y="5017479"/>
          <a:ext cx="1949937" cy="785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solidFill>
                <a:srgbClr val="0F766E"/>
              </a:solidFill>
            </a:rPr>
            <a:t>Finance and Non-Energy Materials together hold 62% of total market value — the other 9 sectors share just 38%.</a:t>
          </a:r>
          <a:endParaRPr lang="en-NG" sz="1100">
            <a:solidFill>
              <a:srgbClr val="0F766E"/>
            </a:solidFill>
          </a:endParaRPr>
        </a:p>
      </xdr:txBody>
    </xdr:sp>
    <xdr:clientData/>
  </xdr:twoCellAnchor>
  <xdr:twoCellAnchor>
    <xdr:from>
      <xdr:col>15</xdr:col>
      <xdr:colOff>435703</xdr:colOff>
      <xdr:row>26</xdr:row>
      <xdr:rowOff>171940</xdr:rowOff>
    </xdr:from>
    <xdr:to>
      <xdr:col>19</xdr:col>
      <xdr:colOff>595918</xdr:colOff>
      <xdr:row>29</xdr:row>
      <xdr:rowOff>97693</xdr:rowOff>
    </xdr:to>
    <xdr:sp macro="" textlink="">
      <xdr:nvSpPr>
        <xdr:cNvPr id="30" name="TextBox 29">
          <a:extLst>
            <a:ext uri="{FF2B5EF4-FFF2-40B4-BE49-F238E27FC236}">
              <a16:creationId xmlns:a16="http://schemas.microsoft.com/office/drawing/2014/main" id="{4864F32B-B6C9-69D5-2A3D-5CD8103E548A}"/>
            </a:ext>
          </a:extLst>
        </xdr:cNvPr>
        <xdr:cNvSpPr txBox="1"/>
      </xdr:nvSpPr>
      <xdr:spPr>
        <a:xfrm>
          <a:off x="9521088" y="4997940"/>
          <a:ext cx="2582984" cy="482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solidFill>
                <a:srgbClr val="0F766E"/>
              </a:solidFill>
            </a:rPr>
            <a:t>Naspers alone is worth more than the next three companies combined.</a:t>
          </a:r>
          <a:endParaRPr lang="en-NG" sz="1100">
            <a:solidFill>
              <a:srgbClr val="0F766E"/>
            </a:solidFill>
          </a:endParaRPr>
        </a:p>
      </xdr:txBody>
    </xdr:sp>
    <xdr:clientData/>
  </xdr:twoCellAnchor>
  <xdr:twoCellAnchor>
    <xdr:from>
      <xdr:col>24</xdr:col>
      <xdr:colOff>214917</xdr:colOff>
      <xdr:row>26</xdr:row>
      <xdr:rowOff>148496</xdr:rowOff>
    </xdr:from>
    <xdr:to>
      <xdr:col>29</xdr:col>
      <xdr:colOff>380994</xdr:colOff>
      <xdr:row>30</xdr:row>
      <xdr:rowOff>146539</xdr:rowOff>
    </xdr:to>
    <xdr:sp macro="" textlink="">
      <xdr:nvSpPr>
        <xdr:cNvPr id="31" name="TextBox 30">
          <a:extLst>
            <a:ext uri="{FF2B5EF4-FFF2-40B4-BE49-F238E27FC236}">
              <a16:creationId xmlns:a16="http://schemas.microsoft.com/office/drawing/2014/main" id="{E60968CB-8D5E-E50F-52D2-C284C3F92CA6}"/>
            </a:ext>
          </a:extLst>
        </xdr:cNvPr>
        <xdr:cNvSpPr txBox="1"/>
      </xdr:nvSpPr>
      <xdr:spPr>
        <a:xfrm>
          <a:off x="14751532" y="4974496"/>
          <a:ext cx="3194539" cy="740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solidFill>
                <a:srgbClr val="0F766E"/>
              </a:solidFill>
            </a:rPr>
            <a:t>Finance's margin (30%) is nearly triple Consumer Cyclicals' (6%) — the biggest sector is also by far the most efficient.</a:t>
          </a:r>
          <a:endParaRPr lang="en-NG" sz="1100">
            <a:solidFill>
              <a:srgbClr val="0F766E"/>
            </a:solidFill>
          </a:endParaRPr>
        </a:p>
      </xdr:txBody>
    </xdr:sp>
    <xdr:clientData/>
  </xdr:twoCellAnchor>
  <xdr:twoCellAnchor>
    <xdr:from>
      <xdr:col>25</xdr:col>
      <xdr:colOff>273536</xdr:colOff>
      <xdr:row>1</xdr:row>
      <xdr:rowOff>5865</xdr:rowOff>
    </xdr:from>
    <xdr:to>
      <xdr:col>29</xdr:col>
      <xdr:colOff>205152</xdr:colOff>
      <xdr:row>5</xdr:row>
      <xdr:rowOff>97695</xdr:rowOff>
    </xdr:to>
    <xdr:sp macro="" textlink="">
      <xdr:nvSpPr>
        <xdr:cNvPr id="32" name="TextBox 31">
          <a:extLst>
            <a:ext uri="{FF2B5EF4-FFF2-40B4-BE49-F238E27FC236}">
              <a16:creationId xmlns:a16="http://schemas.microsoft.com/office/drawing/2014/main" id="{4DAB4081-88DF-BC2B-2E6D-853EB9A16D8A}"/>
            </a:ext>
          </a:extLst>
        </xdr:cNvPr>
        <xdr:cNvSpPr txBox="1"/>
      </xdr:nvSpPr>
      <xdr:spPr>
        <a:xfrm>
          <a:off x="15415844" y="191480"/>
          <a:ext cx="2354385" cy="834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solidFill>
                <a:srgbClr val="0F766E"/>
              </a:solidFill>
            </a:rPr>
            <a:t>South Africa alone holds $488bn of the $701bn total — nearly 70% of all corporate value on the continent.</a:t>
          </a:r>
          <a:endParaRPr lang="en-NG" sz="1100">
            <a:solidFill>
              <a:srgbClr val="0F766E"/>
            </a:solidFill>
          </a:endParaRPr>
        </a:p>
      </xdr:txBody>
    </xdr:sp>
    <xdr:clientData/>
  </xdr:twoCellAnchor>
  <xdr:twoCellAnchor>
    <xdr:from>
      <xdr:col>4</xdr:col>
      <xdr:colOff>138728</xdr:colOff>
      <xdr:row>5</xdr:row>
      <xdr:rowOff>93784</xdr:rowOff>
    </xdr:from>
    <xdr:to>
      <xdr:col>8</xdr:col>
      <xdr:colOff>74247</xdr:colOff>
      <xdr:row>10</xdr:row>
      <xdr:rowOff>152399</xdr:rowOff>
    </xdr:to>
    <xdr:sp macro="" textlink="">
      <xdr:nvSpPr>
        <xdr:cNvPr id="33" name="Rectangle 32">
          <a:extLst>
            <a:ext uri="{FF2B5EF4-FFF2-40B4-BE49-F238E27FC236}">
              <a16:creationId xmlns:a16="http://schemas.microsoft.com/office/drawing/2014/main" id="{0F68B819-48FD-6239-5946-299E09AE9F93}"/>
            </a:ext>
          </a:extLst>
        </xdr:cNvPr>
        <xdr:cNvSpPr/>
      </xdr:nvSpPr>
      <xdr:spPr>
        <a:xfrm>
          <a:off x="2561497" y="1021861"/>
          <a:ext cx="2358288" cy="98669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107463</xdr:colOff>
      <xdr:row>5</xdr:row>
      <xdr:rowOff>156307</xdr:rowOff>
    </xdr:from>
    <xdr:to>
      <xdr:col>5</xdr:col>
      <xdr:colOff>527540</xdr:colOff>
      <xdr:row>10</xdr:row>
      <xdr:rowOff>97691</xdr:rowOff>
    </xdr:to>
    <xdr:sp macro="" textlink="">
      <xdr:nvSpPr>
        <xdr:cNvPr id="34" name="TextBox 33">
          <a:extLst>
            <a:ext uri="{FF2B5EF4-FFF2-40B4-BE49-F238E27FC236}">
              <a16:creationId xmlns:a16="http://schemas.microsoft.com/office/drawing/2014/main" id="{02DB6EB4-BF7F-C38C-3CE7-C6D3EB476824}"/>
            </a:ext>
          </a:extLst>
        </xdr:cNvPr>
        <xdr:cNvSpPr txBox="1"/>
      </xdr:nvSpPr>
      <xdr:spPr>
        <a:xfrm>
          <a:off x="2530232" y="1084384"/>
          <a:ext cx="1025770" cy="869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F766E"/>
              </a:solidFill>
            </a:rPr>
            <a:t>TOTAL</a:t>
          </a:r>
        </a:p>
        <a:p>
          <a:r>
            <a:rPr lang="en-US" sz="1400" b="1">
              <a:solidFill>
                <a:srgbClr val="0F766E"/>
              </a:solidFill>
            </a:rPr>
            <a:t>MARKET</a:t>
          </a:r>
        </a:p>
        <a:p>
          <a:r>
            <a:rPr lang="en-US" sz="1400" b="1">
              <a:solidFill>
                <a:srgbClr val="0F766E"/>
              </a:solidFill>
            </a:rPr>
            <a:t>CAP</a:t>
          </a:r>
          <a:endParaRPr lang="en-NG" sz="1400" b="1">
            <a:solidFill>
              <a:srgbClr val="0F766E"/>
            </a:solidFill>
          </a:endParaRPr>
        </a:p>
      </xdr:txBody>
    </xdr:sp>
    <xdr:clientData/>
  </xdr:twoCellAnchor>
  <xdr:twoCellAnchor>
    <xdr:from>
      <xdr:col>5</xdr:col>
      <xdr:colOff>478692</xdr:colOff>
      <xdr:row>5</xdr:row>
      <xdr:rowOff>146538</xdr:rowOff>
    </xdr:from>
    <xdr:to>
      <xdr:col>7</xdr:col>
      <xdr:colOff>498231</xdr:colOff>
      <xdr:row>10</xdr:row>
      <xdr:rowOff>9769</xdr:rowOff>
    </xdr:to>
    <xdr:sp macro="" textlink="">
      <xdr:nvSpPr>
        <xdr:cNvPr id="35" name="TextBox 34">
          <a:extLst>
            <a:ext uri="{FF2B5EF4-FFF2-40B4-BE49-F238E27FC236}">
              <a16:creationId xmlns:a16="http://schemas.microsoft.com/office/drawing/2014/main" id="{87572B1E-5BB0-8221-F448-5F31703FAC53}"/>
            </a:ext>
          </a:extLst>
        </xdr:cNvPr>
        <xdr:cNvSpPr txBox="1"/>
      </xdr:nvSpPr>
      <xdr:spPr>
        <a:xfrm>
          <a:off x="3507154" y="1074615"/>
          <a:ext cx="1230923" cy="7913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400" b="1">
              <a:solidFill>
                <a:srgbClr val="0F766E"/>
              </a:solidFill>
            </a:rPr>
            <a:t>$701bn</a:t>
          </a:r>
          <a:endParaRPr lang="en-NG" sz="2400" b="1">
            <a:solidFill>
              <a:srgbClr val="0F766E"/>
            </a:solidFill>
          </a:endParaRPr>
        </a:p>
      </xdr:txBody>
    </xdr:sp>
    <xdr:clientData/>
  </xdr:twoCellAnchor>
  <xdr:twoCellAnchor>
    <xdr:from>
      <xdr:col>8</xdr:col>
      <xdr:colOff>295036</xdr:colOff>
      <xdr:row>5</xdr:row>
      <xdr:rowOff>152399</xdr:rowOff>
    </xdr:from>
    <xdr:to>
      <xdr:col>12</xdr:col>
      <xdr:colOff>230554</xdr:colOff>
      <xdr:row>11</xdr:row>
      <xdr:rowOff>25399</xdr:rowOff>
    </xdr:to>
    <xdr:sp macro="" textlink="">
      <xdr:nvSpPr>
        <xdr:cNvPr id="61" name="Rectangle 60">
          <a:extLst>
            <a:ext uri="{FF2B5EF4-FFF2-40B4-BE49-F238E27FC236}">
              <a16:creationId xmlns:a16="http://schemas.microsoft.com/office/drawing/2014/main" id="{FEC6DCFC-D2CF-8E53-E0CE-9BF8D733D23D}"/>
            </a:ext>
          </a:extLst>
        </xdr:cNvPr>
        <xdr:cNvSpPr/>
      </xdr:nvSpPr>
      <xdr:spPr>
        <a:xfrm>
          <a:off x="5140574" y="1080476"/>
          <a:ext cx="2358288" cy="986692"/>
        </a:xfrm>
        <a:prstGeom prst="rect">
          <a:avLst/>
        </a:prstGeom>
        <a:solidFill>
          <a:srgbClr val="0F76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359514</xdr:colOff>
      <xdr:row>5</xdr:row>
      <xdr:rowOff>89876</xdr:rowOff>
    </xdr:from>
    <xdr:to>
      <xdr:col>12</xdr:col>
      <xdr:colOff>295032</xdr:colOff>
      <xdr:row>10</xdr:row>
      <xdr:rowOff>148491</xdr:rowOff>
    </xdr:to>
    <xdr:sp macro="" textlink="">
      <xdr:nvSpPr>
        <xdr:cNvPr id="62" name="Rectangle 61">
          <a:extLst>
            <a:ext uri="{FF2B5EF4-FFF2-40B4-BE49-F238E27FC236}">
              <a16:creationId xmlns:a16="http://schemas.microsoft.com/office/drawing/2014/main" id="{CF2A750F-6CF9-B4A7-DD2B-2D3D6E00543E}"/>
            </a:ext>
          </a:extLst>
        </xdr:cNvPr>
        <xdr:cNvSpPr/>
      </xdr:nvSpPr>
      <xdr:spPr>
        <a:xfrm>
          <a:off x="5205052" y="1017953"/>
          <a:ext cx="2358288" cy="98669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535361</xdr:colOff>
      <xdr:row>5</xdr:row>
      <xdr:rowOff>148492</xdr:rowOff>
    </xdr:from>
    <xdr:to>
      <xdr:col>16</xdr:col>
      <xdr:colOff>470880</xdr:colOff>
      <xdr:row>11</xdr:row>
      <xdr:rowOff>21492</xdr:rowOff>
    </xdr:to>
    <xdr:sp macro="" textlink="">
      <xdr:nvSpPr>
        <xdr:cNvPr id="63" name="Rectangle 62">
          <a:extLst>
            <a:ext uri="{FF2B5EF4-FFF2-40B4-BE49-F238E27FC236}">
              <a16:creationId xmlns:a16="http://schemas.microsoft.com/office/drawing/2014/main" id="{39963330-B428-7F5D-F5A0-EFACA8358256}"/>
            </a:ext>
          </a:extLst>
        </xdr:cNvPr>
        <xdr:cNvSpPr/>
      </xdr:nvSpPr>
      <xdr:spPr>
        <a:xfrm>
          <a:off x="7803669" y="1076569"/>
          <a:ext cx="2358288" cy="986692"/>
        </a:xfrm>
        <a:prstGeom prst="rect">
          <a:avLst/>
        </a:prstGeom>
        <a:solidFill>
          <a:srgbClr val="0F76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3916</xdr:colOff>
      <xdr:row>5</xdr:row>
      <xdr:rowOff>76200</xdr:rowOff>
    </xdr:from>
    <xdr:to>
      <xdr:col>16</xdr:col>
      <xdr:colOff>545127</xdr:colOff>
      <xdr:row>10</xdr:row>
      <xdr:rowOff>134815</xdr:rowOff>
    </xdr:to>
    <xdr:sp macro="" textlink="">
      <xdr:nvSpPr>
        <xdr:cNvPr id="64" name="Rectangle 63">
          <a:extLst>
            <a:ext uri="{FF2B5EF4-FFF2-40B4-BE49-F238E27FC236}">
              <a16:creationId xmlns:a16="http://schemas.microsoft.com/office/drawing/2014/main" id="{E9BD8F40-EA02-BFA3-F69C-C160B470F3DB}"/>
            </a:ext>
          </a:extLst>
        </xdr:cNvPr>
        <xdr:cNvSpPr/>
      </xdr:nvSpPr>
      <xdr:spPr>
        <a:xfrm>
          <a:off x="7877916" y="1004277"/>
          <a:ext cx="2358288" cy="98669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17</xdr:col>
      <xdr:colOff>121143</xdr:colOff>
      <xdr:row>5</xdr:row>
      <xdr:rowOff>144585</xdr:rowOff>
    </xdr:from>
    <xdr:to>
      <xdr:col>21</xdr:col>
      <xdr:colOff>56662</xdr:colOff>
      <xdr:row>11</xdr:row>
      <xdr:rowOff>17585</xdr:rowOff>
    </xdr:to>
    <xdr:sp macro="" textlink="">
      <xdr:nvSpPr>
        <xdr:cNvPr id="65" name="Rectangle 64">
          <a:extLst>
            <a:ext uri="{FF2B5EF4-FFF2-40B4-BE49-F238E27FC236}">
              <a16:creationId xmlns:a16="http://schemas.microsoft.com/office/drawing/2014/main" id="{FC1A2005-B51E-DCDC-C5C4-1FF2AA71C29E}"/>
            </a:ext>
          </a:extLst>
        </xdr:cNvPr>
        <xdr:cNvSpPr/>
      </xdr:nvSpPr>
      <xdr:spPr>
        <a:xfrm>
          <a:off x="10417912" y="1072662"/>
          <a:ext cx="2358288" cy="986692"/>
        </a:xfrm>
        <a:prstGeom prst="rect">
          <a:avLst/>
        </a:prstGeom>
        <a:solidFill>
          <a:srgbClr val="0F76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17</xdr:col>
      <xdr:colOff>195390</xdr:colOff>
      <xdr:row>5</xdr:row>
      <xdr:rowOff>82062</xdr:rowOff>
    </xdr:from>
    <xdr:to>
      <xdr:col>21</xdr:col>
      <xdr:colOff>130909</xdr:colOff>
      <xdr:row>10</xdr:row>
      <xdr:rowOff>140677</xdr:rowOff>
    </xdr:to>
    <xdr:sp macro="" textlink="">
      <xdr:nvSpPr>
        <xdr:cNvPr id="66" name="Rectangle 65">
          <a:extLst>
            <a:ext uri="{FF2B5EF4-FFF2-40B4-BE49-F238E27FC236}">
              <a16:creationId xmlns:a16="http://schemas.microsoft.com/office/drawing/2014/main" id="{C6264BBB-2A34-E14E-8941-3FE5852DE3EF}"/>
            </a:ext>
          </a:extLst>
        </xdr:cNvPr>
        <xdr:cNvSpPr/>
      </xdr:nvSpPr>
      <xdr:spPr>
        <a:xfrm>
          <a:off x="10492159" y="1010139"/>
          <a:ext cx="2358288" cy="98669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328247</xdr:colOff>
      <xdr:row>5</xdr:row>
      <xdr:rowOff>142630</xdr:rowOff>
    </xdr:from>
    <xdr:to>
      <xdr:col>10</xdr:col>
      <xdr:colOff>263770</xdr:colOff>
      <xdr:row>10</xdr:row>
      <xdr:rowOff>84014</xdr:rowOff>
    </xdr:to>
    <xdr:sp macro="" textlink="">
      <xdr:nvSpPr>
        <xdr:cNvPr id="67" name="TextBox 66">
          <a:extLst>
            <a:ext uri="{FF2B5EF4-FFF2-40B4-BE49-F238E27FC236}">
              <a16:creationId xmlns:a16="http://schemas.microsoft.com/office/drawing/2014/main" id="{D4049603-5F99-0E5C-E3DC-8B48B455DADA}"/>
            </a:ext>
          </a:extLst>
        </xdr:cNvPr>
        <xdr:cNvSpPr txBox="1"/>
      </xdr:nvSpPr>
      <xdr:spPr>
        <a:xfrm>
          <a:off x="5173785" y="1070707"/>
          <a:ext cx="1146908" cy="869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F766E"/>
              </a:solidFill>
            </a:rPr>
            <a:t>TOTAL</a:t>
          </a:r>
        </a:p>
        <a:p>
          <a:r>
            <a:rPr lang="en-US" sz="1400" b="1">
              <a:solidFill>
                <a:srgbClr val="0F766E"/>
              </a:solidFill>
            </a:rPr>
            <a:t>COMPANIES</a:t>
          </a:r>
        </a:p>
        <a:p>
          <a:r>
            <a:rPr lang="en-US" sz="1400" b="1">
              <a:solidFill>
                <a:srgbClr val="0F766E"/>
              </a:solidFill>
            </a:rPr>
            <a:t>TRACKED</a:t>
          </a:r>
          <a:endParaRPr lang="en-NG" sz="1400" b="1">
            <a:solidFill>
              <a:srgbClr val="0F766E"/>
            </a:solidFill>
          </a:endParaRPr>
        </a:p>
      </xdr:txBody>
    </xdr:sp>
    <xdr:clientData/>
  </xdr:twoCellAnchor>
  <xdr:twoCellAnchor>
    <xdr:from>
      <xdr:col>18</xdr:col>
      <xdr:colOff>537306</xdr:colOff>
      <xdr:row>5</xdr:row>
      <xdr:rowOff>87923</xdr:rowOff>
    </xdr:from>
    <xdr:to>
      <xdr:col>21</xdr:col>
      <xdr:colOff>107460</xdr:colOff>
      <xdr:row>10</xdr:row>
      <xdr:rowOff>84014</xdr:rowOff>
    </xdr:to>
    <xdr:sp macro="" textlink="">
      <xdr:nvSpPr>
        <xdr:cNvPr id="68" name="TextBox 67">
          <a:extLst>
            <a:ext uri="{FF2B5EF4-FFF2-40B4-BE49-F238E27FC236}">
              <a16:creationId xmlns:a16="http://schemas.microsoft.com/office/drawing/2014/main" id="{0FAC4865-592D-B5C6-E4F8-A6838A500BB4}"/>
            </a:ext>
          </a:extLst>
        </xdr:cNvPr>
        <xdr:cNvSpPr txBox="1"/>
      </xdr:nvSpPr>
      <xdr:spPr>
        <a:xfrm>
          <a:off x="11439768" y="1016000"/>
          <a:ext cx="1387230" cy="9241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400" b="1">
              <a:solidFill>
                <a:srgbClr val="0F766E"/>
              </a:solidFill>
            </a:rPr>
            <a:t>Finance 34.8%</a:t>
          </a:r>
          <a:endParaRPr lang="en-NG" sz="2400" b="1">
            <a:solidFill>
              <a:srgbClr val="0F766E"/>
            </a:solidFill>
          </a:endParaRPr>
        </a:p>
      </xdr:txBody>
    </xdr:sp>
    <xdr:clientData/>
  </xdr:twoCellAnchor>
  <xdr:twoCellAnchor>
    <xdr:from>
      <xdr:col>12</xdr:col>
      <xdr:colOff>558799</xdr:colOff>
      <xdr:row>5</xdr:row>
      <xdr:rowOff>138723</xdr:rowOff>
    </xdr:from>
    <xdr:to>
      <xdr:col>14</xdr:col>
      <xdr:colOff>390767</xdr:colOff>
      <xdr:row>10</xdr:row>
      <xdr:rowOff>80107</xdr:rowOff>
    </xdr:to>
    <xdr:sp macro="" textlink="">
      <xdr:nvSpPr>
        <xdr:cNvPr id="69" name="TextBox 68">
          <a:extLst>
            <a:ext uri="{FF2B5EF4-FFF2-40B4-BE49-F238E27FC236}">
              <a16:creationId xmlns:a16="http://schemas.microsoft.com/office/drawing/2014/main" id="{3A4CF5FF-34CD-8FFD-DCED-6D2FCF6E823A}"/>
            </a:ext>
          </a:extLst>
        </xdr:cNvPr>
        <xdr:cNvSpPr txBox="1"/>
      </xdr:nvSpPr>
      <xdr:spPr>
        <a:xfrm>
          <a:off x="7827107" y="1066800"/>
          <a:ext cx="1043352" cy="869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F766E"/>
              </a:solidFill>
            </a:rPr>
            <a:t>TOP COUNTRY </a:t>
          </a:r>
        </a:p>
        <a:p>
          <a:r>
            <a:rPr lang="en-US" sz="1400" b="1">
              <a:solidFill>
                <a:srgbClr val="0F766E"/>
              </a:solidFill>
            </a:rPr>
            <a:t>BY MCAP</a:t>
          </a:r>
          <a:endParaRPr lang="en-NG" sz="1400" b="1">
            <a:solidFill>
              <a:srgbClr val="0F766E"/>
            </a:solidFill>
          </a:endParaRPr>
        </a:p>
      </xdr:txBody>
    </xdr:sp>
    <xdr:clientData/>
  </xdr:twoCellAnchor>
  <xdr:twoCellAnchor>
    <xdr:from>
      <xdr:col>14</xdr:col>
      <xdr:colOff>275492</xdr:colOff>
      <xdr:row>5</xdr:row>
      <xdr:rowOff>99645</xdr:rowOff>
    </xdr:from>
    <xdr:to>
      <xdr:col>16</xdr:col>
      <xdr:colOff>556845</xdr:colOff>
      <xdr:row>10</xdr:row>
      <xdr:rowOff>78153</xdr:rowOff>
    </xdr:to>
    <xdr:sp macro="" textlink="">
      <xdr:nvSpPr>
        <xdr:cNvPr id="70" name="TextBox 69">
          <a:extLst>
            <a:ext uri="{FF2B5EF4-FFF2-40B4-BE49-F238E27FC236}">
              <a16:creationId xmlns:a16="http://schemas.microsoft.com/office/drawing/2014/main" id="{741908B2-AC61-AF16-E7E5-59EF3573AD0C}"/>
            </a:ext>
          </a:extLst>
        </xdr:cNvPr>
        <xdr:cNvSpPr txBox="1"/>
      </xdr:nvSpPr>
      <xdr:spPr>
        <a:xfrm>
          <a:off x="8755184" y="1027722"/>
          <a:ext cx="1492738" cy="906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000" b="1">
              <a:solidFill>
                <a:srgbClr val="0F766E"/>
              </a:solidFill>
            </a:rPr>
            <a:t>South Africa</a:t>
          </a:r>
          <a:br>
            <a:rPr lang="en-US" sz="2000">
              <a:solidFill>
                <a:srgbClr val="0F766E"/>
              </a:solidFill>
            </a:rPr>
          </a:br>
          <a:r>
            <a:rPr lang="en-US" sz="2000" b="1">
              <a:solidFill>
                <a:srgbClr val="0F766E"/>
              </a:solidFill>
            </a:rPr>
            <a:t>69.7%</a:t>
          </a:r>
          <a:endParaRPr lang="en-NG" sz="2000" b="1">
            <a:solidFill>
              <a:srgbClr val="0F766E"/>
            </a:solidFill>
          </a:endParaRPr>
        </a:p>
      </xdr:txBody>
    </xdr:sp>
    <xdr:clientData/>
  </xdr:twoCellAnchor>
  <xdr:twoCellAnchor>
    <xdr:from>
      <xdr:col>17</xdr:col>
      <xdr:colOff>154354</xdr:colOff>
      <xdr:row>5</xdr:row>
      <xdr:rowOff>164123</xdr:rowOff>
    </xdr:from>
    <xdr:to>
      <xdr:col>18</xdr:col>
      <xdr:colOff>592013</xdr:colOff>
      <xdr:row>10</xdr:row>
      <xdr:rowOff>105507</xdr:rowOff>
    </xdr:to>
    <xdr:sp macro="" textlink="">
      <xdr:nvSpPr>
        <xdr:cNvPr id="71" name="TextBox 70">
          <a:extLst>
            <a:ext uri="{FF2B5EF4-FFF2-40B4-BE49-F238E27FC236}">
              <a16:creationId xmlns:a16="http://schemas.microsoft.com/office/drawing/2014/main" id="{41A0EE7E-881E-8C31-9428-56EF51B2593E}"/>
            </a:ext>
          </a:extLst>
        </xdr:cNvPr>
        <xdr:cNvSpPr txBox="1"/>
      </xdr:nvSpPr>
      <xdr:spPr>
        <a:xfrm>
          <a:off x="10451123" y="1092200"/>
          <a:ext cx="1043352" cy="869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F766E"/>
              </a:solidFill>
            </a:rPr>
            <a:t>TOP </a:t>
          </a:r>
        </a:p>
        <a:p>
          <a:r>
            <a:rPr lang="en-US" sz="1400" b="1">
              <a:solidFill>
                <a:srgbClr val="0F766E"/>
              </a:solidFill>
            </a:rPr>
            <a:t>SECTOR </a:t>
          </a:r>
        </a:p>
        <a:p>
          <a:r>
            <a:rPr lang="en-US" sz="1400" b="1">
              <a:solidFill>
                <a:srgbClr val="0F766E"/>
              </a:solidFill>
            </a:rPr>
            <a:t>BY MCAP</a:t>
          </a:r>
          <a:endParaRPr lang="en-NG" sz="1400" b="1">
            <a:solidFill>
              <a:srgbClr val="0F766E"/>
            </a:solidFill>
          </a:endParaRPr>
        </a:p>
      </xdr:txBody>
    </xdr:sp>
    <xdr:clientData/>
  </xdr:twoCellAnchor>
  <xdr:twoCellAnchor>
    <xdr:from>
      <xdr:col>10</xdr:col>
      <xdr:colOff>396630</xdr:colOff>
      <xdr:row>5</xdr:row>
      <xdr:rowOff>132862</xdr:rowOff>
    </xdr:from>
    <xdr:to>
      <xdr:col>12</xdr:col>
      <xdr:colOff>126999</xdr:colOff>
      <xdr:row>9</xdr:row>
      <xdr:rowOff>181709</xdr:rowOff>
    </xdr:to>
    <xdr:sp macro="" textlink="">
      <xdr:nvSpPr>
        <xdr:cNvPr id="72" name="TextBox 71">
          <a:extLst>
            <a:ext uri="{FF2B5EF4-FFF2-40B4-BE49-F238E27FC236}">
              <a16:creationId xmlns:a16="http://schemas.microsoft.com/office/drawing/2014/main" id="{5BD80574-8935-4C08-29A7-C3D44A61CFE1}"/>
            </a:ext>
          </a:extLst>
        </xdr:cNvPr>
        <xdr:cNvSpPr txBox="1"/>
      </xdr:nvSpPr>
      <xdr:spPr>
        <a:xfrm>
          <a:off x="6453553" y="1060939"/>
          <a:ext cx="941754" cy="7913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400" b="1">
              <a:solidFill>
                <a:srgbClr val="0F766E"/>
              </a:solidFill>
            </a:rPr>
            <a:t>250</a:t>
          </a:r>
          <a:endParaRPr lang="en-NG" sz="2400" b="1">
            <a:solidFill>
              <a:srgbClr val="0F766E"/>
            </a:solidFill>
          </a:endParaRPr>
        </a:p>
      </xdr:txBody>
    </xdr:sp>
    <xdr:clientData/>
  </xdr:twoCellAnchor>
  <xdr:twoCellAnchor>
    <xdr:from>
      <xdr:col>0</xdr:col>
      <xdr:colOff>341923</xdr:colOff>
      <xdr:row>7</xdr:row>
      <xdr:rowOff>87923</xdr:rowOff>
    </xdr:from>
    <xdr:to>
      <xdr:col>3</xdr:col>
      <xdr:colOff>439615</xdr:colOff>
      <xdr:row>10</xdr:row>
      <xdr:rowOff>48846</xdr:rowOff>
    </xdr:to>
    <xdr:sp macro="" textlink="">
      <xdr:nvSpPr>
        <xdr:cNvPr id="74" name="Rectangle 73">
          <a:extLst>
            <a:ext uri="{FF2B5EF4-FFF2-40B4-BE49-F238E27FC236}">
              <a16:creationId xmlns:a16="http://schemas.microsoft.com/office/drawing/2014/main" id="{C88D1180-C2B6-4042-6924-FCF47434AC34}"/>
            </a:ext>
          </a:extLst>
        </xdr:cNvPr>
        <xdr:cNvSpPr/>
      </xdr:nvSpPr>
      <xdr:spPr>
        <a:xfrm>
          <a:off x="341923" y="1387231"/>
          <a:ext cx="1914769" cy="51776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254005</xdr:colOff>
      <xdr:row>7</xdr:row>
      <xdr:rowOff>175847</xdr:rowOff>
    </xdr:from>
    <xdr:to>
      <xdr:col>3</xdr:col>
      <xdr:colOff>195389</xdr:colOff>
      <xdr:row>10</xdr:row>
      <xdr:rowOff>39078</xdr:rowOff>
    </xdr:to>
    <xdr:sp macro="" textlink="">
      <xdr:nvSpPr>
        <xdr:cNvPr id="73" name="TextBox 72">
          <a:extLst>
            <a:ext uri="{FF2B5EF4-FFF2-40B4-BE49-F238E27FC236}">
              <a16:creationId xmlns:a16="http://schemas.microsoft.com/office/drawing/2014/main" id="{298CA34A-9C09-B3BD-80A3-795416929C9E}"/>
            </a:ext>
          </a:extLst>
        </xdr:cNvPr>
        <xdr:cNvSpPr txBox="1"/>
      </xdr:nvSpPr>
      <xdr:spPr>
        <a:xfrm>
          <a:off x="859697" y="1475155"/>
          <a:ext cx="1152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rgbClr val="0F766E"/>
              </a:solidFill>
            </a:rPr>
            <a:t>Dashboard</a:t>
          </a:r>
          <a:endParaRPr lang="en-NG" sz="1400" b="0">
            <a:solidFill>
              <a:srgbClr val="0F766E"/>
            </a:solidFill>
          </a:endParaRPr>
        </a:p>
      </xdr:txBody>
    </xdr:sp>
    <xdr:clientData/>
  </xdr:twoCellAnchor>
  <xdr:twoCellAnchor editAs="oneCell">
    <xdr:from>
      <xdr:col>0</xdr:col>
      <xdr:colOff>420078</xdr:colOff>
      <xdr:row>7</xdr:row>
      <xdr:rowOff>68386</xdr:rowOff>
    </xdr:from>
    <xdr:to>
      <xdr:col>1</xdr:col>
      <xdr:colOff>302689</xdr:colOff>
      <xdr:row>9</xdr:row>
      <xdr:rowOff>156307</xdr:rowOff>
    </xdr:to>
    <xdr:pic>
      <xdr:nvPicPr>
        <xdr:cNvPr id="76" name="Graphic 75" descr="Gauge with solid fill">
          <a:extLst>
            <a:ext uri="{FF2B5EF4-FFF2-40B4-BE49-F238E27FC236}">
              <a16:creationId xmlns:a16="http://schemas.microsoft.com/office/drawing/2014/main" id="{E9BFF841-363A-0CE2-C14F-A2222652821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20078" y="1367694"/>
          <a:ext cx="488303" cy="459151"/>
        </a:xfrm>
        <a:prstGeom prst="rect">
          <a:avLst/>
        </a:prstGeom>
      </xdr:spPr>
    </xdr:pic>
    <xdr:clientData/>
  </xdr:twoCellAnchor>
  <xdr:twoCellAnchor>
    <xdr:from>
      <xdr:col>0</xdr:col>
      <xdr:colOff>410309</xdr:colOff>
      <xdr:row>10</xdr:row>
      <xdr:rowOff>181710</xdr:rowOff>
    </xdr:from>
    <xdr:to>
      <xdr:col>3</xdr:col>
      <xdr:colOff>312617</xdr:colOff>
      <xdr:row>13</xdr:row>
      <xdr:rowOff>44941</xdr:rowOff>
    </xdr:to>
    <xdr:sp macro="" textlink="">
      <xdr:nvSpPr>
        <xdr:cNvPr id="78" name="TextBox 77">
          <a:hlinkClick xmlns:r="http://schemas.openxmlformats.org/officeDocument/2006/relationships" r:id="rId10"/>
          <a:extLst>
            <a:ext uri="{FF2B5EF4-FFF2-40B4-BE49-F238E27FC236}">
              <a16:creationId xmlns:a16="http://schemas.microsoft.com/office/drawing/2014/main" id="{A04BD505-C50C-D34B-8B98-A1A038C38981}"/>
            </a:ext>
          </a:extLst>
        </xdr:cNvPr>
        <xdr:cNvSpPr txBox="1"/>
      </xdr:nvSpPr>
      <xdr:spPr>
        <a:xfrm>
          <a:off x="410309" y="2037864"/>
          <a:ext cx="1719385"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bg1"/>
              </a:solidFill>
            </a:rPr>
            <a:t>Pre Analysis</a:t>
          </a:r>
          <a:r>
            <a:rPr lang="en-US" sz="1400" b="0" baseline="0">
              <a:solidFill>
                <a:schemeClr val="bg1"/>
              </a:solidFill>
            </a:rPr>
            <a:t> Board</a:t>
          </a:r>
          <a:endParaRPr lang="en-NG" sz="1400" b="0">
            <a:solidFill>
              <a:schemeClr val="bg1"/>
            </a:solidFill>
          </a:endParaRPr>
        </a:p>
      </xdr:txBody>
    </xdr:sp>
    <xdr:clientData/>
  </xdr:twoCellAnchor>
  <xdr:twoCellAnchor>
    <xdr:from>
      <xdr:col>0</xdr:col>
      <xdr:colOff>380999</xdr:colOff>
      <xdr:row>13</xdr:row>
      <xdr:rowOff>138723</xdr:rowOff>
    </xdr:from>
    <xdr:to>
      <xdr:col>3</xdr:col>
      <xdr:colOff>420076</xdr:colOff>
      <xdr:row>16</xdr:row>
      <xdr:rowOff>1954</xdr:rowOff>
    </xdr:to>
    <xdr:sp macro="" textlink="">
      <xdr:nvSpPr>
        <xdr:cNvPr id="79" name="TextBox 78">
          <a:hlinkClick xmlns:r="http://schemas.openxmlformats.org/officeDocument/2006/relationships" r:id="rId11"/>
          <a:extLst>
            <a:ext uri="{FF2B5EF4-FFF2-40B4-BE49-F238E27FC236}">
              <a16:creationId xmlns:a16="http://schemas.microsoft.com/office/drawing/2014/main" id="{662205B2-7D44-95D4-198A-79E8D8BA2E47}"/>
            </a:ext>
          </a:extLst>
        </xdr:cNvPr>
        <xdr:cNvSpPr txBox="1"/>
      </xdr:nvSpPr>
      <xdr:spPr>
        <a:xfrm>
          <a:off x="380999" y="2551723"/>
          <a:ext cx="1856154"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bg1"/>
              </a:solidFill>
            </a:rPr>
            <a:t>Post Analysis</a:t>
          </a:r>
          <a:r>
            <a:rPr lang="en-US" sz="1400" b="0" baseline="0">
              <a:solidFill>
                <a:schemeClr val="bg1"/>
              </a:solidFill>
            </a:rPr>
            <a:t> Board</a:t>
          </a:r>
          <a:endParaRPr lang="en-NG" sz="1400" b="0">
            <a:solidFill>
              <a:schemeClr val="bg1"/>
            </a:solidFill>
          </a:endParaRPr>
        </a:p>
      </xdr:txBody>
    </xdr:sp>
    <xdr:clientData/>
  </xdr:twoCellAnchor>
  <xdr:twoCellAnchor>
    <xdr:from>
      <xdr:col>0</xdr:col>
      <xdr:colOff>357552</xdr:colOff>
      <xdr:row>16</xdr:row>
      <xdr:rowOff>144587</xdr:rowOff>
    </xdr:from>
    <xdr:to>
      <xdr:col>3</xdr:col>
      <xdr:colOff>396629</xdr:colOff>
      <xdr:row>19</xdr:row>
      <xdr:rowOff>7818</xdr:rowOff>
    </xdr:to>
    <xdr:sp macro="" textlink="">
      <xdr:nvSpPr>
        <xdr:cNvPr id="80" name="TextBox 79">
          <a:hlinkClick xmlns:r="http://schemas.openxmlformats.org/officeDocument/2006/relationships" r:id="rId12"/>
          <a:extLst>
            <a:ext uri="{FF2B5EF4-FFF2-40B4-BE49-F238E27FC236}">
              <a16:creationId xmlns:a16="http://schemas.microsoft.com/office/drawing/2014/main" id="{4FC4DB1F-F036-D588-C727-303FD8EDE099}"/>
            </a:ext>
          </a:extLst>
        </xdr:cNvPr>
        <xdr:cNvSpPr txBox="1"/>
      </xdr:nvSpPr>
      <xdr:spPr>
        <a:xfrm>
          <a:off x="357552" y="3114433"/>
          <a:ext cx="1856154"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baseline="0">
              <a:solidFill>
                <a:schemeClr val="bg1"/>
              </a:solidFill>
            </a:rPr>
            <a:t>Recommendations</a:t>
          </a:r>
          <a:endParaRPr lang="en-NG" sz="1400" b="0">
            <a:solidFill>
              <a:schemeClr val="bg1"/>
            </a:solidFill>
          </a:endParaRPr>
        </a:p>
      </xdr:txBody>
    </xdr:sp>
    <xdr:clientData/>
  </xdr:twoCellAnchor>
  <xdr:twoCellAnchor editAs="oneCell">
    <xdr:from>
      <xdr:col>0</xdr:col>
      <xdr:colOff>325511</xdr:colOff>
      <xdr:row>23</xdr:row>
      <xdr:rowOff>19537</xdr:rowOff>
    </xdr:from>
    <xdr:to>
      <xdr:col>3</xdr:col>
      <xdr:colOff>449386</xdr:colOff>
      <xdr:row>26</xdr:row>
      <xdr:rowOff>127000</xdr:rowOff>
    </xdr:to>
    <mc:AlternateContent xmlns:mc="http://schemas.openxmlformats.org/markup-compatibility/2006" xmlns:a14="http://schemas.microsoft.com/office/drawing/2010/main">
      <mc:Choice Requires="a14">
        <xdr:graphicFrame macro="">
          <xdr:nvGraphicFramePr>
            <xdr:cNvPr id="81" name="Country">
              <a:extLst>
                <a:ext uri="{FF2B5EF4-FFF2-40B4-BE49-F238E27FC236}">
                  <a16:creationId xmlns:a16="http://schemas.microsoft.com/office/drawing/2014/main" id="{C0EE01F0-538A-AEEF-8390-D395722E3E0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25511" y="4288691"/>
              <a:ext cx="1940952" cy="66430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214923</xdr:colOff>
      <xdr:row>20</xdr:row>
      <xdr:rowOff>180731</xdr:rowOff>
    </xdr:from>
    <xdr:to>
      <xdr:col>3</xdr:col>
      <xdr:colOff>557846</xdr:colOff>
      <xdr:row>20</xdr:row>
      <xdr:rowOff>180731</xdr:rowOff>
    </xdr:to>
    <xdr:cxnSp macro="">
      <xdr:nvCxnSpPr>
        <xdr:cNvPr id="83" name="Straight Connector 82">
          <a:extLst>
            <a:ext uri="{FF2B5EF4-FFF2-40B4-BE49-F238E27FC236}">
              <a16:creationId xmlns:a16="http://schemas.microsoft.com/office/drawing/2014/main" id="{C5F97925-BF66-E381-3636-920C5C815623}"/>
            </a:ext>
          </a:extLst>
        </xdr:cNvPr>
        <xdr:cNvCxnSpPr>
          <a:stCxn id="3" idx="1"/>
          <a:endCxn id="3" idx="3"/>
        </xdr:cNvCxnSpPr>
      </xdr:nvCxnSpPr>
      <xdr:spPr>
        <a:xfrm>
          <a:off x="214923" y="3893039"/>
          <a:ext cx="2160000" cy="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335278</xdr:colOff>
      <xdr:row>28</xdr:row>
      <xdr:rowOff>97693</xdr:rowOff>
    </xdr:from>
    <xdr:to>
      <xdr:col>3</xdr:col>
      <xdr:colOff>458601</xdr:colOff>
      <xdr:row>32</xdr:row>
      <xdr:rowOff>48846</xdr:rowOff>
    </xdr:to>
    <mc:AlternateContent xmlns:mc="http://schemas.openxmlformats.org/markup-compatibility/2006" xmlns:a14="http://schemas.microsoft.com/office/drawing/2010/main">
      <mc:Choice Requires="a14">
        <xdr:graphicFrame macro="">
          <xdr:nvGraphicFramePr>
            <xdr:cNvPr id="84" name="Sector">
              <a:extLst>
                <a:ext uri="{FF2B5EF4-FFF2-40B4-BE49-F238E27FC236}">
                  <a16:creationId xmlns:a16="http://schemas.microsoft.com/office/drawing/2014/main" id="{B8A5A619-776A-11BF-99FA-74200726B3B6}"/>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335278" y="5294924"/>
              <a:ext cx="1940400" cy="69361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211015</xdr:colOff>
      <xdr:row>34</xdr:row>
      <xdr:rowOff>127978</xdr:rowOff>
    </xdr:from>
    <xdr:to>
      <xdr:col>3</xdr:col>
      <xdr:colOff>553938</xdr:colOff>
      <xdr:row>34</xdr:row>
      <xdr:rowOff>127978</xdr:rowOff>
    </xdr:to>
    <xdr:cxnSp macro="">
      <xdr:nvCxnSpPr>
        <xdr:cNvPr id="85" name="Straight Connector 84">
          <a:extLst>
            <a:ext uri="{FF2B5EF4-FFF2-40B4-BE49-F238E27FC236}">
              <a16:creationId xmlns:a16="http://schemas.microsoft.com/office/drawing/2014/main" id="{306CDC15-20B9-43DD-2AB8-45723E0AF5A0}"/>
            </a:ext>
          </a:extLst>
        </xdr:cNvPr>
        <xdr:cNvCxnSpPr/>
      </xdr:nvCxnSpPr>
      <xdr:spPr>
        <a:xfrm>
          <a:off x="211015" y="6438901"/>
          <a:ext cx="2160000" cy="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9.xml><?xml version="1.0" encoding="utf-8"?>
<c:userShapes xmlns:c="http://schemas.openxmlformats.org/drawingml/2006/chart">
  <cdr:relSizeAnchor xmlns:cdr="http://schemas.openxmlformats.org/drawingml/2006/chartDrawing">
    <cdr:from>
      <cdr:x>0.3829</cdr:x>
      <cdr:y>0</cdr:y>
    </cdr:from>
    <cdr:to>
      <cdr:x>1</cdr:x>
      <cdr:y>0.24255</cdr:y>
    </cdr:to>
    <cdr:sp macro="" textlink="">
      <cdr:nvSpPr>
        <cdr:cNvPr id="2" name="TextBox 1">
          <a:extLst xmlns:a="http://schemas.openxmlformats.org/drawingml/2006/main">
            <a:ext uri="{FF2B5EF4-FFF2-40B4-BE49-F238E27FC236}">
              <a16:creationId xmlns:a16="http://schemas.microsoft.com/office/drawing/2014/main" id="{1759378D-601B-4AEE-8DE2-34243C338906}"/>
            </a:ext>
          </a:extLst>
        </cdr:cNvPr>
        <cdr:cNvSpPr txBox="1"/>
      </cdr:nvSpPr>
      <cdr:spPr>
        <a:xfrm xmlns:a="http://schemas.openxmlformats.org/drawingml/2006/main">
          <a:off x="1951888" y="0"/>
          <a:ext cx="3145691" cy="66430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a:solidFill>
                <a:srgbClr val="0F766E"/>
              </a:solidFill>
            </a:rPr>
            <a:t>Medtech Holdings excluded — its 2021 base value was too small, making its % growth figure misleading</a:t>
          </a:r>
          <a:endParaRPr lang="en-NG" sz="1100">
            <a:solidFill>
              <a:srgbClr val="0F766E"/>
            </a:solidFill>
          </a:endParaRPr>
        </a:p>
      </cdr:txBody>
    </cdr:sp>
  </cdr:relSizeAnchor>
</c:userShapes>
</file>

<file path=xl/drawings/drawing10.xml><?xml version="1.0" encoding="utf-8"?>
<xdr:wsDr xmlns:xdr="http://schemas.openxmlformats.org/drawingml/2006/spreadsheetDrawing" xmlns:a="http://schemas.openxmlformats.org/drawingml/2006/main">
  <xdr:twoCellAnchor>
    <xdr:from>
      <xdr:col>0</xdr:col>
      <xdr:colOff>114300</xdr:colOff>
      <xdr:row>0</xdr:row>
      <xdr:rowOff>60960</xdr:rowOff>
    </xdr:from>
    <xdr:to>
      <xdr:col>7</xdr:col>
      <xdr:colOff>499533</xdr:colOff>
      <xdr:row>34</xdr:row>
      <xdr:rowOff>83820</xdr:rowOff>
    </xdr:to>
    <xdr:sp macro="" textlink="">
      <xdr:nvSpPr>
        <xdr:cNvPr id="2" name="Rectangle 1">
          <a:extLst>
            <a:ext uri="{FF2B5EF4-FFF2-40B4-BE49-F238E27FC236}">
              <a16:creationId xmlns:a16="http://schemas.microsoft.com/office/drawing/2014/main" id="{E1036E8B-26B7-5230-F8D7-6948EE4265AA}"/>
            </a:ext>
          </a:extLst>
        </xdr:cNvPr>
        <xdr:cNvSpPr/>
      </xdr:nvSpPr>
      <xdr:spPr>
        <a:xfrm>
          <a:off x="114300" y="60960"/>
          <a:ext cx="4652433" cy="6355927"/>
        </a:xfrm>
        <a:prstGeom prst="rect">
          <a:avLst/>
        </a:prstGeom>
        <a:solidFill>
          <a:srgbClr val="0F76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Independent Values</a:t>
          </a:r>
        </a:p>
        <a:p>
          <a:pPr algn="l"/>
          <a:r>
            <a:rPr lang="en-US" sz="1100" b="0"/>
            <a:t>1. Company</a:t>
          </a:r>
        </a:p>
        <a:p>
          <a:pPr algn="l"/>
          <a:r>
            <a:rPr lang="en-US" sz="1100" b="0"/>
            <a:t>2. Country</a:t>
          </a:r>
        </a:p>
        <a:p>
          <a:pPr algn="l"/>
          <a:r>
            <a:rPr lang="en-US" sz="1100" b="0"/>
            <a:t>3.</a:t>
          </a:r>
          <a:r>
            <a:rPr lang="en-US" sz="1100" b="0" baseline="0"/>
            <a:t> Sector</a:t>
          </a:r>
          <a:endParaRPr lang="en-US" sz="1100" b="0"/>
        </a:p>
        <a:p>
          <a:pPr algn="l"/>
          <a:endParaRPr lang="en-US" sz="1100" b="1"/>
        </a:p>
        <a:p>
          <a:pPr algn="l"/>
          <a:r>
            <a:rPr lang="en-US" sz="1100" b="1"/>
            <a:t>Dependent Values</a:t>
          </a:r>
        </a:p>
        <a:p>
          <a:pPr algn="l"/>
          <a:r>
            <a:rPr lang="en-US" sz="1100" b="0"/>
            <a:t>1.</a:t>
          </a:r>
          <a:r>
            <a:rPr lang="en-US" sz="1100" b="0" baseline="0"/>
            <a:t> Market Cap 2021</a:t>
          </a:r>
        </a:p>
        <a:p>
          <a:pPr algn="l"/>
          <a:r>
            <a:rPr lang="en-US" sz="1100" b="0" baseline="0"/>
            <a:t>2. Market Cap 2022</a:t>
          </a:r>
        </a:p>
        <a:p>
          <a:pPr algn="l"/>
          <a:r>
            <a:rPr lang="en-US" sz="1100" b="0" baseline="0"/>
            <a:t>3. Revenue</a:t>
          </a:r>
        </a:p>
        <a:p>
          <a:pPr algn="l"/>
          <a:endParaRPr lang="en-NG" sz="1100" b="0"/>
        </a:p>
      </xdr:txBody>
    </xdr:sp>
    <xdr:clientData/>
  </xdr:twoCellAnchor>
  <xdr:twoCellAnchor>
    <xdr:from>
      <xdr:col>9</xdr:col>
      <xdr:colOff>237066</xdr:colOff>
      <xdr:row>0</xdr:row>
      <xdr:rowOff>71120</xdr:rowOff>
    </xdr:from>
    <xdr:to>
      <xdr:col>16</xdr:col>
      <xdr:colOff>414866</xdr:colOff>
      <xdr:row>34</xdr:row>
      <xdr:rowOff>93979</xdr:rowOff>
    </xdr:to>
    <xdr:sp macro="" textlink="">
      <xdr:nvSpPr>
        <xdr:cNvPr id="3" name="Rectangle 2">
          <a:extLst>
            <a:ext uri="{FF2B5EF4-FFF2-40B4-BE49-F238E27FC236}">
              <a16:creationId xmlns:a16="http://schemas.microsoft.com/office/drawing/2014/main" id="{528B2389-D66A-D742-0F74-5D9F98B91B61}"/>
            </a:ext>
          </a:extLst>
        </xdr:cNvPr>
        <xdr:cNvSpPr/>
      </xdr:nvSpPr>
      <xdr:spPr>
        <a:xfrm>
          <a:off x="5723466" y="71120"/>
          <a:ext cx="4445000" cy="6355926"/>
        </a:xfrm>
        <a:prstGeom prst="rect">
          <a:avLst/>
        </a:prstGeom>
        <a:solidFill>
          <a:srgbClr val="14B8A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Data Story</a:t>
          </a:r>
        </a:p>
        <a:p>
          <a:pPr algn="l"/>
          <a:endParaRPr lang="en-US" sz="1100" b="1"/>
        </a:p>
        <a:p>
          <a:pPr algn="l"/>
          <a:r>
            <a:rPr lang="en-US"/>
            <a:t>This dataset lists Africa's 250 highest-valued companies in 2022, spanning 16 countries and 11 sectors, with market cap, revenue, and profit figures for each. The story I expect to uncover is one of concentration — a small number of countries and sectors likely dominate the continent's corporate value, while newer or smaller markets contribute far less. I also expect to see meaningful movement between 2021 and 2022, with some companies rising sharply and others declining, revealing which sectors are gaining ground versus losing it.</a:t>
          </a:r>
        </a:p>
        <a:p>
          <a:pPr algn="l"/>
          <a:endParaRPr lang="en-US" sz="1100" b="1"/>
        </a:p>
        <a:p>
          <a:pPr algn="l"/>
          <a:r>
            <a:rPr lang="en-US" sz="1100" b="1"/>
            <a:t>Industry</a:t>
          </a:r>
          <a:r>
            <a:rPr lang="en-US" sz="1100" b="1" baseline="0"/>
            <a:t> Type</a:t>
          </a:r>
        </a:p>
        <a:p>
          <a:pPr algn="l"/>
          <a:r>
            <a:rPr lang="en-US"/>
            <a:t>Corporate/Business Intelligence — Multi-Sector</a:t>
          </a:r>
        </a:p>
        <a:p>
          <a:pPr algn="l"/>
          <a:endParaRPr lang="en-US" sz="1100" b="0"/>
        </a:p>
        <a:p>
          <a:pPr algn="l"/>
          <a:r>
            <a:rPr lang="en-US" sz="1100" b="1"/>
            <a:t>What success means to this industry</a:t>
          </a:r>
        </a:p>
        <a:p>
          <a:pPr algn="l"/>
          <a:r>
            <a:rPr lang="en-US"/>
            <a:t>a. Higher market capitalisation (stronger investor confidence and valuation)</a:t>
          </a:r>
          <a:br>
            <a:rPr lang="en-US"/>
          </a:br>
          <a:r>
            <a:rPr lang="en-US"/>
            <a:t>b. Consistent year-over-year growth in ranking and market value (not just size, but upward momentum)</a:t>
          </a:r>
          <a:br>
            <a:rPr lang="en-US"/>
          </a:br>
          <a:r>
            <a:rPr lang="en-US"/>
            <a:t>c. Balanced performance across countries and sectors (reducing over-reliance on one dominant market)</a:t>
          </a:r>
          <a:br>
            <a:rPr lang="en-US"/>
          </a:br>
          <a:r>
            <a:rPr lang="en-US"/>
            <a:t>d. Strong profitability relative to revenue (healthy net margins, not just high turnover)</a:t>
          </a:r>
        </a:p>
        <a:p>
          <a:pPr algn="l"/>
          <a:endParaRPr lang="en-US" sz="1100" b="1"/>
        </a:p>
        <a:p>
          <a:pPr algn="l"/>
          <a:r>
            <a:rPr lang="en-US" sz="1100" b="1"/>
            <a:t>Who will the data be presented to?</a:t>
          </a:r>
        </a:p>
        <a:p>
          <a:pPr algn="l"/>
          <a:r>
            <a:rPr lang="en-US"/>
            <a:t>Investors and Financial Analysts / Business Strategy Teams</a:t>
          </a:r>
          <a:endParaRPr lang="en-NG" sz="1100" b="0"/>
        </a:p>
      </xdr:txBody>
    </xdr:sp>
    <xdr:clientData/>
  </xdr:twoCellAnchor>
  <xdr:twoCellAnchor>
    <xdr:from>
      <xdr:col>17</xdr:col>
      <xdr:colOff>524932</xdr:colOff>
      <xdr:row>0</xdr:row>
      <xdr:rowOff>64346</xdr:rowOff>
    </xdr:from>
    <xdr:to>
      <xdr:col>25</xdr:col>
      <xdr:colOff>388619</xdr:colOff>
      <xdr:row>34</xdr:row>
      <xdr:rowOff>87206</xdr:rowOff>
    </xdr:to>
    <xdr:sp macro="" textlink="">
      <xdr:nvSpPr>
        <xdr:cNvPr id="4" name="Rectangle 3">
          <a:extLst>
            <a:ext uri="{FF2B5EF4-FFF2-40B4-BE49-F238E27FC236}">
              <a16:creationId xmlns:a16="http://schemas.microsoft.com/office/drawing/2014/main" id="{A2640983-3131-C166-58BC-D9FFAE46D256}"/>
            </a:ext>
          </a:extLst>
        </xdr:cNvPr>
        <xdr:cNvSpPr/>
      </xdr:nvSpPr>
      <xdr:spPr>
        <a:xfrm>
          <a:off x="10888132" y="64346"/>
          <a:ext cx="4740487" cy="6355927"/>
        </a:xfrm>
        <a:prstGeom prst="rect">
          <a:avLst/>
        </a:prstGeom>
        <a:solidFill>
          <a:srgbClr val="0F76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Potential Questions / Insights</a:t>
          </a:r>
        </a:p>
        <a:p>
          <a:pPr algn="l"/>
          <a:endParaRPr lang="en-US" sz="1100"/>
        </a:p>
        <a:p>
          <a:pPr rtl="0"/>
          <a:r>
            <a:rPr lang="en-US"/>
            <a:t>a. </a:t>
          </a:r>
          <a:r>
            <a:rPr lang="en-US" b="1"/>
            <a:t>Which countries hold the most market value?</a:t>
          </a:r>
          <a:r>
            <a:rPr lang="en-US"/>
            <a:t> → Bar chart (Country vs. Total Market Cap 2022)</a:t>
          </a:r>
        </a:p>
        <a:p>
          <a:pPr rtl="0"/>
          <a:r>
            <a:rPr lang="en-US"/>
            <a:t>b. </a:t>
          </a:r>
          <a:r>
            <a:rPr lang="en-US" b="1"/>
            <a:t>How is market cap distributed across sectors?</a:t>
          </a:r>
          <a:r>
            <a:rPr lang="en-US"/>
            <a:t> → Pie chart or Treemap (Sector vs. Share of Total Market Cap)</a:t>
          </a:r>
        </a:p>
        <a:p>
          <a:pPr rtl="0"/>
          <a:r>
            <a:rPr lang="en-US"/>
            <a:t>c. </a:t>
          </a:r>
          <a:r>
            <a:rPr lang="en-US" b="1"/>
            <a:t>How did company valuations change from 2021 to 2022?</a:t>
          </a:r>
          <a:r>
            <a:rPr lang="en-US"/>
            <a:t> → Clustered column chart (Market Cap 2021 vs. 2022, top 15–20 companies)</a:t>
          </a:r>
        </a:p>
        <a:p>
          <a:pPr rtl="0"/>
          <a:r>
            <a:rPr lang="en-US"/>
            <a:t>d. </a:t>
          </a:r>
          <a:r>
            <a:rPr lang="en-US" b="1"/>
            <a:t>Which companies/sectors grew or declined the most?</a:t>
          </a:r>
          <a:r>
            <a:rPr lang="en-US"/>
            <a:t> → Horizontal bar chart, sorted (Top 5 Gainers vs. Top 5 Decliners by % growth)</a:t>
          </a:r>
        </a:p>
        <a:p>
          <a:pPr rtl="0"/>
          <a:r>
            <a:rPr lang="en-US"/>
            <a:t>e. </a:t>
          </a:r>
          <a:r>
            <a:rPr lang="en-US" b="1"/>
            <a:t>Is there a relationship between company size and profitability?</a:t>
          </a:r>
          <a:r>
            <a:rPr lang="en-US"/>
            <a:t> → Scatter plot (Revenue vs. Net Income, sized/colored by Sector)</a:t>
          </a:r>
        </a:p>
        <a:p>
          <a:pPr rtl="0"/>
          <a:r>
            <a:rPr lang="en-US"/>
            <a:t>f. </a:t>
          </a:r>
          <a:r>
            <a:rPr lang="en-US" b="1"/>
            <a:t>Which sectors are most profitable relative to their size?</a:t>
          </a:r>
          <a:r>
            <a:rPr lang="en-US"/>
            <a:t> → Bar chart (Average Net Margin % by Sector)</a:t>
          </a:r>
        </a:p>
        <a:p>
          <a:pPr rtl="0"/>
          <a:r>
            <a:rPr lang="en-US"/>
            <a:t>g. </a:t>
          </a:r>
          <a:r>
            <a:rPr lang="en-US" b="1"/>
            <a:t>How concentrated is the market — do a few companies dominate?</a:t>
          </a:r>
          <a:r>
            <a:rPr lang="en-US"/>
            <a:t> → Pareto chart (Cumulative % of Market Cap by Ranked Company)</a:t>
          </a:r>
        </a:p>
        <a:p>
          <a:pPr rtl="0"/>
          <a:r>
            <a:rPr lang="en-US"/>
            <a:t>h. </a:t>
          </a:r>
          <a:r>
            <a:rPr lang="en-US" b="1"/>
            <a:t>How many new companies entered the top 250 in 2022?</a:t>
          </a:r>
          <a:r>
            <a:rPr lang="en-US"/>
            <a:t> → Donut chart or KPI card (New Entrants vs. Returning Companies)</a:t>
          </a:r>
        </a:p>
        <a:p>
          <a:pPr rtl="0"/>
          <a:r>
            <a:rPr lang="en-US"/>
            <a:t>i. </a:t>
          </a:r>
          <a:r>
            <a:rPr lang="en-US" b="1"/>
            <a:t>Which country dominates within each sector?</a:t>
          </a:r>
          <a:r>
            <a:rPr lang="en-US"/>
            <a:t> → Stacked bar chart (Sector vs. Market Cap, broken down by Country)</a:t>
          </a:r>
        </a:p>
        <a:p>
          <a:pPr algn="l"/>
          <a:endParaRPr lang="en-NG"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114300</xdr:colOff>
      <xdr:row>0</xdr:row>
      <xdr:rowOff>60959</xdr:rowOff>
    </xdr:from>
    <xdr:to>
      <xdr:col>28</xdr:col>
      <xdr:colOff>200025</xdr:colOff>
      <xdr:row>60</xdr:row>
      <xdr:rowOff>114300</xdr:rowOff>
    </xdr:to>
    <xdr:sp macro="" textlink="">
      <xdr:nvSpPr>
        <xdr:cNvPr id="2" name="Rectangle 1">
          <a:extLst>
            <a:ext uri="{FF2B5EF4-FFF2-40B4-BE49-F238E27FC236}">
              <a16:creationId xmlns:a16="http://schemas.microsoft.com/office/drawing/2014/main" id="{EAF27904-46CF-47F4-BF88-BA53866F847D}"/>
            </a:ext>
          </a:extLst>
        </xdr:cNvPr>
        <xdr:cNvSpPr/>
      </xdr:nvSpPr>
      <xdr:spPr>
        <a:xfrm>
          <a:off x="114300" y="60959"/>
          <a:ext cx="17154525" cy="10911841"/>
        </a:xfrm>
        <a:prstGeom prst="rect">
          <a:avLst/>
        </a:prstGeom>
        <a:solidFill>
          <a:srgbClr val="0F76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KEY FINDINGS</a:t>
          </a:r>
        </a:p>
        <a:p>
          <a:pPr algn="l"/>
          <a:endParaRPr lang="en-US" sz="1600" b="1"/>
        </a:p>
        <a:p>
          <a:r>
            <a:rPr lang="en-US" sz="1600" b="1"/>
            <a:t>1. Market value is heavily concentrated in one country</a:t>
          </a:r>
          <a:r>
            <a:rPr lang="en-US" sz="1600"/>
            <a:t> South Africa alone accounts for $488bn of the $701bn total — 69.7% of all corporate value across the 250 companies, despite representing only 1 of 16 countries in the dataset. The remaining 15 countries share less than a third of total value.</a:t>
          </a:r>
        </a:p>
        <a:p>
          <a:endParaRPr lang="en-US" sz="1600"/>
        </a:p>
        <a:p>
          <a:r>
            <a:rPr lang="en-US" sz="1600" b="1"/>
            <a:t>2. Two sectors dominate the continent's corporate landscape</a:t>
          </a:r>
          <a:r>
            <a:rPr lang="en-US" sz="1600"/>
            <a:t> Finance (34.8%) and Non-Energy Materials (27.3%) together hold 62% of total market cap, while the remaining 9 sectors share just 38%. Finance is not only the largest sector but also the most profitable, with a 30% average net margin — nearly triple Consumer Cyclicals' 6%.</a:t>
          </a:r>
        </a:p>
        <a:p>
          <a:endParaRPr lang="en-US" sz="1600"/>
        </a:p>
        <a:p>
          <a:r>
            <a:rPr lang="en-US" sz="1600" b="1"/>
            <a:t>3. A handful of companies drive a disproportionate share of value</a:t>
          </a:r>
          <a:r>
            <a:rPr lang="en-US" sz="1600"/>
            <a:t> Naspers alone ($49.6bn) is worth more than the next three companies combined (FirstRand, MTN Group, and Vodacom Group together total roughly $74bn but individually each falls well short of Naspers). This reflects a top-heavy market structure rather than evenly distributed corporate value.</a:t>
          </a:r>
        </a:p>
        <a:p>
          <a:endParaRPr lang="en-US" sz="1600"/>
        </a:p>
        <a:p>
          <a:r>
            <a:rPr lang="en-US" sz="1600" b="1"/>
            <a:t>4. 2022 was a mixed year — most companies grew, but the biggest names had the roughest year</a:t>
          </a:r>
          <a:r>
            <a:rPr lang="en-US" sz="1600"/>
            <a:t> 180 of 242 tracked companies (74%) increased their market cap year-over-year. However, the steepest declines belonged to some of the most recognizable names on the list — Naspers and Fawry each lost over half their value in a single year, showing that scale didn't protect against a difficult year.</a:t>
          </a:r>
        </a:p>
        <a:p>
          <a:endParaRPr lang="en-US" sz="1600"/>
        </a:p>
        <a:p>
          <a:r>
            <a:rPr lang="en-US" sz="1600" b="1"/>
            <a:t>5. Smaller, sector-specific companies delivered the strongest growth</a:t>
          </a:r>
          <a:r>
            <a:rPr lang="en-US" sz="1600"/>
            <a:t> The top gainers (Zambia Sugar +732%, Seed Co +395%, Arcelormittal South Africa +276%) were mid-sized, sector-specific companies rather than the continent's largest names — suggesting the biggest growth opportunities in 2022 came from smaller, more agile companies rather than established giants.</a:t>
          </a:r>
        </a:p>
        <a:p>
          <a:endParaRPr lang="en-US" sz="1600"/>
        </a:p>
        <a:p>
          <a:r>
            <a:rPr lang="en-US" sz="1600" b="1"/>
            <a:t>6. Profitability doesn't track sector size directly</a:t>
          </a:r>
          <a:r>
            <a:rPr lang="en-US" sz="1600"/>
            <a:t> While Finance leads on both size and margin, Energy and Non-Energy Materials (19% margin each) outperform larger-by-revenue sectors like Consumer Non-Cyclicals (11%) and Industrials (8%) — profitability is driven more by sector efficiency than by revenue scale.</a:t>
          </a:r>
        </a:p>
        <a:p>
          <a:endParaRPr lang="en-US" sz="1600"/>
        </a:p>
        <a:p>
          <a:r>
            <a:rPr lang="en-US" sz="1600" b="1">
              <a:solidFill>
                <a:schemeClr val="lt1"/>
              </a:solidFill>
              <a:effectLst/>
              <a:latin typeface="+mn-lt"/>
              <a:ea typeface="+mn-ea"/>
              <a:cs typeface="+mn-cs"/>
            </a:rPr>
            <a:t>CONCLUSIONS</a:t>
          </a:r>
          <a:endParaRPr lang="en-NG" sz="1600">
            <a:effectLst/>
          </a:endParaRPr>
        </a:p>
        <a:p>
          <a:r>
            <a:rPr lang="en-US" sz="1600" b="1"/>
            <a:t>1. Africa's top corporate landscape is a story of concentration, not distribution</a:t>
          </a:r>
          <a:r>
            <a:rPr lang="en-US" sz="1600"/>
            <a:t> — a small number of countries (South Africa), sectors (Finance, Non-Energy Materials), and individual companies (Naspers) account for a disproportionate share of total value.</a:t>
          </a:r>
        </a:p>
        <a:p>
          <a:endParaRPr lang="en-US" sz="1600"/>
        </a:p>
        <a:p>
          <a:r>
            <a:rPr lang="en-US" sz="1600" b="1"/>
            <a:t>2. Size and resilience aren't the same thing</a:t>
          </a:r>
          <a:r>
            <a:rPr lang="en-US" sz="1600"/>
            <a:t> — the largest companies weren't immune to decline in 2022, while smaller, focused companies posted the strongest growth.</a:t>
          </a:r>
        </a:p>
        <a:p>
          <a:endParaRPr lang="en-US" sz="1600"/>
        </a:p>
        <a:p>
          <a:r>
            <a:rPr lang="en-US" sz="1600" b="1"/>
            <a:t>3. Data limitations matter for interpretation</a:t>
          </a:r>
          <a:r>
            <a:rPr lang="en-US" sz="1600"/>
            <a:t> — with 40% of companies from a single country and several sectors represented by only 2-3 companies, any comparison at the country or sector level should be read as directional rather than statistically robust (as flagged in the Pre-Analysis Board).</a:t>
          </a:r>
        </a:p>
        <a:p>
          <a:pPr algn="l"/>
          <a:endParaRPr lang="en-US" sz="1600" b="1"/>
        </a:p>
        <a:p>
          <a:pPr algn="l"/>
          <a:endParaRPr lang="en-US" sz="1600" b="1"/>
        </a:p>
        <a:p>
          <a:pPr algn="l"/>
          <a:endParaRPr lang="en-US" sz="1600" b="1"/>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114300</xdr:colOff>
      <xdr:row>0</xdr:row>
      <xdr:rowOff>60959</xdr:rowOff>
    </xdr:from>
    <xdr:to>
      <xdr:col>28</xdr:col>
      <xdr:colOff>200025</xdr:colOff>
      <xdr:row>60</xdr:row>
      <xdr:rowOff>114300</xdr:rowOff>
    </xdr:to>
    <xdr:sp macro="" textlink="">
      <xdr:nvSpPr>
        <xdr:cNvPr id="2" name="Rectangle 1">
          <a:extLst>
            <a:ext uri="{FF2B5EF4-FFF2-40B4-BE49-F238E27FC236}">
              <a16:creationId xmlns:a16="http://schemas.microsoft.com/office/drawing/2014/main" id="{6EAF69C7-79AE-419F-822D-E68E5481A15F}"/>
            </a:ext>
          </a:extLst>
        </xdr:cNvPr>
        <xdr:cNvSpPr/>
      </xdr:nvSpPr>
      <xdr:spPr>
        <a:xfrm>
          <a:off x="114300" y="60959"/>
          <a:ext cx="17154525" cy="11026141"/>
        </a:xfrm>
        <a:prstGeom prst="rect">
          <a:avLst/>
        </a:prstGeom>
        <a:solidFill>
          <a:srgbClr val="0F76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RECOMMENDATIONS</a:t>
          </a:r>
        </a:p>
        <a:p>
          <a:pPr algn="l"/>
          <a:endParaRPr lang="en-US" sz="1600" b="1"/>
        </a:p>
        <a:p>
          <a:r>
            <a:rPr lang="en-US" sz="1600" b="1"/>
            <a:t>1. Diversify investment/business focus beyond South Africa</a:t>
          </a:r>
          <a:r>
            <a:rPr lang="en-US" sz="1600"/>
            <a:t> With 69.7% of value concentrated in one country, investors or businesses relying solely on South Africa's market face concentrated risk. Countries like Nigeria, Egypt, and Morocco — despite smaller current totals — represent under-tapped markets worth deeper individual analysis rather than being grouped into "the rest of Africa."</a:t>
          </a:r>
        </a:p>
        <a:p>
          <a:endParaRPr lang="en-US" sz="1600"/>
        </a:p>
        <a:p>
          <a:r>
            <a:rPr lang="en-US" sz="1600" b="1"/>
            <a:t>2. Prioritize Finance and Non-Energy Materials for stability, but don't ignore smaller sectors for growth</a:t>
          </a:r>
          <a:r>
            <a:rPr lang="en-US" sz="1600"/>
            <a:t> Finance and Non-Energy Materials offer the strongest combination of size and profitability, making them the safer, more established sectors to focus on. However, since the sharpest growth (Zambia Sugar, Seed Co, Arcelormittal) came from mid-sized, sector-specific companies rather than the largest names, growth-focused strategies should look beyond the top 10 companies by size.</a:t>
          </a:r>
        </a:p>
        <a:p>
          <a:endParaRPr lang="en-US" sz="1600"/>
        </a:p>
        <a:p>
          <a:r>
            <a:rPr lang="en-US" sz="1600" b="1"/>
            <a:t>3. Treat company size as a poor proxy for stability</a:t>
          </a:r>
          <a:r>
            <a:rPr lang="en-US" sz="1600"/>
            <a:t> Naspers and Fawry — two of the most prominent companies on the list — posted the steepest declines in 2022. Recommend that risk assessments avoid assuming "biggest = safest," and instead track year-over-year performance trends rather than static rankings alone.</a:t>
          </a:r>
        </a:p>
        <a:p>
          <a:endParaRPr lang="en-US" sz="1600"/>
        </a:p>
        <a:p>
          <a:r>
            <a:rPr lang="en-US" sz="1600" b="1"/>
            <a:t>4. Investigate the drivers behind high-growth outliers before replicating them</a:t>
          </a:r>
          <a:r>
            <a:rPr lang="en-US" sz="1600"/>
            <a:t> Companies like Zambia Sugar (+732%) and Seed Co (+395%) stand out sharply from the rest of the list. Before treating these as a "growth playbook," further investigation is recommended into whether this growth reflects genuine operational performance or one-off market/currency effects — particularly since one similarly extreme case (Medtech Holdings) was already found to be a data distortion rather than real growth.</a:t>
          </a:r>
        </a:p>
        <a:p>
          <a:endParaRPr lang="en-US" sz="1600"/>
        </a:p>
        <a:p>
          <a:r>
            <a:rPr lang="en-US" sz="1600" b="1"/>
            <a:t>5. Use sector margin, not sector size, to guide profitability-focused decisions</a:t>
          </a:r>
          <a:r>
            <a:rPr lang="en-US" sz="1600"/>
            <a:t> Since Energy and Non-Energy Materials outperform larger sectors like Consumer Non-Cyclicals on margin, any profitability-driven analysis or investment screening should filter by net margin, not just market cap or revenue — otherwise, genuinely efficient sectors get overlooked in favor of simply "big" ones.</a:t>
          </a:r>
        </a:p>
        <a:p>
          <a:endParaRPr lang="en-US" sz="1600"/>
        </a:p>
        <a:p>
          <a:r>
            <a:rPr lang="en-US" sz="1600" b="1"/>
            <a:t>6. Expand the dataset before drawing continent-wide conclusions</a:t>
          </a:r>
          <a:r>
            <a:rPr lang="en-US" sz="1600"/>
            <a:t> Because 16 of Africa's 54 countries are represented, and some sectors have as few as 2 companies, recommend supplementing this analysis with additional data sources (e.g. country GDP, a broader company list) before using these findings for continent-wide strategic decisions. Current findings are best treated as indicative of </a:t>
          </a:r>
          <a:r>
            <a:rPr lang="en-US" sz="1600" i="1"/>
            <a:t>top-tier</a:t>
          </a:r>
          <a:r>
            <a:rPr lang="en-US" sz="1600"/>
            <a:t> corporate Africa, not the full economic picture.</a:t>
          </a:r>
        </a:p>
        <a:p>
          <a:pPr algn="l"/>
          <a:endParaRPr lang="en-US" sz="1600" b="1"/>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91440</xdr:colOff>
      <xdr:row>0</xdr:row>
      <xdr:rowOff>60960</xdr:rowOff>
    </xdr:from>
    <xdr:to>
      <xdr:col>9</xdr:col>
      <xdr:colOff>571500</xdr:colOff>
      <xdr:row>25</xdr:row>
      <xdr:rowOff>30480</xdr:rowOff>
    </xdr:to>
    <xdr:sp macro="" textlink="">
      <xdr:nvSpPr>
        <xdr:cNvPr id="2" name="Rectangle 1">
          <a:extLst>
            <a:ext uri="{FF2B5EF4-FFF2-40B4-BE49-F238E27FC236}">
              <a16:creationId xmlns:a16="http://schemas.microsoft.com/office/drawing/2014/main" id="{621C63F1-A2C7-231E-EB6E-B325C5077A13}"/>
            </a:ext>
          </a:extLst>
        </xdr:cNvPr>
        <xdr:cNvSpPr/>
      </xdr:nvSpPr>
      <xdr:spPr>
        <a:xfrm>
          <a:off x="91440" y="60960"/>
          <a:ext cx="5966460" cy="4541520"/>
        </a:xfrm>
        <a:prstGeom prst="rect">
          <a:avLst/>
        </a:prstGeom>
        <a:solidFill>
          <a:srgbClr val="0F766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b="1"/>
            <a:t>Market Cap by Country</a:t>
          </a:r>
          <a:r>
            <a:rPr lang="en-US"/>
            <a:t> </a:t>
          </a:r>
        </a:p>
        <a:p>
          <a:pPr algn="l"/>
          <a:r>
            <a:rPr lang="en-US" b="1"/>
            <a:t>Profitability by Sector (Average Net Margin %)</a:t>
          </a:r>
          <a:r>
            <a:rPr lang="en-US"/>
            <a:t> </a:t>
          </a:r>
        </a:p>
        <a:p>
          <a:pPr algn="l"/>
          <a:r>
            <a:rPr lang="en-US" b="1"/>
            <a:t>Sector Share of Total Market Value</a:t>
          </a:r>
          <a:r>
            <a:rPr lang="en-US"/>
            <a:t> </a:t>
          </a:r>
        </a:p>
        <a:p>
          <a:pPr algn="l"/>
          <a:r>
            <a:rPr lang="en-US" b="1"/>
            <a:t>New Entrants vs. Returning Companies (2022)</a:t>
          </a:r>
          <a:r>
            <a:rPr lang="en-US"/>
            <a:t> </a:t>
          </a:r>
        </a:p>
        <a:p>
          <a:pPr algn="l"/>
          <a:r>
            <a:rPr lang="en-US" b="1"/>
            <a:t>Profitable vs. Loss-Making Companies</a:t>
          </a:r>
          <a:r>
            <a:rPr lang="en-US"/>
            <a:t> </a:t>
          </a:r>
        </a:p>
        <a:p>
          <a:pPr algn="l"/>
          <a:r>
            <a:rPr lang="en-US" b="1"/>
            <a:t>Average Company Size by Country</a:t>
          </a:r>
          <a:r>
            <a:rPr lang="en-US"/>
            <a:t> </a:t>
          </a:r>
        </a:p>
        <a:p>
          <a:pPr algn="l"/>
          <a:r>
            <a:rPr lang="en-US" b="1"/>
            <a:t>Top 5 Gainers vs. Top 5 Decliners (2021–2022)</a:t>
          </a:r>
          <a:endParaRPr lang="en-NG"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95251</xdr:colOff>
      <xdr:row>0</xdr:row>
      <xdr:rowOff>76201</xdr:rowOff>
    </xdr:from>
    <xdr:to>
      <xdr:col>27</xdr:col>
      <xdr:colOff>304801</xdr:colOff>
      <xdr:row>41</xdr:row>
      <xdr:rowOff>47626</xdr:rowOff>
    </xdr:to>
    <xdr:sp macro="" textlink="">
      <xdr:nvSpPr>
        <xdr:cNvPr id="2" name="Rectangle 1">
          <a:extLst>
            <a:ext uri="{FF2B5EF4-FFF2-40B4-BE49-F238E27FC236}">
              <a16:creationId xmlns:a16="http://schemas.microsoft.com/office/drawing/2014/main" id="{BD961917-3D53-4572-98A2-965BDBFE1D46}"/>
            </a:ext>
          </a:extLst>
        </xdr:cNvPr>
        <xdr:cNvSpPr/>
      </xdr:nvSpPr>
      <xdr:spPr>
        <a:xfrm>
          <a:off x="95251" y="76201"/>
          <a:ext cx="16668750" cy="7469505"/>
        </a:xfrm>
        <a:prstGeom prst="rect">
          <a:avLst/>
        </a:prstGeom>
        <a:solidFill>
          <a:srgbClr val="D8F0D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314325</xdr:colOff>
      <xdr:row>0</xdr:row>
      <xdr:rowOff>161925</xdr:rowOff>
    </xdr:from>
    <xdr:to>
      <xdr:col>4</xdr:col>
      <xdr:colOff>66675</xdr:colOff>
      <xdr:row>40</xdr:row>
      <xdr:rowOff>142875</xdr:rowOff>
    </xdr:to>
    <xdr:sp macro="" textlink="">
      <xdr:nvSpPr>
        <xdr:cNvPr id="3" name="Rectangle 2">
          <a:extLst>
            <a:ext uri="{FF2B5EF4-FFF2-40B4-BE49-F238E27FC236}">
              <a16:creationId xmlns:a16="http://schemas.microsoft.com/office/drawing/2014/main" id="{A59B2720-0D3B-4561-90E3-1469A165A0C5}"/>
            </a:ext>
          </a:extLst>
        </xdr:cNvPr>
        <xdr:cNvSpPr/>
      </xdr:nvSpPr>
      <xdr:spPr>
        <a:xfrm>
          <a:off x="314325" y="161925"/>
          <a:ext cx="2190750" cy="7296150"/>
        </a:xfrm>
        <a:prstGeom prst="rect">
          <a:avLst/>
        </a:prstGeom>
        <a:solidFill>
          <a:srgbClr val="2357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333375</xdr:colOff>
      <xdr:row>4</xdr:row>
      <xdr:rowOff>66676</xdr:rowOff>
    </xdr:from>
    <xdr:to>
      <xdr:col>11</xdr:col>
      <xdr:colOff>57150</xdr:colOff>
      <xdr:row>15</xdr:row>
      <xdr:rowOff>38100</xdr:rowOff>
    </xdr:to>
    <xdr:sp macro="" textlink="">
      <xdr:nvSpPr>
        <xdr:cNvPr id="4" name="Rectangle 3">
          <a:extLst>
            <a:ext uri="{FF2B5EF4-FFF2-40B4-BE49-F238E27FC236}">
              <a16:creationId xmlns:a16="http://schemas.microsoft.com/office/drawing/2014/main" id="{EB8E612C-BC98-4BC1-B6FA-E2A32987F6D2}"/>
            </a:ext>
          </a:extLst>
        </xdr:cNvPr>
        <xdr:cNvSpPr/>
      </xdr:nvSpPr>
      <xdr:spPr>
        <a:xfrm>
          <a:off x="2771775" y="798196"/>
          <a:ext cx="3990975" cy="198310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333375</xdr:colOff>
      <xdr:row>1</xdr:row>
      <xdr:rowOff>28575</xdr:rowOff>
    </xdr:from>
    <xdr:to>
      <xdr:col>21</xdr:col>
      <xdr:colOff>495300</xdr:colOff>
      <xdr:row>3</xdr:row>
      <xdr:rowOff>47625</xdr:rowOff>
    </xdr:to>
    <xdr:sp macro="" textlink="">
      <xdr:nvSpPr>
        <xdr:cNvPr id="5" name="TextBox 4">
          <a:extLst>
            <a:ext uri="{FF2B5EF4-FFF2-40B4-BE49-F238E27FC236}">
              <a16:creationId xmlns:a16="http://schemas.microsoft.com/office/drawing/2014/main" id="{1A92031F-4C68-4757-8EE9-BF10A90EA27B}"/>
            </a:ext>
          </a:extLst>
        </xdr:cNvPr>
        <xdr:cNvSpPr txBox="1"/>
      </xdr:nvSpPr>
      <xdr:spPr>
        <a:xfrm>
          <a:off x="2771775" y="211455"/>
          <a:ext cx="10525125" cy="3848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800" b="1">
              <a:solidFill>
                <a:srgbClr val="235733"/>
              </a:solidFill>
              <a:effectLst/>
              <a:latin typeface="Aptos" panose="020B0004020202020204" pitchFamily="34" charset="0"/>
              <a:ea typeface="+mn-ea"/>
              <a:cs typeface="+mn-cs"/>
            </a:rPr>
            <a:t>Habourview</a:t>
          </a:r>
          <a:r>
            <a:rPr lang="en-US" sz="1800" b="1" baseline="0">
              <a:solidFill>
                <a:srgbClr val="235733"/>
              </a:solidFill>
              <a:effectLst/>
              <a:latin typeface="Aptos" panose="020B0004020202020204" pitchFamily="34" charset="0"/>
              <a:ea typeface="+mn-ea"/>
              <a:cs typeface="+mn-cs"/>
            </a:rPr>
            <a:t> Retail</a:t>
          </a:r>
          <a:r>
            <a:rPr lang="en-US" sz="1800" b="1">
              <a:solidFill>
                <a:srgbClr val="235733"/>
              </a:solidFill>
              <a:effectLst/>
              <a:latin typeface="Aptos" panose="020B0004020202020204" pitchFamily="34" charset="0"/>
              <a:ea typeface="+mn-ea"/>
              <a:cs typeface="+mn-cs"/>
            </a:rPr>
            <a:t> Super Mart Analysis for year 2014</a:t>
          </a:r>
          <a:endParaRPr lang="en-NG" sz="1800">
            <a:solidFill>
              <a:srgbClr val="235733"/>
            </a:solidFill>
            <a:effectLst/>
            <a:latin typeface="Aptos" panose="020B0004020202020204" pitchFamily="34" charset="0"/>
          </a:endParaRPr>
        </a:p>
        <a:p>
          <a:endParaRPr lang="en-NG" sz="1800">
            <a:solidFill>
              <a:srgbClr val="235733"/>
            </a:solidFill>
            <a:latin typeface="Aptos" panose="020B0004020202020204" pitchFamily="34" charset="0"/>
          </a:endParaRPr>
        </a:p>
      </xdr:txBody>
    </xdr:sp>
    <xdr:clientData/>
  </xdr:twoCellAnchor>
  <xdr:twoCellAnchor>
    <xdr:from>
      <xdr:col>11</xdr:col>
      <xdr:colOff>304800</xdr:colOff>
      <xdr:row>4</xdr:row>
      <xdr:rowOff>76201</xdr:rowOff>
    </xdr:from>
    <xdr:to>
      <xdr:col>27</xdr:col>
      <xdr:colOff>19050</xdr:colOff>
      <xdr:row>15</xdr:row>
      <xdr:rowOff>28576</xdr:rowOff>
    </xdr:to>
    <xdr:sp macro="" textlink="">
      <xdr:nvSpPr>
        <xdr:cNvPr id="6" name="Rectangle 5">
          <a:extLst>
            <a:ext uri="{FF2B5EF4-FFF2-40B4-BE49-F238E27FC236}">
              <a16:creationId xmlns:a16="http://schemas.microsoft.com/office/drawing/2014/main" id="{9AEBFA0E-F10E-4FFB-A30F-0A043272D5E4}"/>
            </a:ext>
          </a:extLst>
        </xdr:cNvPr>
        <xdr:cNvSpPr/>
      </xdr:nvSpPr>
      <xdr:spPr>
        <a:xfrm>
          <a:off x="7010400" y="807721"/>
          <a:ext cx="9467850" cy="196405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342900</xdr:colOff>
      <xdr:row>16</xdr:row>
      <xdr:rowOff>0</xdr:rowOff>
    </xdr:from>
    <xdr:to>
      <xdr:col>11</xdr:col>
      <xdr:colOff>476250</xdr:colOff>
      <xdr:row>28</xdr:row>
      <xdr:rowOff>28576</xdr:rowOff>
    </xdr:to>
    <xdr:sp macro="" textlink="">
      <xdr:nvSpPr>
        <xdr:cNvPr id="7" name="Rectangle 6">
          <a:extLst>
            <a:ext uri="{FF2B5EF4-FFF2-40B4-BE49-F238E27FC236}">
              <a16:creationId xmlns:a16="http://schemas.microsoft.com/office/drawing/2014/main" id="{FF14B4F2-0C18-49D0-9BCC-A2C2FEFD075D}"/>
            </a:ext>
          </a:extLst>
        </xdr:cNvPr>
        <xdr:cNvSpPr/>
      </xdr:nvSpPr>
      <xdr:spPr>
        <a:xfrm>
          <a:off x="2781300" y="2926080"/>
          <a:ext cx="4400550" cy="222313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323850</xdr:colOff>
      <xdr:row>28</xdr:row>
      <xdr:rowOff>171451</xdr:rowOff>
    </xdr:from>
    <xdr:to>
      <xdr:col>11</xdr:col>
      <xdr:colOff>47625</xdr:colOff>
      <xdr:row>40</xdr:row>
      <xdr:rowOff>57150</xdr:rowOff>
    </xdr:to>
    <xdr:sp macro="" textlink="">
      <xdr:nvSpPr>
        <xdr:cNvPr id="8" name="Rectangle 7">
          <a:extLst>
            <a:ext uri="{FF2B5EF4-FFF2-40B4-BE49-F238E27FC236}">
              <a16:creationId xmlns:a16="http://schemas.microsoft.com/office/drawing/2014/main" id="{A1BF05AF-A77E-4078-A323-EA27853E3192}"/>
            </a:ext>
          </a:extLst>
        </xdr:cNvPr>
        <xdr:cNvSpPr/>
      </xdr:nvSpPr>
      <xdr:spPr>
        <a:xfrm>
          <a:off x="2762250" y="5292091"/>
          <a:ext cx="3990975" cy="208025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57151</xdr:colOff>
      <xdr:row>16</xdr:row>
      <xdr:rowOff>9525</xdr:rowOff>
    </xdr:from>
    <xdr:to>
      <xdr:col>19</xdr:col>
      <xdr:colOff>247651</xdr:colOff>
      <xdr:row>28</xdr:row>
      <xdr:rowOff>38101</xdr:rowOff>
    </xdr:to>
    <xdr:sp macro="" textlink="">
      <xdr:nvSpPr>
        <xdr:cNvPr id="9" name="Rectangle 8">
          <a:extLst>
            <a:ext uri="{FF2B5EF4-FFF2-40B4-BE49-F238E27FC236}">
              <a16:creationId xmlns:a16="http://schemas.microsoft.com/office/drawing/2014/main" id="{969CE324-70A3-4640-9811-155CBD483B1B}"/>
            </a:ext>
          </a:extLst>
        </xdr:cNvPr>
        <xdr:cNvSpPr/>
      </xdr:nvSpPr>
      <xdr:spPr>
        <a:xfrm>
          <a:off x="7372351" y="2935605"/>
          <a:ext cx="4457700" cy="222313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19</xdr:col>
      <xdr:colOff>457200</xdr:colOff>
      <xdr:row>16</xdr:row>
      <xdr:rowOff>9525</xdr:rowOff>
    </xdr:from>
    <xdr:to>
      <xdr:col>27</xdr:col>
      <xdr:colOff>9525</xdr:colOff>
      <xdr:row>28</xdr:row>
      <xdr:rowOff>38101</xdr:rowOff>
    </xdr:to>
    <xdr:sp macro="" textlink="">
      <xdr:nvSpPr>
        <xdr:cNvPr id="10" name="Rectangle 9">
          <a:extLst>
            <a:ext uri="{FF2B5EF4-FFF2-40B4-BE49-F238E27FC236}">
              <a16:creationId xmlns:a16="http://schemas.microsoft.com/office/drawing/2014/main" id="{0ED1D39F-CA63-448E-95B9-C5E8EC324009}"/>
            </a:ext>
          </a:extLst>
        </xdr:cNvPr>
        <xdr:cNvSpPr/>
      </xdr:nvSpPr>
      <xdr:spPr>
        <a:xfrm>
          <a:off x="12039600" y="2935605"/>
          <a:ext cx="4429125" cy="222313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276225</xdr:colOff>
      <xdr:row>29</xdr:row>
      <xdr:rowOff>9526</xdr:rowOff>
    </xdr:from>
    <xdr:to>
      <xdr:col>26</xdr:col>
      <xdr:colOff>600075</xdr:colOff>
      <xdr:row>40</xdr:row>
      <xdr:rowOff>76200</xdr:rowOff>
    </xdr:to>
    <xdr:sp macro="" textlink="">
      <xdr:nvSpPr>
        <xdr:cNvPr id="11" name="Rectangle 10">
          <a:extLst>
            <a:ext uri="{FF2B5EF4-FFF2-40B4-BE49-F238E27FC236}">
              <a16:creationId xmlns:a16="http://schemas.microsoft.com/office/drawing/2014/main" id="{1F770F0D-B48D-4128-9F64-436D06BF7B52}"/>
            </a:ext>
          </a:extLst>
        </xdr:cNvPr>
        <xdr:cNvSpPr/>
      </xdr:nvSpPr>
      <xdr:spPr>
        <a:xfrm>
          <a:off x="6981825" y="5313046"/>
          <a:ext cx="9467850" cy="207835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19</xdr:col>
      <xdr:colOff>142875</xdr:colOff>
      <xdr:row>5</xdr:row>
      <xdr:rowOff>76200</xdr:rowOff>
    </xdr:from>
    <xdr:to>
      <xdr:col>19</xdr:col>
      <xdr:colOff>161925</xdr:colOff>
      <xdr:row>14</xdr:row>
      <xdr:rowOff>76200</xdr:rowOff>
    </xdr:to>
    <xdr:cxnSp macro="">
      <xdr:nvCxnSpPr>
        <xdr:cNvPr id="12" name="Straight Connector 11">
          <a:extLst>
            <a:ext uri="{FF2B5EF4-FFF2-40B4-BE49-F238E27FC236}">
              <a16:creationId xmlns:a16="http://schemas.microsoft.com/office/drawing/2014/main" id="{59FEC362-743B-4953-BF16-8780BF72BE09}"/>
            </a:ext>
          </a:extLst>
        </xdr:cNvPr>
        <xdr:cNvCxnSpPr/>
      </xdr:nvCxnSpPr>
      <xdr:spPr>
        <a:xfrm>
          <a:off x="11725275" y="990600"/>
          <a:ext cx="19050" cy="1645920"/>
        </a:xfrm>
        <a:prstGeom prst="line">
          <a:avLst/>
        </a:prstGeom>
        <a:ln>
          <a:solidFill>
            <a:srgbClr val="46B06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76199</xdr:colOff>
      <xdr:row>4</xdr:row>
      <xdr:rowOff>150496</xdr:rowOff>
    </xdr:from>
    <xdr:to>
      <xdr:col>18</xdr:col>
      <xdr:colOff>314324</xdr:colOff>
      <xdr:row>14</xdr:row>
      <xdr:rowOff>161925</xdr:rowOff>
    </xdr:to>
    <xdr:graphicFrame macro="">
      <xdr:nvGraphicFramePr>
        <xdr:cNvPr id="13" name="Chart 12">
          <a:extLst>
            <a:ext uri="{FF2B5EF4-FFF2-40B4-BE49-F238E27FC236}">
              <a16:creationId xmlns:a16="http://schemas.microsoft.com/office/drawing/2014/main" id="{1BD2CE29-8EED-432F-A8DE-759F87566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180975</xdr:colOff>
      <xdr:row>5</xdr:row>
      <xdr:rowOff>57149</xdr:rowOff>
    </xdr:from>
    <xdr:to>
      <xdr:col>26</xdr:col>
      <xdr:colOff>161924</xdr:colOff>
      <xdr:row>15</xdr:row>
      <xdr:rowOff>36196</xdr:rowOff>
    </xdr:to>
    <xdr:graphicFrame macro="">
      <xdr:nvGraphicFramePr>
        <xdr:cNvPr id="14" name="Chart 13">
          <a:extLst>
            <a:ext uri="{FF2B5EF4-FFF2-40B4-BE49-F238E27FC236}">
              <a16:creationId xmlns:a16="http://schemas.microsoft.com/office/drawing/2014/main" id="{95D0B7F7-E681-4F55-80B2-C762E9191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333375</xdr:colOff>
      <xdr:row>4</xdr:row>
      <xdr:rowOff>76200</xdr:rowOff>
    </xdr:from>
    <xdr:to>
      <xdr:col>14</xdr:col>
      <xdr:colOff>266700</xdr:colOff>
      <xdr:row>5</xdr:row>
      <xdr:rowOff>133350</xdr:rowOff>
    </xdr:to>
    <xdr:sp macro="" textlink="">
      <xdr:nvSpPr>
        <xdr:cNvPr id="15" name="TextBox 14">
          <a:extLst>
            <a:ext uri="{FF2B5EF4-FFF2-40B4-BE49-F238E27FC236}">
              <a16:creationId xmlns:a16="http://schemas.microsoft.com/office/drawing/2014/main" id="{0A0DD37F-86DD-4FCF-9BED-ACF9C1DDBF4D}"/>
            </a:ext>
          </a:extLst>
        </xdr:cNvPr>
        <xdr:cNvSpPr txBox="1"/>
      </xdr:nvSpPr>
      <xdr:spPr>
        <a:xfrm>
          <a:off x="7038975" y="807720"/>
          <a:ext cx="1762125" cy="2400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235733"/>
              </a:solidFill>
              <a:latin typeface="Aptos" panose="020B0004020202020204" pitchFamily="34" charset="0"/>
            </a:rPr>
            <a:t>Regional Performance</a:t>
          </a:r>
          <a:endParaRPr lang="en-NG" sz="1100" b="1">
            <a:solidFill>
              <a:srgbClr val="235733"/>
            </a:solidFill>
            <a:latin typeface="Aptos" panose="020B0004020202020204" pitchFamily="34" charset="0"/>
          </a:endParaRPr>
        </a:p>
      </xdr:txBody>
    </xdr:sp>
    <xdr:clientData/>
  </xdr:twoCellAnchor>
  <xdr:twoCellAnchor>
    <xdr:from>
      <xdr:col>19</xdr:col>
      <xdr:colOff>228600</xdr:colOff>
      <xdr:row>4</xdr:row>
      <xdr:rowOff>123825</xdr:rowOff>
    </xdr:from>
    <xdr:to>
      <xdr:col>22</xdr:col>
      <xdr:colOff>161925</xdr:colOff>
      <xdr:row>6</xdr:row>
      <xdr:rowOff>0</xdr:rowOff>
    </xdr:to>
    <xdr:sp macro="" textlink="">
      <xdr:nvSpPr>
        <xdr:cNvPr id="16" name="TextBox 15">
          <a:extLst>
            <a:ext uri="{FF2B5EF4-FFF2-40B4-BE49-F238E27FC236}">
              <a16:creationId xmlns:a16="http://schemas.microsoft.com/office/drawing/2014/main" id="{084713DE-04E7-4D1F-B7FB-F7AAAE336702}"/>
            </a:ext>
          </a:extLst>
        </xdr:cNvPr>
        <xdr:cNvSpPr txBox="1"/>
      </xdr:nvSpPr>
      <xdr:spPr>
        <a:xfrm>
          <a:off x="11811000" y="855345"/>
          <a:ext cx="1762125" cy="2419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235733"/>
              </a:solidFill>
              <a:latin typeface="Aptos" panose="020B0004020202020204" pitchFamily="34" charset="0"/>
            </a:rPr>
            <a:t>Top  6 Ship Cities</a:t>
          </a:r>
          <a:endParaRPr lang="en-NG" sz="1100" b="1">
            <a:solidFill>
              <a:srgbClr val="235733"/>
            </a:solidFill>
            <a:latin typeface="Aptos" panose="020B0004020202020204" pitchFamily="34" charset="0"/>
          </a:endParaRPr>
        </a:p>
      </xdr:txBody>
    </xdr:sp>
    <xdr:clientData/>
  </xdr:twoCellAnchor>
  <xdr:twoCellAnchor>
    <xdr:from>
      <xdr:col>12</xdr:col>
      <xdr:colOff>171450</xdr:colOff>
      <xdr:row>17</xdr:row>
      <xdr:rowOff>82259</xdr:rowOff>
    </xdr:from>
    <xdr:to>
      <xdr:col>19</xdr:col>
      <xdr:colOff>76200</xdr:colOff>
      <xdr:row>28</xdr:row>
      <xdr:rowOff>26670</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1BAA8F78-D88C-4E75-A3F0-0FB578CC78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486650" y="3191219"/>
              <a:ext cx="4171950" cy="1956091"/>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57150</xdr:colOff>
      <xdr:row>16</xdr:row>
      <xdr:rowOff>9526</xdr:rowOff>
    </xdr:from>
    <xdr:to>
      <xdr:col>16</xdr:col>
      <xdr:colOff>0</xdr:colOff>
      <xdr:row>17</xdr:row>
      <xdr:rowOff>57151</xdr:rowOff>
    </xdr:to>
    <xdr:sp macro="" textlink="">
      <xdr:nvSpPr>
        <xdr:cNvPr id="18" name="TextBox 17">
          <a:extLst>
            <a:ext uri="{FF2B5EF4-FFF2-40B4-BE49-F238E27FC236}">
              <a16:creationId xmlns:a16="http://schemas.microsoft.com/office/drawing/2014/main" id="{476BBEE9-94E3-4768-828F-32BD5AE2CB30}"/>
            </a:ext>
          </a:extLst>
        </xdr:cNvPr>
        <xdr:cNvSpPr txBox="1"/>
      </xdr:nvSpPr>
      <xdr:spPr>
        <a:xfrm>
          <a:off x="7372350" y="2935606"/>
          <a:ext cx="2381250" cy="2305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235733"/>
              </a:solidFill>
              <a:latin typeface="Aptos" panose="020B0004020202020204" pitchFamily="34" charset="0"/>
            </a:rPr>
            <a:t>Product Category By Revenue</a:t>
          </a:r>
          <a:endParaRPr lang="en-NG" sz="1100" b="1">
            <a:solidFill>
              <a:srgbClr val="235733"/>
            </a:solidFill>
            <a:latin typeface="Aptos" panose="020B0004020202020204" pitchFamily="34" charset="0"/>
          </a:endParaRPr>
        </a:p>
      </xdr:txBody>
    </xdr:sp>
    <xdr:clientData/>
  </xdr:twoCellAnchor>
  <xdr:twoCellAnchor>
    <xdr:from>
      <xdr:col>4</xdr:col>
      <xdr:colOff>342900</xdr:colOff>
      <xdr:row>17</xdr:row>
      <xdr:rowOff>57149</xdr:rowOff>
    </xdr:from>
    <xdr:to>
      <xdr:col>11</xdr:col>
      <xdr:colOff>342900</xdr:colOff>
      <xdr:row>27</xdr:row>
      <xdr:rowOff>154304</xdr:rowOff>
    </xdr:to>
    <xdr:graphicFrame macro="">
      <xdr:nvGraphicFramePr>
        <xdr:cNvPr id="19" name="Chart 18">
          <a:extLst>
            <a:ext uri="{FF2B5EF4-FFF2-40B4-BE49-F238E27FC236}">
              <a16:creationId xmlns:a16="http://schemas.microsoft.com/office/drawing/2014/main" id="{E0FD94CE-AF48-45A7-9E5C-CF901599B0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381000</xdr:colOff>
      <xdr:row>16</xdr:row>
      <xdr:rowOff>9526</xdr:rowOff>
    </xdr:from>
    <xdr:to>
      <xdr:col>8</xdr:col>
      <xdr:colOff>323850</xdr:colOff>
      <xdr:row>17</xdr:row>
      <xdr:rowOff>57151</xdr:rowOff>
    </xdr:to>
    <xdr:sp macro="" textlink="">
      <xdr:nvSpPr>
        <xdr:cNvPr id="20" name="TextBox 19">
          <a:extLst>
            <a:ext uri="{FF2B5EF4-FFF2-40B4-BE49-F238E27FC236}">
              <a16:creationId xmlns:a16="http://schemas.microsoft.com/office/drawing/2014/main" id="{1C8697DB-C5C0-442E-97F3-AD0C7818F463}"/>
            </a:ext>
          </a:extLst>
        </xdr:cNvPr>
        <xdr:cNvSpPr txBox="1"/>
      </xdr:nvSpPr>
      <xdr:spPr>
        <a:xfrm>
          <a:off x="2819400" y="2935606"/>
          <a:ext cx="2381250" cy="2305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i="0" baseline="0">
              <a:solidFill>
                <a:srgbClr val="235733"/>
              </a:solidFill>
              <a:effectLst/>
              <a:latin typeface="Aptos" panose="020B0004020202020204" pitchFamily="34" charset="0"/>
              <a:ea typeface="+mn-ea"/>
              <a:cs typeface="+mn-cs"/>
            </a:rPr>
            <a:t>Sales By Salesperson</a:t>
          </a:r>
          <a:endParaRPr lang="en-NG">
            <a:solidFill>
              <a:srgbClr val="235733"/>
            </a:solidFill>
            <a:effectLst/>
            <a:latin typeface="Aptos" panose="020B0004020202020204" pitchFamily="34" charset="0"/>
          </a:endParaRPr>
        </a:p>
      </xdr:txBody>
    </xdr:sp>
    <xdr:clientData/>
  </xdr:twoCellAnchor>
  <xdr:twoCellAnchor>
    <xdr:from>
      <xdr:col>19</xdr:col>
      <xdr:colOff>361950</xdr:colOff>
      <xdr:row>17</xdr:row>
      <xdr:rowOff>59055</xdr:rowOff>
    </xdr:from>
    <xdr:to>
      <xdr:col>26</xdr:col>
      <xdr:colOff>495300</xdr:colOff>
      <xdr:row>27</xdr:row>
      <xdr:rowOff>133350</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14FA3712-CE8D-4368-9D85-435D1296FA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944350" y="3168015"/>
              <a:ext cx="4400550" cy="1903095"/>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476250</xdr:colOff>
      <xdr:row>16</xdr:row>
      <xdr:rowOff>28576</xdr:rowOff>
    </xdr:from>
    <xdr:to>
      <xdr:col>23</xdr:col>
      <xdr:colOff>419100</xdr:colOff>
      <xdr:row>17</xdr:row>
      <xdr:rowOff>76201</xdr:rowOff>
    </xdr:to>
    <xdr:sp macro="" textlink="">
      <xdr:nvSpPr>
        <xdr:cNvPr id="22" name="TextBox 21">
          <a:extLst>
            <a:ext uri="{FF2B5EF4-FFF2-40B4-BE49-F238E27FC236}">
              <a16:creationId xmlns:a16="http://schemas.microsoft.com/office/drawing/2014/main" id="{8D073F61-F48A-421E-B607-76508ADEFED8}"/>
            </a:ext>
          </a:extLst>
        </xdr:cNvPr>
        <xdr:cNvSpPr txBox="1"/>
      </xdr:nvSpPr>
      <xdr:spPr>
        <a:xfrm>
          <a:off x="12058650" y="2954656"/>
          <a:ext cx="2381250" cy="2305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235733"/>
              </a:solidFill>
              <a:latin typeface="Aptos" panose="020B0004020202020204" pitchFamily="34" charset="0"/>
            </a:rPr>
            <a:t>City</a:t>
          </a:r>
          <a:r>
            <a:rPr lang="en-US" sz="1100" b="1" baseline="0">
              <a:solidFill>
                <a:srgbClr val="235733"/>
              </a:solidFill>
              <a:latin typeface="Aptos" panose="020B0004020202020204" pitchFamily="34" charset="0"/>
            </a:rPr>
            <a:t> By Revenue</a:t>
          </a:r>
          <a:endParaRPr lang="en-NG" sz="1100" b="1">
            <a:solidFill>
              <a:srgbClr val="235733"/>
            </a:solidFill>
            <a:latin typeface="Aptos" panose="020B0004020202020204" pitchFamily="34" charset="0"/>
          </a:endParaRPr>
        </a:p>
      </xdr:txBody>
    </xdr:sp>
    <xdr:clientData/>
  </xdr:twoCellAnchor>
  <xdr:twoCellAnchor>
    <xdr:from>
      <xdr:col>11</xdr:col>
      <xdr:colOff>542924</xdr:colOff>
      <xdr:row>30</xdr:row>
      <xdr:rowOff>95250</xdr:rowOff>
    </xdr:from>
    <xdr:to>
      <xdr:col>26</xdr:col>
      <xdr:colOff>304799</xdr:colOff>
      <xdr:row>40</xdr:row>
      <xdr:rowOff>76199</xdr:rowOff>
    </xdr:to>
    <xdr:graphicFrame macro="">
      <xdr:nvGraphicFramePr>
        <xdr:cNvPr id="23" name="Chart 22">
          <a:extLst>
            <a:ext uri="{FF2B5EF4-FFF2-40B4-BE49-F238E27FC236}">
              <a16:creationId xmlns:a16="http://schemas.microsoft.com/office/drawing/2014/main" id="{6C51A009-7049-4381-8AEE-A92A1D908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323850</xdr:colOff>
      <xdr:row>29</xdr:row>
      <xdr:rowOff>57151</xdr:rowOff>
    </xdr:from>
    <xdr:to>
      <xdr:col>15</xdr:col>
      <xdr:colOff>266700</xdr:colOff>
      <xdr:row>30</xdr:row>
      <xdr:rowOff>104776</xdr:rowOff>
    </xdr:to>
    <xdr:sp macro="" textlink="">
      <xdr:nvSpPr>
        <xdr:cNvPr id="24" name="TextBox 23">
          <a:extLst>
            <a:ext uri="{FF2B5EF4-FFF2-40B4-BE49-F238E27FC236}">
              <a16:creationId xmlns:a16="http://schemas.microsoft.com/office/drawing/2014/main" id="{05133F34-DA7A-47FE-AF82-07512BB1B1FB}"/>
            </a:ext>
          </a:extLst>
        </xdr:cNvPr>
        <xdr:cNvSpPr txBox="1"/>
      </xdr:nvSpPr>
      <xdr:spPr>
        <a:xfrm>
          <a:off x="7029450" y="5360671"/>
          <a:ext cx="2381250" cy="2305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235733"/>
              </a:solidFill>
              <a:latin typeface="Aptos" panose="020B0004020202020204" pitchFamily="34" charset="0"/>
            </a:rPr>
            <a:t>Sales</a:t>
          </a:r>
          <a:r>
            <a:rPr lang="en-US" sz="1100" b="1" baseline="0">
              <a:solidFill>
                <a:srgbClr val="235733"/>
              </a:solidFill>
              <a:latin typeface="Aptos" panose="020B0004020202020204" pitchFamily="34" charset="0"/>
            </a:rPr>
            <a:t> Trend</a:t>
          </a:r>
        </a:p>
      </xdr:txBody>
    </xdr:sp>
    <xdr:clientData/>
  </xdr:twoCellAnchor>
  <xdr:twoCellAnchor>
    <xdr:from>
      <xdr:col>4</xdr:col>
      <xdr:colOff>419099</xdr:colOff>
      <xdr:row>30</xdr:row>
      <xdr:rowOff>9525</xdr:rowOff>
    </xdr:from>
    <xdr:to>
      <xdr:col>10</xdr:col>
      <xdr:colOff>600074</xdr:colOff>
      <xdr:row>39</xdr:row>
      <xdr:rowOff>158115</xdr:rowOff>
    </xdr:to>
    <mc:AlternateContent xmlns:mc="http://schemas.openxmlformats.org/markup-compatibility/2006">
      <mc:Choice xmlns:cx2="http://schemas.microsoft.com/office/drawing/2015/10/21/chartex" Requires="cx2">
        <xdr:graphicFrame macro="">
          <xdr:nvGraphicFramePr>
            <xdr:cNvPr id="25" name="Chart 24">
              <a:extLst>
                <a:ext uri="{FF2B5EF4-FFF2-40B4-BE49-F238E27FC236}">
                  <a16:creationId xmlns:a16="http://schemas.microsoft.com/office/drawing/2014/main" id="{05205933-4F52-4DF8-8743-83C4CEF6E3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857499" y="5495925"/>
              <a:ext cx="3838575" cy="179451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371475</xdr:colOff>
      <xdr:row>29</xdr:row>
      <xdr:rowOff>19051</xdr:rowOff>
    </xdr:from>
    <xdr:to>
      <xdr:col>8</xdr:col>
      <xdr:colOff>314325</xdr:colOff>
      <xdr:row>30</xdr:row>
      <xdr:rowOff>66676</xdr:rowOff>
    </xdr:to>
    <xdr:sp macro="" textlink="">
      <xdr:nvSpPr>
        <xdr:cNvPr id="26" name="TextBox 25">
          <a:extLst>
            <a:ext uri="{FF2B5EF4-FFF2-40B4-BE49-F238E27FC236}">
              <a16:creationId xmlns:a16="http://schemas.microsoft.com/office/drawing/2014/main" id="{8415A489-0E37-4648-A07C-F3054FDAE107}"/>
            </a:ext>
          </a:extLst>
        </xdr:cNvPr>
        <xdr:cNvSpPr txBox="1"/>
      </xdr:nvSpPr>
      <xdr:spPr>
        <a:xfrm>
          <a:off x="2809875" y="5322571"/>
          <a:ext cx="2381250" cy="2305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i="0" baseline="0">
              <a:solidFill>
                <a:srgbClr val="235733"/>
              </a:solidFill>
              <a:effectLst/>
              <a:latin typeface="Aptos" panose="020B0004020202020204" pitchFamily="34" charset="0"/>
              <a:ea typeface="+mn-ea"/>
              <a:cs typeface="+mn-cs"/>
            </a:rPr>
            <a:t>Ship Cities Performance</a:t>
          </a:r>
          <a:endParaRPr lang="en-NG">
            <a:solidFill>
              <a:srgbClr val="235733"/>
            </a:solidFill>
            <a:effectLst/>
            <a:latin typeface="Aptos" panose="020B0004020202020204" pitchFamily="34" charset="0"/>
          </a:endParaRPr>
        </a:p>
      </xdr:txBody>
    </xdr:sp>
    <xdr:clientData/>
  </xdr:twoCellAnchor>
  <xdr:twoCellAnchor>
    <xdr:from>
      <xdr:col>4</xdr:col>
      <xdr:colOff>361951</xdr:colOff>
      <xdr:row>5</xdr:row>
      <xdr:rowOff>123825</xdr:rowOff>
    </xdr:from>
    <xdr:to>
      <xdr:col>7</xdr:col>
      <xdr:colOff>104775</xdr:colOff>
      <xdr:row>6</xdr:row>
      <xdr:rowOff>171450</xdr:rowOff>
    </xdr:to>
    <xdr:sp macro="" textlink="">
      <xdr:nvSpPr>
        <xdr:cNvPr id="27" name="TextBox 26">
          <a:extLst>
            <a:ext uri="{FF2B5EF4-FFF2-40B4-BE49-F238E27FC236}">
              <a16:creationId xmlns:a16="http://schemas.microsoft.com/office/drawing/2014/main" id="{B29D626C-0154-465E-A2F0-11BF12C52482}"/>
            </a:ext>
          </a:extLst>
        </xdr:cNvPr>
        <xdr:cNvSpPr txBox="1"/>
      </xdr:nvSpPr>
      <xdr:spPr>
        <a:xfrm>
          <a:off x="2800351" y="1038225"/>
          <a:ext cx="1571624" cy="230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rgbClr val="235733"/>
              </a:solidFill>
              <a:latin typeface="Aptos" panose="020B0004020202020204" pitchFamily="34" charset="0"/>
            </a:rPr>
            <a:t>Customer Of the Year</a:t>
          </a:r>
          <a:endParaRPr lang="en-NG" sz="1100" b="0">
            <a:solidFill>
              <a:srgbClr val="235733"/>
            </a:solidFill>
            <a:latin typeface="Aptos" panose="020B0004020202020204" pitchFamily="34" charset="0"/>
          </a:endParaRPr>
        </a:p>
      </xdr:txBody>
    </xdr:sp>
    <xdr:clientData/>
  </xdr:twoCellAnchor>
  <xdr:twoCellAnchor>
    <xdr:from>
      <xdr:col>4</xdr:col>
      <xdr:colOff>533399</xdr:colOff>
      <xdr:row>6</xdr:row>
      <xdr:rowOff>95250</xdr:rowOff>
    </xdr:from>
    <xdr:to>
      <xdr:col>6</xdr:col>
      <xdr:colOff>571500</xdr:colOff>
      <xdr:row>8</xdr:row>
      <xdr:rowOff>30250</xdr:rowOff>
    </xdr:to>
    <xdr:sp macro="" textlink="">
      <xdr:nvSpPr>
        <xdr:cNvPr id="28" name="TextBox 27">
          <a:extLst>
            <a:ext uri="{FF2B5EF4-FFF2-40B4-BE49-F238E27FC236}">
              <a16:creationId xmlns:a16="http://schemas.microsoft.com/office/drawing/2014/main" id="{57DADBCB-1355-40B8-904A-62DEB962650E}"/>
            </a:ext>
          </a:extLst>
        </xdr:cNvPr>
        <xdr:cNvSpPr txBox="1"/>
      </xdr:nvSpPr>
      <xdr:spPr>
        <a:xfrm>
          <a:off x="2971799" y="1192530"/>
          <a:ext cx="1257301" cy="300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235733"/>
              </a:solidFill>
              <a:latin typeface="Aptos" panose="020B0004020202020204" pitchFamily="34" charset="0"/>
            </a:rPr>
            <a:t>Company D</a:t>
          </a:r>
          <a:endParaRPr lang="en-NG" sz="1400" b="1">
            <a:solidFill>
              <a:srgbClr val="235733"/>
            </a:solidFill>
            <a:latin typeface="Aptos" panose="020B0004020202020204" pitchFamily="34" charset="0"/>
          </a:endParaRPr>
        </a:p>
      </xdr:txBody>
    </xdr:sp>
    <xdr:clientData/>
  </xdr:twoCellAnchor>
  <xdr:twoCellAnchor>
    <xdr:from>
      <xdr:col>5</xdr:col>
      <xdr:colOff>381001</xdr:colOff>
      <xdr:row>10</xdr:row>
      <xdr:rowOff>142875</xdr:rowOff>
    </xdr:from>
    <xdr:to>
      <xdr:col>8</xdr:col>
      <xdr:colOff>123825</xdr:colOff>
      <xdr:row>12</xdr:row>
      <xdr:rowOff>9525</xdr:rowOff>
    </xdr:to>
    <xdr:sp macro="" textlink="">
      <xdr:nvSpPr>
        <xdr:cNvPr id="29" name="TextBox 28">
          <a:extLst>
            <a:ext uri="{FF2B5EF4-FFF2-40B4-BE49-F238E27FC236}">
              <a16:creationId xmlns:a16="http://schemas.microsoft.com/office/drawing/2014/main" id="{9BBF6A0C-4E84-4DC3-AD42-7C1C33CD9C9D}"/>
            </a:ext>
          </a:extLst>
        </xdr:cNvPr>
        <xdr:cNvSpPr txBox="1"/>
      </xdr:nvSpPr>
      <xdr:spPr>
        <a:xfrm>
          <a:off x="3429001" y="1971675"/>
          <a:ext cx="1571624" cy="232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rgbClr val="235733"/>
              </a:solidFill>
              <a:latin typeface="Aptos" panose="020B0004020202020204" pitchFamily="34" charset="0"/>
            </a:rPr>
            <a:t>Top Growing State</a:t>
          </a:r>
          <a:endParaRPr lang="en-NG" sz="1100" b="0">
            <a:solidFill>
              <a:srgbClr val="235733"/>
            </a:solidFill>
            <a:latin typeface="Aptos" panose="020B0004020202020204" pitchFamily="34" charset="0"/>
          </a:endParaRPr>
        </a:p>
      </xdr:txBody>
    </xdr:sp>
    <xdr:clientData/>
  </xdr:twoCellAnchor>
  <xdr:twoCellAnchor>
    <xdr:from>
      <xdr:col>5</xdr:col>
      <xdr:colOff>523874</xdr:colOff>
      <xdr:row>11</xdr:row>
      <xdr:rowOff>114300</xdr:rowOff>
    </xdr:from>
    <xdr:to>
      <xdr:col>7</xdr:col>
      <xdr:colOff>561975</xdr:colOff>
      <xdr:row>13</xdr:row>
      <xdr:rowOff>49300</xdr:rowOff>
    </xdr:to>
    <xdr:sp macro="" textlink="">
      <xdr:nvSpPr>
        <xdr:cNvPr id="30" name="TextBox 29">
          <a:extLst>
            <a:ext uri="{FF2B5EF4-FFF2-40B4-BE49-F238E27FC236}">
              <a16:creationId xmlns:a16="http://schemas.microsoft.com/office/drawing/2014/main" id="{2E3DE515-6FA0-4E5E-9200-88022313C32C}"/>
            </a:ext>
          </a:extLst>
        </xdr:cNvPr>
        <xdr:cNvSpPr txBox="1"/>
      </xdr:nvSpPr>
      <xdr:spPr>
        <a:xfrm>
          <a:off x="3571874" y="2125980"/>
          <a:ext cx="1257301" cy="300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235733"/>
              </a:solidFill>
              <a:latin typeface="Aptos" panose="020B0004020202020204" pitchFamily="34" charset="0"/>
            </a:rPr>
            <a:t>New York</a:t>
          </a:r>
          <a:endParaRPr lang="en-NG" sz="1400" b="1">
            <a:solidFill>
              <a:srgbClr val="235733"/>
            </a:solidFill>
            <a:latin typeface="Aptos" panose="020B0004020202020204" pitchFamily="34" charset="0"/>
          </a:endParaRPr>
        </a:p>
      </xdr:txBody>
    </xdr:sp>
    <xdr:clientData/>
  </xdr:twoCellAnchor>
  <xdr:twoCellAnchor>
    <xdr:from>
      <xdr:col>7</xdr:col>
      <xdr:colOff>485776</xdr:colOff>
      <xdr:row>5</xdr:row>
      <xdr:rowOff>133350</xdr:rowOff>
    </xdr:from>
    <xdr:to>
      <xdr:col>10</xdr:col>
      <xdr:colOff>228600</xdr:colOff>
      <xdr:row>7</xdr:row>
      <xdr:rowOff>0</xdr:rowOff>
    </xdr:to>
    <xdr:sp macro="" textlink="">
      <xdr:nvSpPr>
        <xdr:cNvPr id="31" name="TextBox 30">
          <a:extLst>
            <a:ext uri="{FF2B5EF4-FFF2-40B4-BE49-F238E27FC236}">
              <a16:creationId xmlns:a16="http://schemas.microsoft.com/office/drawing/2014/main" id="{DDA29F04-0714-446A-BE81-1C11AD17A6BC}"/>
            </a:ext>
          </a:extLst>
        </xdr:cNvPr>
        <xdr:cNvSpPr txBox="1"/>
      </xdr:nvSpPr>
      <xdr:spPr>
        <a:xfrm>
          <a:off x="4752976" y="1047750"/>
          <a:ext cx="1571624" cy="232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rgbClr val="235733"/>
              </a:solidFill>
              <a:latin typeface="Aptos" panose="020B0004020202020204" pitchFamily="34" charset="0"/>
            </a:rPr>
            <a:t>Product Of the Year</a:t>
          </a:r>
          <a:endParaRPr lang="en-NG" sz="1100" b="0">
            <a:solidFill>
              <a:srgbClr val="235733"/>
            </a:solidFill>
            <a:latin typeface="Aptos" panose="020B0004020202020204" pitchFamily="34" charset="0"/>
          </a:endParaRPr>
        </a:p>
      </xdr:txBody>
    </xdr:sp>
    <xdr:clientData/>
  </xdr:twoCellAnchor>
  <xdr:twoCellAnchor>
    <xdr:from>
      <xdr:col>8</xdr:col>
      <xdr:colOff>19049</xdr:colOff>
      <xdr:row>6</xdr:row>
      <xdr:rowOff>95250</xdr:rowOff>
    </xdr:from>
    <xdr:to>
      <xdr:col>10</xdr:col>
      <xdr:colOff>57150</xdr:colOff>
      <xdr:row>8</xdr:row>
      <xdr:rowOff>30250</xdr:rowOff>
    </xdr:to>
    <xdr:sp macro="" textlink="">
      <xdr:nvSpPr>
        <xdr:cNvPr id="32" name="TextBox 31">
          <a:extLst>
            <a:ext uri="{FF2B5EF4-FFF2-40B4-BE49-F238E27FC236}">
              <a16:creationId xmlns:a16="http://schemas.microsoft.com/office/drawing/2014/main" id="{522EB424-CD54-4603-B491-47511CC856A3}"/>
            </a:ext>
          </a:extLst>
        </xdr:cNvPr>
        <xdr:cNvSpPr txBox="1"/>
      </xdr:nvSpPr>
      <xdr:spPr>
        <a:xfrm>
          <a:off x="4895849" y="1192530"/>
          <a:ext cx="1257301" cy="300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235733"/>
              </a:solidFill>
              <a:latin typeface="Aptos" panose="020B0004020202020204" pitchFamily="34" charset="0"/>
            </a:rPr>
            <a:t>Beverages</a:t>
          </a:r>
          <a:endParaRPr lang="en-NG" sz="1400" b="1">
            <a:solidFill>
              <a:srgbClr val="235733"/>
            </a:solidFill>
            <a:latin typeface="Aptos" panose="020B0004020202020204" pitchFamily="34" charset="0"/>
          </a:endParaRPr>
        </a:p>
      </xdr:txBody>
    </xdr:sp>
    <xdr:clientData/>
  </xdr:twoCellAnchor>
  <xdr:twoCellAnchor>
    <xdr:from>
      <xdr:col>8</xdr:col>
      <xdr:colOff>457201</xdr:colOff>
      <xdr:row>10</xdr:row>
      <xdr:rowOff>142875</xdr:rowOff>
    </xdr:from>
    <xdr:to>
      <xdr:col>11</xdr:col>
      <xdr:colOff>200025</xdr:colOff>
      <xdr:row>12</xdr:row>
      <xdr:rowOff>9525</xdr:rowOff>
    </xdr:to>
    <xdr:sp macro="" textlink="">
      <xdr:nvSpPr>
        <xdr:cNvPr id="33" name="TextBox 32">
          <a:extLst>
            <a:ext uri="{FF2B5EF4-FFF2-40B4-BE49-F238E27FC236}">
              <a16:creationId xmlns:a16="http://schemas.microsoft.com/office/drawing/2014/main" id="{03C479CB-631B-493C-9138-718BFF9EE52D}"/>
            </a:ext>
          </a:extLst>
        </xdr:cNvPr>
        <xdr:cNvSpPr txBox="1"/>
      </xdr:nvSpPr>
      <xdr:spPr>
        <a:xfrm>
          <a:off x="5334001" y="1971675"/>
          <a:ext cx="1571624" cy="232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rgbClr val="235733"/>
              </a:solidFill>
              <a:latin typeface="Aptos" panose="020B0004020202020204" pitchFamily="34" charset="0"/>
            </a:rPr>
            <a:t>Best</a:t>
          </a:r>
          <a:r>
            <a:rPr lang="en-US" sz="1100" b="0" baseline="0">
              <a:solidFill>
                <a:srgbClr val="235733"/>
              </a:solidFill>
              <a:latin typeface="Aptos" panose="020B0004020202020204" pitchFamily="34" charset="0"/>
            </a:rPr>
            <a:t> Region By Rev.</a:t>
          </a:r>
          <a:endParaRPr lang="en-NG" sz="1100" b="0">
            <a:solidFill>
              <a:srgbClr val="235733"/>
            </a:solidFill>
            <a:latin typeface="Aptos" panose="020B0004020202020204" pitchFamily="34" charset="0"/>
          </a:endParaRPr>
        </a:p>
      </xdr:txBody>
    </xdr:sp>
    <xdr:clientData/>
  </xdr:twoCellAnchor>
  <xdr:twoCellAnchor>
    <xdr:from>
      <xdr:col>9</xdr:col>
      <xdr:colOff>161924</xdr:colOff>
      <xdr:row>11</xdr:row>
      <xdr:rowOff>104775</xdr:rowOff>
    </xdr:from>
    <xdr:to>
      <xdr:col>11</xdr:col>
      <xdr:colOff>200025</xdr:colOff>
      <xdr:row>13</xdr:row>
      <xdr:rowOff>39775</xdr:rowOff>
    </xdr:to>
    <xdr:sp macro="" textlink="">
      <xdr:nvSpPr>
        <xdr:cNvPr id="34" name="TextBox 33">
          <a:extLst>
            <a:ext uri="{FF2B5EF4-FFF2-40B4-BE49-F238E27FC236}">
              <a16:creationId xmlns:a16="http://schemas.microsoft.com/office/drawing/2014/main" id="{534CF39D-468E-450B-BD36-99C491539BF0}"/>
            </a:ext>
          </a:extLst>
        </xdr:cNvPr>
        <xdr:cNvSpPr txBox="1"/>
      </xdr:nvSpPr>
      <xdr:spPr>
        <a:xfrm>
          <a:off x="5648324" y="2116455"/>
          <a:ext cx="1257301" cy="300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235733"/>
              </a:solidFill>
              <a:latin typeface="Aptos" panose="020B0004020202020204" pitchFamily="34" charset="0"/>
            </a:rPr>
            <a:t>North</a:t>
          </a:r>
          <a:endParaRPr lang="en-NG" sz="1400" b="1">
            <a:solidFill>
              <a:srgbClr val="235733"/>
            </a:solidFill>
            <a:latin typeface="Aptos" panose="020B0004020202020204" pitchFamily="34" charset="0"/>
          </a:endParaRPr>
        </a:p>
      </xdr:txBody>
    </xdr:sp>
    <xdr:clientData/>
  </xdr:twoCellAnchor>
  <xdr:twoCellAnchor editAs="oneCell">
    <xdr:from>
      <xdr:col>0</xdr:col>
      <xdr:colOff>457200</xdr:colOff>
      <xdr:row>1</xdr:row>
      <xdr:rowOff>0</xdr:rowOff>
    </xdr:from>
    <xdr:to>
      <xdr:col>1</xdr:col>
      <xdr:colOff>533400</xdr:colOff>
      <xdr:row>4</xdr:row>
      <xdr:rowOff>142875</xdr:rowOff>
    </xdr:to>
    <xdr:pic>
      <xdr:nvPicPr>
        <xdr:cNvPr id="35" name="Picture 34">
          <a:extLst>
            <a:ext uri="{FF2B5EF4-FFF2-40B4-BE49-F238E27FC236}">
              <a16:creationId xmlns:a16="http://schemas.microsoft.com/office/drawing/2014/main" id="{77C5D626-0321-478D-990A-54BB1CEADD0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457200" y="182880"/>
          <a:ext cx="685800" cy="691515"/>
        </a:xfrm>
        <a:prstGeom prst="rect">
          <a:avLst/>
        </a:prstGeom>
      </xdr:spPr>
    </xdr:pic>
    <xdr:clientData/>
  </xdr:twoCellAnchor>
  <xdr:twoCellAnchor>
    <xdr:from>
      <xdr:col>1</xdr:col>
      <xdr:colOff>342899</xdr:colOff>
      <xdr:row>1</xdr:row>
      <xdr:rowOff>9526</xdr:rowOff>
    </xdr:from>
    <xdr:to>
      <xdr:col>4</xdr:col>
      <xdr:colOff>28574</xdr:colOff>
      <xdr:row>4</xdr:row>
      <xdr:rowOff>28575</xdr:rowOff>
    </xdr:to>
    <xdr:sp macro="" textlink="">
      <xdr:nvSpPr>
        <xdr:cNvPr id="36" name="TextBox 35">
          <a:extLst>
            <a:ext uri="{FF2B5EF4-FFF2-40B4-BE49-F238E27FC236}">
              <a16:creationId xmlns:a16="http://schemas.microsoft.com/office/drawing/2014/main" id="{928B08D0-9590-4DF2-9DED-BCA6D17F83BE}"/>
            </a:ext>
          </a:extLst>
        </xdr:cNvPr>
        <xdr:cNvSpPr txBox="1"/>
      </xdr:nvSpPr>
      <xdr:spPr>
        <a:xfrm>
          <a:off x="952499" y="192406"/>
          <a:ext cx="1514475" cy="567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baseline="0">
              <a:solidFill>
                <a:schemeClr val="bg1"/>
              </a:solidFill>
              <a:latin typeface="Aptos" panose="020B0004020202020204" pitchFamily="34" charset="0"/>
            </a:rPr>
            <a:t>Habourview Superstores</a:t>
          </a:r>
          <a:endParaRPr lang="en-NG" sz="1400" b="1">
            <a:solidFill>
              <a:schemeClr val="bg1"/>
            </a:solidFill>
            <a:latin typeface="Aptos" panose="020B0004020202020204" pitchFamily="34" charset="0"/>
          </a:endParaRPr>
        </a:p>
      </xdr:txBody>
    </xdr:sp>
    <xdr:clientData/>
  </xdr:twoCellAnchor>
  <xdr:twoCellAnchor>
    <xdr:from>
      <xdr:col>1</xdr:col>
      <xdr:colOff>523875</xdr:colOff>
      <xdr:row>3</xdr:row>
      <xdr:rowOff>142875</xdr:rowOff>
    </xdr:from>
    <xdr:to>
      <xdr:col>3</xdr:col>
      <xdr:colOff>390525</xdr:colOff>
      <xdr:row>5</xdr:row>
      <xdr:rowOff>9525</xdr:rowOff>
    </xdr:to>
    <xdr:sp macro="" textlink="">
      <xdr:nvSpPr>
        <xdr:cNvPr id="37" name="TextBox 36">
          <a:extLst>
            <a:ext uri="{FF2B5EF4-FFF2-40B4-BE49-F238E27FC236}">
              <a16:creationId xmlns:a16="http://schemas.microsoft.com/office/drawing/2014/main" id="{5D220546-EA0C-4A58-AFCE-F2E034C93726}"/>
            </a:ext>
          </a:extLst>
        </xdr:cNvPr>
        <xdr:cNvSpPr txBox="1"/>
      </xdr:nvSpPr>
      <xdr:spPr>
        <a:xfrm>
          <a:off x="1133475" y="691515"/>
          <a:ext cx="1085850" cy="232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bg1"/>
              </a:solidFill>
              <a:latin typeface="Century Gothic" panose="020B0502020202020204" pitchFamily="34" charset="0"/>
            </a:rPr>
            <a:t>Data Team</a:t>
          </a:r>
          <a:endParaRPr lang="en-NG" sz="1100" b="0">
            <a:solidFill>
              <a:schemeClr val="bg1"/>
            </a:solidFill>
            <a:latin typeface="Century Gothic" panose="020B0502020202020204" pitchFamily="34" charset="0"/>
          </a:endParaRPr>
        </a:p>
      </xdr:txBody>
    </xdr:sp>
    <xdr:clientData/>
  </xdr:twoCellAnchor>
  <xdr:twoCellAnchor>
    <xdr:from>
      <xdr:col>0</xdr:col>
      <xdr:colOff>533400</xdr:colOff>
      <xdr:row>6</xdr:row>
      <xdr:rowOff>114300</xdr:rowOff>
    </xdr:from>
    <xdr:to>
      <xdr:col>3</xdr:col>
      <xdr:colOff>333376</xdr:colOff>
      <xdr:row>9</xdr:row>
      <xdr:rowOff>28575</xdr:rowOff>
    </xdr:to>
    <xdr:sp macro="" textlink="">
      <xdr:nvSpPr>
        <xdr:cNvPr id="38" name="Rectangle 37">
          <a:extLst>
            <a:ext uri="{FF2B5EF4-FFF2-40B4-BE49-F238E27FC236}">
              <a16:creationId xmlns:a16="http://schemas.microsoft.com/office/drawing/2014/main" id="{32638BFC-A439-447E-BC27-3DDF6A01ACD3}"/>
            </a:ext>
          </a:extLst>
        </xdr:cNvPr>
        <xdr:cNvSpPr/>
      </xdr:nvSpPr>
      <xdr:spPr>
        <a:xfrm>
          <a:off x="533400" y="1211580"/>
          <a:ext cx="1628776" cy="46291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266700</xdr:colOff>
      <xdr:row>7</xdr:row>
      <xdr:rowOff>28575</xdr:rowOff>
    </xdr:from>
    <xdr:to>
      <xdr:col>3</xdr:col>
      <xdr:colOff>238125</xdr:colOff>
      <xdr:row>8</xdr:row>
      <xdr:rowOff>66675</xdr:rowOff>
    </xdr:to>
    <xdr:sp macro="" textlink="">
      <xdr:nvSpPr>
        <xdr:cNvPr id="39" name="TextBox 38">
          <a:extLst>
            <a:ext uri="{FF2B5EF4-FFF2-40B4-BE49-F238E27FC236}">
              <a16:creationId xmlns:a16="http://schemas.microsoft.com/office/drawing/2014/main" id="{70024F6F-9D4C-445F-9161-E4E429DDBB5B}"/>
            </a:ext>
          </a:extLst>
        </xdr:cNvPr>
        <xdr:cNvSpPr txBox="1"/>
      </xdr:nvSpPr>
      <xdr:spPr>
        <a:xfrm>
          <a:off x="876300" y="1308735"/>
          <a:ext cx="1190625"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235733"/>
              </a:solidFill>
              <a:latin typeface="Aptos" panose="020B0004020202020204" pitchFamily="34" charset="0"/>
            </a:rPr>
            <a:t>Dashboard</a:t>
          </a:r>
          <a:endParaRPr lang="en-NG" sz="1200">
            <a:solidFill>
              <a:srgbClr val="235733"/>
            </a:solidFill>
            <a:latin typeface="Aptos" panose="020B0004020202020204" pitchFamily="34" charset="0"/>
          </a:endParaRPr>
        </a:p>
      </xdr:txBody>
    </xdr:sp>
    <xdr:clientData/>
  </xdr:twoCellAnchor>
  <xdr:twoCellAnchor editAs="oneCell">
    <xdr:from>
      <xdr:col>0</xdr:col>
      <xdr:colOff>590551</xdr:colOff>
      <xdr:row>7</xdr:row>
      <xdr:rowOff>1</xdr:rowOff>
    </xdr:from>
    <xdr:to>
      <xdr:col>1</xdr:col>
      <xdr:colOff>342901</xdr:colOff>
      <xdr:row>9</xdr:row>
      <xdr:rowOff>1</xdr:rowOff>
    </xdr:to>
    <xdr:pic>
      <xdr:nvPicPr>
        <xdr:cNvPr id="40" name="Graphic 39" descr="Speech with solid fill">
          <a:extLst>
            <a:ext uri="{FF2B5EF4-FFF2-40B4-BE49-F238E27FC236}">
              <a16:creationId xmlns:a16="http://schemas.microsoft.com/office/drawing/2014/main" id="{124464BA-78AB-4DB4-98D8-037F29ADA9A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90551" y="1280161"/>
          <a:ext cx="361950" cy="365760"/>
        </a:xfrm>
        <a:prstGeom prst="rect">
          <a:avLst/>
        </a:prstGeom>
      </xdr:spPr>
    </xdr:pic>
    <xdr:clientData/>
  </xdr:twoCellAnchor>
  <xdr:twoCellAnchor>
    <xdr:from>
      <xdr:col>1</xdr:col>
      <xdr:colOff>342900</xdr:colOff>
      <xdr:row>9</xdr:row>
      <xdr:rowOff>152400</xdr:rowOff>
    </xdr:from>
    <xdr:to>
      <xdr:col>3</xdr:col>
      <xdr:colOff>314325</xdr:colOff>
      <xdr:row>11</xdr:row>
      <xdr:rowOff>9525</xdr:rowOff>
    </xdr:to>
    <xdr:sp macro="" textlink="">
      <xdr:nvSpPr>
        <xdr:cNvPr id="41" name="TextBox 40">
          <a:hlinkClick xmlns:r="http://schemas.openxmlformats.org/officeDocument/2006/relationships" r:id="rId11"/>
          <a:extLst>
            <a:ext uri="{FF2B5EF4-FFF2-40B4-BE49-F238E27FC236}">
              <a16:creationId xmlns:a16="http://schemas.microsoft.com/office/drawing/2014/main" id="{93649FF4-0F1D-4D46-A7C2-CF8665C80C0D}"/>
            </a:ext>
          </a:extLst>
        </xdr:cNvPr>
        <xdr:cNvSpPr txBox="1"/>
      </xdr:nvSpPr>
      <xdr:spPr>
        <a:xfrm>
          <a:off x="952500" y="1798320"/>
          <a:ext cx="1190625" cy="222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Aptos" panose="020B0004020202020204" pitchFamily="34" charset="0"/>
            </a:rPr>
            <a:t>Insights</a:t>
          </a:r>
          <a:endParaRPr lang="en-NG" sz="1200">
            <a:solidFill>
              <a:schemeClr val="bg1"/>
            </a:solidFill>
            <a:latin typeface="Aptos" panose="020B0004020202020204" pitchFamily="34" charset="0"/>
          </a:endParaRPr>
        </a:p>
      </xdr:txBody>
    </xdr:sp>
    <xdr:clientData/>
  </xdr:twoCellAnchor>
  <xdr:twoCellAnchor editAs="oneCell">
    <xdr:from>
      <xdr:col>1</xdr:col>
      <xdr:colOff>19050</xdr:colOff>
      <xdr:row>9</xdr:row>
      <xdr:rowOff>123825</xdr:rowOff>
    </xdr:from>
    <xdr:to>
      <xdr:col>1</xdr:col>
      <xdr:colOff>382650</xdr:colOff>
      <xdr:row>11</xdr:row>
      <xdr:rowOff>125475</xdr:rowOff>
    </xdr:to>
    <xdr:pic>
      <xdr:nvPicPr>
        <xdr:cNvPr id="42" name="Graphic 41" descr="Research with solid fill">
          <a:extLst>
            <a:ext uri="{FF2B5EF4-FFF2-40B4-BE49-F238E27FC236}">
              <a16:creationId xmlns:a16="http://schemas.microsoft.com/office/drawing/2014/main" id="{FCD911C4-6CDC-4AF7-8F86-F99B6E77C47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28650" y="1769745"/>
          <a:ext cx="363600" cy="367410"/>
        </a:xfrm>
        <a:prstGeom prst="rect">
          <a:avLst/>
        </a:prstGeom>
      </xdr:spPr>
    </xdr:pic>
    <xdr:clientData/>
  </xdr:twoCellAnchor>
  <xdr:twoCellAnchor>
    <xdr:from>
      <xdr:col>0</xdr:col>
      <xdr:colOff>476250</xdr:colOff>
      <xdr:row>12</xdr:row>
      <xdr:rowOff>123825</xdr:rowOff>
    </xdr:from>
    <xdr:to>
      <xdr:col>3</xdr:col>
      <xdr:colOff>361950</xdr:colOff>
      <xdr:row>12</xdr:row>
      <xdr:rowOff>123825</xdr:rowOff>
    </xdr:to>
    <xdr:cxnSp macro="">
      <xdr:nvCxnSpPr>
        <xdr:cNvPr id="43" name="Straight Connector 42">
          <a:extLst>
            <a:ext uri="{FF2B5EF4-FFF2-40B4-BE49-F238E27FC236}">
              <a16:creationId xmlns:a16="http://schemas.microsoft.com/office/drawing/2014/main" id="{EDB560CF-5087-4EBE-B7C6-5A410E5612BB}"/>
            </a:ext>
          </a:extLst>
        </xdr:cNvPr>
        <xdr:cNvCxnSpPr/>
      </xdr:nvCxnSpPr>
      <xdr:spPr>
        <a:xfrm>
          <a:off x="476250" y="2318385"/>
          <a:ext cx="1714500"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152400</xdr:colOff>
      <xdr:row>14</xdr:row>
      <xdr:rowOff>9525</xdr:rowOff>
    </xdr:from>
    <xdr:to>
      <xdr:col>3</xdr:col>
      <xdr:colOff>123825</xdr:colOff>
      <xdr:row>15</xdr:row>
      <xdr:rowOff>47625</xdr:rowOff>
    </xdr:to>
    <xdr:sp macro="" textlink="">
      <xdr:nvSpPr>
        <xdr:cNvPr id="44" name="TextBox 43">
          <a:hlinkClick xmlns:r="http://schemas.openxmlformats.org/officeDocument/2006/relationships" r:id="rId14"/>
          <a:extLst>
            <a:ext uri="{FF2B5EF4-FFF2-40B4-BE49-F238E27FC236}">
              <a16:creationId xmlns:a16="http://schemas.microsoft.com/office/drawing/2014/main" id="{D79EB351-F42D-454B-A8FE-C11999E7AE48}"/>
            </a:ext>
          </a:extLst>
        </xdr:cNvPr>
        <xdr:cNvSpPr txBox="1"/>
      </xdr:nvSpPr>
      <xdr:spPr>
        <a:xfrm>
          <a:off x="762000" y="2569845"/>
          <a:ext cx="1190625"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Aptos" panose="020B0004020202020204" pitchFamily="34" charset="0"/>
            </a:rPr>
            <a:t>Pre analysis</a:t>
          </a:r>
          <a:endParaRPr lang="en-NG" sz="1200">
            <a:solidFill>
              <a:schemeClr val="bg1"/>
            </a:solidFill>
            <a:latin typeface="Aptos" panose="020B0004020202020204" pitchFamily="34" charset="0"/>
          </a:endParaRPr>
        </a:p>
      </xdr:txBody>
    </xdr:sp>
    <xdr:clientData/>
  </xdr:twoCellAnchor>
  <xdr:twoCellAnchor>
    <xdr:from>
      <xdr:col>1</xdr:col>
      <xdr:colOff>171450</xdr:colOff>
      <xdr:row>16</xdr:row>
      <xdr:rowOff>114300</xdr:rowOff>
    </xdr:from>
    <xdr:to>
      <xdr:col>3</xdr:col>
      <xdr:colOff>142875</xdr:colOff>
      <xdr:row>17</xdr:row>
      <xdr:rowOff>152400</xdr:rowOff>
    </xdr:to>
    <xdr:sp macro="" textlink="">
      <xdr:nvSpPr>
        <xdr:cNvPr id="45" name="TextBox 44">
          <a:hlinkClick xmlns:r="http://schemas.openxmlformats.org/officeDocument/2006/relationships" r:id="rId15"/>
          <a:extLst>
            <a:ext uri="{FF2B5EF4-FFF2-40B4-BE49-F238E27FC236}">
              <a16:creationId xmlns:a16="http://schemas.microsoft.com/office/drawing/2014/main" id="{CFEF6C73-64E2-4913-BB00-E2C13A151912}"/>
            </a:ext>
          </a:extLst>
        </xdr:cNvPr>
        <xdr:cNvSpPr txBox="1"/>
      </xdr:nvSpPr>
      <xdr:spPr>
        <a:xfrm>
          <a:off x="781050" y="3040380"/>
          <a:ext cx="1190625"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Aptos" panose="020B0004020202020204" pitchFamily="34" charset="0"/>
            </a:rPr>
            <a:t>Post analysis</a:t>
          </a:r>
          <a:endParaRPr lang="en-NG" sz="1200">
            <a:solidFill>
              <a:schemeClr val="bg1"/>
            </a:solidFill>
            <a:latin typeface="Aptos" panose="020B0004020202020204" pitchFamily="34" charset="0"/>
          </a:endParaRPr>
        </a:p>
      </xdr:txBody>
    </xdr:sp>
    <xdr:clientData/>
  </xdr:twoCellAnchor>
  <xdr:twoCellAnchor editAs="oneCell">
    <xdr:from>
      <xdr:col>0</xdr:col>
      <xdr:colOff>371475</xdr:colOff>
      <xdr:row>19</xdr:row>
      <xdr:rowOff>152400</xdr:rowOff>
    </xdr:from>
    <xdr:to>
      <xdr:col>4</xdr:col>
      <xdr:colOff>0</xdr:colOff>
      <xdr:row>28</xdr:row>
      <xdr:rowOff>142875</xdr:rowOff>
    </xdr:to>
    <mc:AlternateContent xmlns:mc="http://schemas.openxmlformats.org/markup-compatibility/2006" xmlns:a14="http://schemas.microsoft.com/office/drawing/2010/main">
      <mc:Choice Requires="a14">
        <xdr:graphicFrame macro="">
          <xdr:nvGraphicFramePr>
            <xdr:cNvPr id="46" name="Salesperson 2">
              <a:extLst>
                <a:ext uri="{FF2B5EF4-FFF2-40B4-BE49-F238E27FC236}">
                  <a16:creationId xmlns:a16="http://schemas.microsoft.com/office/drawing/2014/main" id="{83FDF713-8FC4-481B-999C-A93D5172D879}"/>
                </a:ext>
              </a:extLst>
            </xdr:cNvPr>
            <xdr:cNvGraphicFramePr/>
          </xdr:nvGraphicFramePr>
          <xdr:xfrm>
            <a:off x="0" y="0"/>
            <a:ext cx="0" cy="0"/>
          </xdr:xfrm>
          <a:graphic>
            <a:graphicData uri="http://schemas.microsoft.com/office/drawing/2010/slicer">
              <sle:slicer xmlns:sle="http://schemas.microsoft.com/office/drawing/2010/slicer" name="Salesperson 2"/>
            </a:graphicData>
          </a:graphic>
        </xdr:graphicFrame>
      </mc:Choice>
      <mc:Fallback xmlns="">
        <xdr:sp macro="" textlink="">
          <xdr:nvSpPr>
            <xdr:cNvPr id="0" name=""/>
            <xdr:cNvSpPr>
              <a:spLocks noTextEdit="1"/>
            </xdr:cNvSpPr>
          </xdr:nvSpPr>
          <xdr:spPr>
            <a:xfrm>
              <a:off x="371475" y="3590925"/>
              <a:ext cx="2066925" cy="16192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381001</xdr:colOff>
      <xdr:row>31</xdr:row>
      <xdr:rowOff>19050</xdr:rowOff>
    </xdr:from>
    <xdr:to>
      <xdr:col>3</xdr:col>
      <xdr:colOff>571501</xdr:colOff>
      <xdr:row>38</xdr:row>
      <xdr:rowOff>95250</xdr:rowOff>
    </xdr:to>
    <mc:AlternateContent xmlns:mc="http://schemas.openxmlformats.org/markup-compatibility/2006" xmlns:a14="http://schemas.microsoft.com/office/drawing/2010/main">
      <mc:Choice Requires="a14">
        <xdr:graphicFrame macro="">
          <xdr:nvGraphicFramePr>
            <xdr:cNvPr id="47" name="Product Name 2">
              <a:extLst>
                <a:ext uri="{FF2B5EF4-FFF2-40B4-BE49-F238E27FC236}">
                  <a16:creationId xmlns:a16="http://schemas.microsoft.com/office/drawing/2014/main" id="{474C4198-CFCD-4A1D-80F7-C22BFE3241DA}"/>
                </a:ext>
              </a:extLst>
            </xdr:cNvPr>
            <xdr:cNvGraphicFramePr/>
          </xdr:nvGraphicFramePr>
          <xdr:xfrm>
            <a:off x="0" y="0"/>
            <a:ext cx="0" cy="0"/>
          </xdr:xfrm>
          <a:graphic>
            <a:graphicData uri="http://schemas.microsoft.com/office/drawing/2010/slicer">
              <sle:slicer xmlns:sle="http://schemas.microsoft.com/office/drawing/2010/slicer" name="Product Name 2"/>
            </a:graphicData>
          </a:graphic>
        </xdr:graphicFrame>
      </mc:Choice>
      <mc:Fallback xmlns="">
        <xdr:sp macro="" textlink="">
          <xdr:nvSpPr>
            <xdr:cNvPr id="0" name=""/>
            <xdr:cNvSpPr>
              <a:spLocks noTextEdit="1"/>
            </xdr:cNvSpPr>
          </xdr:nvSpPr>
          <xdr:spPr>
            <a:xfrm>
              <a:off x="381001" y="5629275"/>
              <a:ext cx="2019300" cy="13430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438150</xdr:colOff>
      <xdr:row>18</xdr:row>
      <xdr:rowOff>152400</xdr:rowOff>
    </xdr:from>
    <xdr:to>
      <xdr:col>3</xdr:col>
      <xdr:colOff>323850</xdr:colOff>
      <xdr:row>18</xdr:row>
      <xdr:rowOff>152400</xdr:rowOff>
    </xdr:to>
    <xdr:cxnSp macro="">
      <xdr:nvCxnSpPr>
        <xdr:cNvPr id="48" name="Straight Connector 47">
          <a:extLst>
            <a:ext uri="{FF2B5EF4-FFF2-40B4-BE49-F238E27FC236}">
              <a16:creationId xmlns:a16="http://schemas.microsoft.com/office/drawing/2014/main" id="{3270F69D-292E-4869-B9D6-DA1D7761F3DE}"/>
            </a:ext>
          </a:extLst>
        </xdr:cNvPr>
        <xdr:cNvCxnSpPr/>
      </xdr:nvCxnSpPr>
      <xdr:spPr>
        <a:xfrm>
          <a:off x="438150" y="3444240"/>
          <a:ext cx="1714500"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352425</xdr:colOff>
      <xdr:row>4</xdr:row>
      <xdr:rowOff>85724</xdr:rowOff>
    </xdr:from>
    <xdr:to>
      <xdr:col>19</xdr:col>
      <xdr:colOff>228601</xdr:colOff>
      <xdr:row>7</xdr:row>
      <xdr:rowOff>171450</xdr:rowOff>
    </xdr:to>
    <xdr:sp macro="" textlink="">
      <xdr:nvSpPr>
        <xdr:cNvPr id="49" name="TextBox 48">
          <a:extLst>
            <a:ext uri="{FF2B5EF4-FFF2-40B4-BE49-F238E27FC236}">
              <a16:creationId xmlns:a16="http://schemas.microsoft.com/office/drawing/2014/main" id="{166CB9C4-2ECB-4A03-8E14-A47CA1DD2257}"/>
            </a:ext>
          </a:extLst>
        </xdr:cNvPr>
        <xdr:cNvSpPr txBox="1"/>
      </xdr:nvSpPr>
      <xdr:spPr>
        <a:xfrm>
          <a:off x="10106025" y="817244"/>
          <a:ext cx="1704976" cy="634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rgbClr val="235733"/>
              </a:solidFill>
              <a:latin typeface="Aptos" panose="020B0004020202020204" pitchFamily="34" charset="0"/>
            </a:rPr>
            <a:t>North &amp; East = 58% of revenue. </a:t>
          </a:r>
        </a:p>
        <a:p>
          <a:r>
            <a:rPr lang="en-US" sz="900">
              <a:solidFill>
                <a:srgbClr val="235733"/>
              </a:solidFill>
              <a:latin typeface="Aptos" panose="020B0004020202020204" pitchFamily="34" charset="0"/>
            </a:rPr>
            <a:t>West lags — needs attention.</a:t>
          </a:r>
          <a:endParaRPr lang="en-NG" sz="900">
            <a:solidFill>
              <a:srgbClr val="235733"/>
            </a:solidFill>
            <a:latin typeface="Aptos" panose="020B0004020202020204" pitchFamily="34" charset="0"/>
          </a:endParaRPr>
        </a:p>
      </xdr:txBody>
    </xdr:sp>
    <xdr:clientData/>
  </xdr:twoCellAnchor>
  <xdr:twoCellAnchor>
    <xdr:from>
      <xdr:col>24</xdr:col>
      <xdr:colOff>123825</xdr:colOff>
      <xdr:row>4</xdr:row>
      <xdr:rowOff>57149</xdr:rowOff>
    </xdr:from>
    <xdr:to>
      <xdr:col>27</xdr:col>
      <xdr:colOff>47626</xdr:colOff>
      <xdr:row>7</xdr:row>
      <xdr:rowOff>142875</xdr:rowOff>
    </xdr:to>
    <xdr:sp macro="" textlink="">
      <xdr:nvSpPr>
        <xdr:cNvPr id="50" name="TextBox 49">
          <a:extLst>
            <a:ext uri="{FF2B5EF4-FFF2-40B4-BE49-F238E27FC236}">
              <a16:creationId xmlns:a16="http://schemas.microsoft.com/office/drawing/2014/main" id="{76AE9394-1525-4E36-AE68-E5EEA799374B}"/>
            </a:ext>
          </a:extLst>
        </xdr:cNvPr>
        <xdr:cNvSpPr txBox="1"/>
      </xdr:nvSpPr>
      <xdr:spPr>
        <a:xfrm>
          <a:off x="14754225" y="788669"/>
          <a:ext cx="1752601" cy="634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rgbClr val="235733"/>
              </a:solidFill>
              <a:latin typeface="Aptos" panose="020B0004020202020204" pitchFamily="34" charset="0"/>
            </a:rPr>
            <a:t>NY leads at $67K. Replicate its approach in Portland &amp; Miami.</a:t>
          </a:r>
          <a:endParaRPr lang="en-NG" sz="900">
            <a:solidFill>
              <a:srgbClr val="235733"/>
            </a:solidFill>
            <a:latin typeface="Aptos" panose="020B0004020202020204" pitchFamily="34" charset="0"/>
          </a:endParaRPr>
        </a:p>
      </xdr:txBody>
    </xdr:sp>
    <xdr:clientData/>
  </xdr:twoCellAnchor>
  <xdr:twoCellAnchor>
    <xdr:from>
      <xdr:col>8</xdr:col>
      <xdr:colOff>485775</xdr:colOff>
      <xdr:row>15</xdr:row>
      <xdr:rowOff>171449</xdr:rowOff>
    </xdr:from>
    <xdr:to>
      <xdr:col>11</xdr:col>
      <xdr:colOff>533400</xdr:colOff>
      <xdr:row>19</xdr:row>
      <xdr:rowOff>76200</xdr:rowOff>
    </xdr:to>
    <xdr:sp macro="" textlink="">
      <xdr:nvSpPr>
        <xdr:cNvPr id="51" name="TextBox 50">
          <a:extLst>
            <a:ext uri="{FF2B5EF4-FFF2-40B4-BE49-F238E27FC236}">
              <a16:creationId xmlns:a16="http://schemas.microsoft.com/office/drawing/2014/main" id="{4273F399-FCAB-4E0A-9993-F25B1EE86B57}"/>
            </a:ext>
          </a:extLst>
        </xdr:cNvPr>
        <xdr:cNvSpPr txBox="1"/>
      </xdr:nvSpPr>
      <xdr:spPr>
        <a:xfrm>
          <a:off x="5362575" y="2914649"/>
          <a:ext cx="1876425" cy="636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rgbClr val="235733"/>
              </a:solidFill>
              <a:latin typeface="Aptos" panose="020B0004020202020204" pitchFamily="34" charset="0"/>
            </a:rPr>
            <a:t>Nancy ($104K) vs. Jan ($16K) — 6x gap. Investigate why.</a:t>
          </a:r>
          <a:endParaRPr lang="en-NG" sz="900">
            <a:solidFill>
              <a:srgbClr val="235733"/>
            </a:solidFill>
            <a:latin typeface="Aptos" panose="020B0004020202020204" pitchFamily="34" charset="0"/>
          </a:endParaRPr>
        </a:p>
      </xdr:txBody>
    </xdr:sp>
    <xdr:clientData/>
  </xdr:twoCellAnchor>
  <xdr:twoCellAnchor>
    <xdr:from>
      <xdr:col>16</xdr:col>
      <xdr:colOff>180975</xdr:colOff>
      <xdr:row>15</xdr:row>
      <xdr:rowOff>161924</xdr:rowOff>
    </xdr:from>
    <xdr:to>
      <xdr:col>19</xdr:col>
      <xdr:colOff>476250</xdr:colOff>
      <xdr:row>19</xdr:row>
      <xdr:rowOff>66675</xdr:rowOff>
    </xdr:to>
    <xdr:sp macro="" textlink="">
      <xdr:nvSpPr>
        <xdr:cNvPr id="52" name="TextBox 51">
          <a:extLst>
            <a:ext uri="{FF2B5EF4-FFF2-40B4-BE49-F238E27FC236}">
              <a16:creationId xmlns:a16="http://schemas.microsoft.com/office/drawing/2014/main" id="{DB82659B-70DE-4985-A753-5808288C1CE6}"/>
            </a:ext>
          </a:extLst>
        </xdr:cNvPr>
        <xdr:cNvSpPr txBox="1"/>
      </xdr:nvSpPr>
      <xdr:spPr>
        <a:xfrm>
          <a:off x="9934575" y="2905124"/>
          <a:ext cx="2124075" cy="636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rgbClr val="235733"/>
              </a:solidFill>
              <a:latin typeface="Aptos" panose="020B0004020202020204" pitchFamily="34" charset="0"/>
            </a:rPr>
            <a:t>Beverages = top category ($110K). Canned Meat weakest — reassess.</a:t>
          </a:r>
          <a:endParaRPr lang="en-NG" sz="900">
            <a:solidFill>
              <a:srgbClr val="235733"/>
            </a:solidFill>
            <a:latin typeface="Aptos" panose="020B0004020202020204" pitchFamily="34" charset="0"/>
          </a:endParaRPr>
        </a:p>
      </xdr:txBody>
    </xdr:sp>
    <xdr:clientData/>
  </xdr:twoCellAnchor>
  <xdr:twoCellAnchor>
    <xdr:from>
      <xdr:col>23</xdr:col>
      <xdr:colOff>514350</xdr:colOff>
      <xdr:row>15</xdr:row>
      <xdr:rowOff>152399</xdr:rowOff>
    </xdr:from>
    <xdr:to>
      <xdr:col>27</xdr:col>
      <xdr:colOff>200025</xdr:colOff>
      <xdr:row>18</xdr:row>
      <xdr:rowOff>28575</xdr:rowOff>
    </xdr:to>
    <xdr:sp macro="" textlink="">
      <xdr:nvSpPr>
        <xdr:cNvPr id="53" name="TextBox 52">
          <a:extLst>
            <a:ext uri="{FF2B5EF4-FFF2-40B4-BE49-F238E27FC236}">
              <a16:creationId xmlns:a16="http://schemas.microsoft.com/office/drawing/2014/main" id="{9C0C5C25-3438-4835-ADB7-5C82D3697180}"/>
            </a:ext>
          </a:extLst>
        </xdr:cNvPr>
        <xdr:cNvSpPr txBox="1"/>
      </xdr:nvSpPr>
      <xdr:spPr>
        <a:xfrm>
          <a:off x="14535150" y="2895599"/>
          <a:ext cx="2124075" cy="424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rgbClr val="235733"/>
              </a:solidFill>
              <a:latin typeface="Aptos" panose="020B0004020202020204" pitchFamily="34" charset="0"/>
            </a:rPr>
            <a:t>Sales cluster on the coasts. Central U.S. = untapped opportunity.</a:t>
          </a:r>
          <a:endParaRPr lang="en-NG" sz="900">
            <a:solidFill>
              <a:srgbClr val="235733"/>
            </a:solidFill>
            <a:latin typeface="Aptos" panose="020B0004020202020204" pitchFamily="34" charset="0"/>
          </a:endParaRPr>
        </a:p>
      </xdr:txBody>
    </xdr:sp>
    <xdr:clientData/>
  </xdr:twoCellAnchor>
  <xdr:twoCellAnchor>
    <xdr:from>
      <xdr:col>8</xdr:col>
      <xdr:colOff>219075</xdr:colOff>
      <xdr:row>28</xdr:row>
      <xdr:rowOff>123824</xdr:rowOff>
    </xdr:from>
    <xdr:to>
      <xdr:col>11</xdr:col>
      <xdr:colOff>352425</xdr:colOff>
      <xdr:row>32</xdr:row>
      <xdr:rowOff>28575</xdr:rowOff>
    </xdr:to>
    <xdr:sp macro="" textlink="">
      <xdr:nvSpPr>
        <xdr:cNvPr id="54" name="TextBox 53">
          <a:extLst>
            <a:ext uri="{FF2B5EF4-FFF2-40B4-BE49-F238E27FC236}">
              <a16:creationId xmlns:a16="http://schemas.microsoft.com/office/drawing/2014/main" id="{5DA33C6A-2E30-4388-B3D3-BD42A9DCF6AC}"/>
            </a:ext>
          </a:extLst>
        </xdr:cNvPr>
        <xdr:cNvSpPr txBox="1"/>
      </xdr:nvSpPr>
      <xdr:spPr>
        <a:xfrm>
          <a:off x="5095875" y="5244464"/>
          <a:ext cx="1962150" cy="636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rgbClr val="235733"/>
              </a:solidFill>
              <a:latin typeface="Aptos" panose="020B0004020202020204" pitchFamily="34" charset="0"/>
            </a:rPr>
            <a:t>Top 3 cities = $167K. Risk: too concentrated — diversify.</a:t>
          </a:r>
          <a:endParaRPr lang="en-NG" sz="900">
            <a:solidFill>
              <a:srgbClr val="235733"/>
            </a:solidFill>
            <a:latin typeface="Aptos" panose="020B0004020202020204" pitchFamily="34" charset="0"/>
          </a:endParaRPr>
        </a:p>
      </xdr:txBody>
    </xdr:sp>
    <xdr:clientData/>
  </xdr:twoCellAnchor>
  <xdr:twoCellAnchor>
    <xdr:from>
      <xdr:col>21</xdr:col>
      <xdr:colOff>390525</xdr:colOff>
      <xdr:row>29</xdr:row>
      <xdr:rowOff>28574</xdr:rowOff>
    </xdr:from>
    <xdr:to>
      <xdr:col>27</xdr:col>
      <xdr:colOff>400050</xdr:colOff>
      <xdr:row>32</xdr:row>
      <xdr:rowOff>114300</xdr:rowOff>
    </xdr:to>
    <xdr:sp macro="" textlink="">
      <xdr:nvSpPr>
        <xdr:cNvPr id="55" name="TextBox 54">
          <a:extLst>
            <a:ext uri="{FF2B5EF4-FFF2-40B4-BE49-F238E27FC236}">
              <a16:creationId xmlns:a16="http://schemas.microsoft.com/office/drawing/2014/main" id="{F4330DEE-6D98-4976-A5AF-1619BC14BC91}"/>
            </a:ext>
          </a:extLst>
        </xdr:cNvPr>
        <xdr:cNvSpPr txBox="1"/>
      </xdr:nvSpPr>
      <xdr:spPr>
        <a:xfrm>
          <a:off x="13192125" y="5332094"/>
          <a:ext cx="3667125" cy="634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rgbClr val="235733"/>
              </a:solidFill>
              <a:latin typeface="Aptos" panose="020B0004020202020204" pitchFamily="34" charset="0"/>
            </a:rPr>
            <a:t>Peaks in Jun &amp; Dec. Plan inventory/staffing around seasonality.</a:t>
          </a:r>
          <a:endParaRPr lang="en-NG" sz="900">
            <a:solidFill>
              <a:srgbClr val="235733"/>
            </a:solidFill>
            <a:latin typeface="Aptos" panose="020B0004020202020204" pitchFamily="34" charset="0"/>
          </a:endParaRPr>
        </a:p>
      </xdr:txBody>
    </xdr:sp>
    <xdr:clientData/>
  </xdr:twoCellAnchor>
  <xdr:twoCellAnchor>
    <xdr:from>
      <xdr:col>4</xdr:col>
      <xdr:colOff>400050</xdr:colOff>
      <xdr:row>4</xdr:row>
      <xdr:rowOff>150496</xdr:rowOff>
    </xdr:from>
    <xdr:to>
      <xdr:col>7</xdr:col>
      <xdr:colOff>19050</xdr:colOff>
      <xdr:row>9</xdr:row>
      <xdr:rowOff>55246</xdr:rowOff>
    </xdr:to>
    <xdr:sp macro="" textlink="">
      <xdr:nvSpPr>
        <xdr:cNvPr id="56" name="Rectangle 55">
          <a:extLst>
            <a:ext uri="{FF2B5EF4-FFF2-40B4-BE49-F238E27FC236}">
              <a16:creationId xmlns:a16="http://schemas.microsoft.com/office/drawing/2014/main" id="{9C92B719-F2FA-441C-83C3-99CF1EEA5F1C}"/>
            </a:ext>
          </a:extLst>
        </xdr:cNvPr>
        <xdr:cNvSpPr/>
      </xdr:nvSpPr>
      <xdr:spPr>
        <a:xfrm>
          <a:off x="2838450" y="882016"/>
          <a:ext cx="1447800" cy="819150"/>
        </a:xfrm>
        <a:prstGeom prst="rect">
          <a:avLst/>
        </a:prstGeom>
        <a:solidFill>
          <a:srgbClr val="00FF00">
            <a:alpha val="2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447675</xdr:colOff>
      <xdr:row>4</xdr:row>
      <xdr:rowOff>140971</xdr:rowOff>
    </xdr:from>
    <xdr:to>
      <xdr:col>10</xdr:col>
      <xdr:colOff>66675</xdr:colOff>
      <xdr:row>9</xdr:row>
      <xdr:rowOff>45721</xdr:rowOff>
    </xdr:to>
    <xdr:sp macro="" textlink="">
      <xdr:nvSpPr>
        <xdr:cNvPr id="57" name="Rectangle 56">
          <a:extLst>
            <a:ext uri="{FF2B5EF4-FFF2-40B4-BE49-F238E27FC236}">
              <a16:creationId xmlns:a16="http://schemas.microsoft.com/office/drawing/2014/main" id="{5E2AA27A-58A9-470B-B4A3-C8140F691AF1}"/>
            </a:ext>
          </a:extLst>
        </xdr:cNvPr>
        <xdr:cNvSpPr/>
      </xdr:nvSpPr>
      <xdr:spPr>
        <a:xfrm>
          <a:off x="4714875" y="872491"/>
          <a:ext cx="1447800" cy="819150"/>
        </a:xfrm>
        <a:prstGeom prst="rect">
          <a:avLst/>
        </a:prstGeom>
        <a:solidFill>
          <a:srgbClr val="FF99CC">
            <a:alpha val="2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304800</xdr:colOff>
      <xdr:row>9</xdr:row>
      <xdr:rowOff>169546</xdr:rowOff>
    </xdr:from>
    <xdr:to>
      <xdr:col>7</xdr:col>
      <xdr:colOff>533400</xdr:colOff>
      <xdr:row>14</xdr:row>
      <xdr:rowOff>74296</xdr:rowOff>
    </xdr:to>
    <xdr:sp macro="" textlink="">
      <xdr:nvSpPr>
        <xdr:cNvPr id="58" name="Rectangle 57">
          <a:extLst>
            <a:ext uri="{FF2B5EF4-FFF2-40B4-BE49-F238E27FC236}">
              <a16:creationId xmlns:a16="http://schemas.microsoft.com/office/drawing/2014/main" id="{F49CE56F-497D-45D9-8A68-F5B383DA0079}"/>
            </a:ext>
          </a:extLst>
        </xdr:cNvPr>
        <xdr:cNvSpPr/>
      </xdr:nvSpPr>
      <xdr:spPr>
        <a:xfrm>
          <a:off x="3352800" y="1815466"/>
          <a:ext cx="1447800" cy="819150"/>
        </a:xfrm>
        <a:prstGeom prst="rect">
          <a:avLst/>
        </a:prstGeom>
        <a:solidFill>
          <a:srgbClr val="FF3300">
            <a:alpha val="2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352425</xdr:colOff>
      <xdr:row>9</xdr:row>
      <xdr:rowOff>160021</xdr:rowOff>
    </xdr:from>
    <xdr:to>
      <xdr:col>10</xdr:col>
      <xdr:colOff>581025</xdr:colOff>
      <xdr:row>14</xdr:row>
      <xdr:rowOff>64771</xdr:rowOff>
    </xdr:to>
    <xdr:sp macro="" textlink="">
      <xdr:nvSpPr>
        <xdr:cNvPr id="59" name="Rectangle 58">
          <a:extLst>
            <a:ext uri="{FF2B5EF4-FFF2-40B4-BE49-F238E27FC236}">
              <a16:creationId xmlns:a16="http://schemas.microsoft.com/office/drawing/2014/main" id="{D9AF9FF6-528A-44BB-B0D7-E4E6CA3EB1F2}"/>
            </a:ext>
          </a:extLst>
        </xdr:cNvPr>
        <xdr:cNvSpPr/>
      </xdr:nvSpPr>
      <xdr:spPr>
        <a:xfrm>
          <a:off x="5229225" y="1805941"/>
          <a:ext cx="1447800" cy="819150"/>
        </a:xfrm>
        <a:prstGeom prst="rect">
          <a:avLst/>
        </a:prstGeom>
        <a:solidFill>
          <a:srgbClr val="CC0066">
            <a:alpha val="2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eorg\Desktop\Vephla%20data%20school%20assignments\TASK%2021\TASK%2021%20GEORGE%20NZUBECHI%20CHIBUIKEM.xlsx" TargetMode="External"/><Relationship Id="rId1" Type="http://schemas.openxmlformats.org/officeDocument/2006/relationships/externalLinkPath" Target="/Users/georg/Desktop/Vephla%20data%20school%20assignments/TASK%2021/TASK%2021%20GEORGE%20NZUBECHI%20CHIBUIKE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sk"/>
      <sheetName val="Full Dashboard"/>
      <sheetName val="Dashboard Replication Sketch"/>
      <sheetName val="Dashboard Replication"/>
      <sheetName val="Recommendations Board"/>
      <sheetName val="Post Analysis Board"/>
      <sheetName val="In Analysis Board"/>
      <sheetName val="Pre Analysis Board"/>
      <sheetName val="Dashboard Sketch"/>
      <sheetName val="Transaction By Amount"/>
      <sheetName val="Sales by Category"/>
      <sheetName val="Top Ship Cities"/>
      <sheetName val="Data (2)"/>
      <sheetName val="Cities Performance"/>
      <sheetName val="States performance"/>
      <sheetName val="Sales By Region"/>
      <sheetName val="Sales Trend"/>
      <sheetName val="Top customers"/>
      <sheetName val="Sales By Salesperson"/>
      <sheetName val="Pivot Table Diagram"/>
    </sheetNames>
    <sheetDataSet>
      <sheetData sheetId="0"/>
      <sheetData sheetId="1"/>
      <sheetData sheetId="2"/>
      <sheetData sheetId="3"/>
      <sheetData sheetId="4"/>
      <sheetData sheetId="5"/>
      <sheetData sheetId="6"/>
      <sheetData sheetId="7"/>
      <sheetData sheetId="8"/>
      <sheetData sheetId="9"/>
      <sheetData sheetId="10">
        <row r="3">
          <cell r="E3" t="str">
            <v>Sum of Revenue</v>
          </cell>
        </row>
        <row r="4">
          <cell r="D4" t="str">
            <v>Beverages</v>
          </cell>
          <cell r="E4">
            <v>110577.10999999999</v>
          </cell>
        </row>
        <row r="5">
          <cell r="D5" t="str">
            <v>Sauces</v>
          </cell>
          <cell r="E5">
            <v>69000</v>
          </cell>
        </row>
        <row r="6">
          <cell r="D6" t="str">
            <v>Jams, Preserves</v>
          </cell>
          <cell r="E6">
            <v>51541</v>
          </cell>
        </row>
        <row r="7">
          <cell r="D7" t="str">
            <v>Dairy Products</v>
          </cell>
          <cell r="E7">
            <v>33129.600000000006</v>
          </cell>
        </row>
        <row r="8">
          <cell r="D8" t="str">
            <v>Dried Fruit &amp; Nuts</v>
          </cell>
          <cell r="E8">
            <v>27999.5</v>
          </cell>
        </row>
        <row r="9">
          <cell r="D9" t="str">
            <v>Canned Meat</v>
          </cell>
          <cell r="E9">
            <v>25465.599999999999</v>
          </cell>
        </row>
      </sheetData>
      <sheetData sheetId="11">
        <row r="3">
          <cell r="P3" t="str">
            <v>New York</v>
          </cell>
          <cell r="Q3">
            <v>67180.5</v>
          </cell>
        </row>
        <row r="4">
          <cell r="P4" t="str">
            <v>Portland</v>
          </cell>
          <cell r="Q4">
            <v>50208.35</v>
          </cell>
        </row>
        <row r="5">
          <cell r="P5" t="str">
            <v>Miami</v>
          </cell>
          <cell r="Q5">
            <v>50145.330000000009</v>
          </cell>
        </row>
        <row r="6">
          <cell r="P6" t="str">
            <v>Memphis</v>
          </cell>
          <cell r="Q6">
            <v>43713</v>
          </cell>
        </row>
        <row r="7">
          <cell r="P7" t="str">
            <v>Chicago</v>
          </cell>
          <cell r="Q7">
            <v>41095.01</v>
          </cell>
        </row>
        <row r="8">
          <cell r="P8" t="str">
            <v>Milwaukee</v>
          </cell>
          <cell r="Q8">
            <v>37428</v>
          </cell>
        </row>
      </sheetData>
      <sheetData sheetId="12"/>
      <sheetData sheetId="13"/>
      <sheetData sheetId="14">
        <row r="3">
          <cell r="D3" t="str">
            <v>States</v>
          </cell>
          <cell r="E3" t="str">
            <v>Sum of Revenue</v>
          </cell>
        </row>
        <row r="4">
          <cell r="D4" t="str">
            <v>CA</v>
          </cell>
          <cell r="E4">
            <v>27005.38</v>
          </cell>
        </row>
        <row r="5">
          <cell r="D5" t="str">
            <v>CO</v>
          </cell>
          <cell r="E5">
            <v>16350.5</v>
          </cell>
        </row>
        <row r="6">
          <cell r="D6" t="str">
            <v>FL</v>
          </cell>
          <cell r="E6">
            <v>50145.330000000009</v>
          </cell>
        </row>
        <row r="7">
          <cell r="D7" t="str">
            <v>ID</v>
          </cell>
          <cell r="E7">
            <v>17204</v>
          </cell>
        </row>
        <row r="8">
          <cell r="D8" t="str">
            <v>IL</v>
          </cell>
          <cell r="E8">
            <v>41095.01</v>
          </cell>
        </row>
        <row r="9">
          <cell r="D9" t="str">
            <v>NV</v>
          </cell>
          <cell r="E9">
            <v>15365.5</v>
          </cell>
        </row>
        <row r="10">
          <cell r="D10" t="str">
            <v>NY</v>
          </cell>
          <cell r="E10">
            <v>67180.5</v>
          </cell>
        </row>
        <row r="11">
          <cell r="D11" t="str">
            <v>OR</v>
          </cell>
          <cell r="E11">
            <v>50208.35</v>
          </cell>
        </row>
        <row r="12">
          <cell r="D12" t="str">
            <v>TN</v>
          </cell>
          <cell r="E12">
            <v>43713</v>
          </cell>
        </row>
        <row r="13">
          <cell r="D13" t="str">
            <v>UT</v>
          </cell>
          <cell r="E13">
            <v>32530.6</v>
          </cell>
        </row>
        <row r="14">
          <cell r="D14" t="str">
            <v>WA</v>
          </cell>
          <cell r="E14">
            <v>36839.990000000005</v>
          </cell>
        </row>
        <row r="15">
          <cell r="D15" t="str">
            <v>WI</v>
          </cell>
          <cell r="E15">
            <v>37428</v>
          </cell>
        </row>
      </sheetData>
      <sheetData sheetId="15"/>
      <sheetData sheetId="16"/>
      <sheetData sheetId="17"/>
      <sheetData sheetId="18"/>
      <sheetData sheetId="19"/>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Users/georg/Desktop/Vephla%20data%20school%20assignments/TASK%2021/TASK%2021%20GEORGE%20NZUBECHI%20CHIBUIKEM.xlsx" TargetMode="External"/><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zubechi George" refreshedDate="46231.016367476848" createdVersion="8" refreshedVersion="8" minRefreshableVersion="3" recordCount="250" xr:uid="{CE1F86C3-C29D-4309-8EC5-504C2A8EF324}">
  <cacheSource type="worksheet">
    <worksheetSource ref="A1:J251" sheet="CLEANED DATA"/>
  </cacheSource>
  <cacheFields count="9">
    <cacheField name="Ranking" numFmtId="0">
      <sharedItems containsSemiMixedTypes="0" containsString="0" containsNumber="1" containsInteger="1" minValue="1" maxValue="250"/>
    </cacheField>
    <cacheField name="2021 Ranking" numFmtId="0">
      <sharedItems containsBlank="1" containsMixedTypes="1" containsNumber="1" containsInteger="1" minValue="1" maxValue="250"/>
    </cacheField>
    <cacheField name="Company" numFmtId="0">
      <sharedItems/>
    </cacheField>
    <cacheField name="Country" numFmtId="0">
      <sharedItems count="16">
        <s v="SOUTH AFRICA"/>
        <s v="KENYA"/>
        <s v="MOROCCO"/>
        <s v="NIGERIA"/>
        <s v="EGYPT"/>
        <s v="NAMIBIA"/>
        <s v="MAURITIUS"/>
        <s v="ZIMBABWE"/>
        <s v="IVORY COAST"/>
        <s v="GHANA"/>
        <s v="TUNISIA"/>
        <s v="TANZANIA"/>
        <s v="UGANDA"/>
        <s v="BOTSWANA"/>
        <s v="MALAWI"/>
        <s v="ZAMBIA"/>
      </sharedItems>
    </cacheField>
    <cacheField name="Market cap 2022 ($m)" numFmtId="164">
      <sharedItems containsSemiMixedTypes="0" containsString="0" containsNumber="1" containsInteger="1" minValue="286" maxValue="49619"/>
    </cacheField>
    <cacheField name="Market cap 2021 ($m)" numFmtId="164">
      <sharedItems containsMixedTypes="1" containsNumber="1" containsInteger="1" minValue="4" maxValue="104209"/>
    </cacheField>
    <cacheField name="Revenues ($m)" numFmtId="164">
      <sharedItems containsMixedTypes="1" containsNumber="1" containsInteger="1" minValue="0" maxValue="18342"/>
    </cacheField>
    <cacheField name="Net income ($m)" numFmtId="164">
      <sharedItems containsMixedTypes="1" containsNumber="1" containsInteger="1" minValue="1" maxValue="5340"/>
    </cacheField>
    <cacheField name="Sector" numFmtId="0">
      <sharedItems count="11">
        <s v="Consumer Non-Cyclicals"/>
        <s v="Non-Energy Materials"/>
        <s v="Finance"/>
        <s v="Telecommunications"/>
        <s v="Consumer Services"/>
        <s v="Healthcare"/>
        <s v="Consumer Cyclicals"/>
        <s v="Energy"/>
        <s v="Utilities"/>
        <s v="Industrials"/>
        <s v="Technology"/>
      </sharedItems>
    </cacheField>
  </cacheFields>
  <extLst>
    <ext xmlns:x14="http://schemas.microsoft.com/office/spreadsheetml/2009/9/main" uri="{725AE2AE-9491-48be-B2B4-4EB974FC3084}">
      <x14:pivotCacheDefinition pivotCacheId="8727516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zubechi George" refreshedDate="46231.130739004628" createdVersion="8" refreshedVersion="8" minRefreshableVersion="3" recordCount="250" xr:uid="{7B92FC3B-3E1D-4865-A800-78D23ED1429B}">
  <cacheSource type="worksheet">
    <worksheetSource name="Table2"/>
  </cacheSource>
  <cacheFields count="11">
    <cacheField name="Ranking" numFmtId="0">
      <sharedItems containsSemiMixedTypes="0" containsString="0" containsNumber="1" containsInteger="1" minValue="1" maxValue="250"/>
    </cacheField>
    <cacheField name="2021 Ranking" numFmtId="0">
      <sharedItems containsBlank="1" containsMixedTypes="1" containsNumber="1" containsInteger="1" minValue="1" maxValue="250"/>
    </cacheField>
    <cacheField name="Company" numFmtId="0">
      <sharedItems/>
    </cacheField>
    <cacheField name="Country" numFmtId="0">
      <sharedItems/>
    </cacheField>
    <cacheField name="Market cap 2022 ($m)" numFmtId="164">
      <sharedItems containsSemiMixedTypes="0" containsString="0" containsNumber="1" containsInteger="1" minValue="286" maxValue="49619"/>
    </cacheField>
    <cacheField name="Market cap 2021 ($m)" numFmtId="164">
      <sharedItems containsBlank="1" containsMixedTypes="1" containsNumber="1" containsInteger="1" minValue="4" maxValue="104209"/>
    </cacheField>
    <cacheField name="Revenues ($m)" numFmtId="164">
      <sharedItems containsBlank="1" containsMixedTypes="1" containsNumber="1" containsInteger="1" minValue="0" maxValue="18342"/>
    </cacheField>
    <cacheField name="Net income ($m)" numFmtId="164">
      <sharedItems containsString="0" containsBlank="1" containsNumber="1" containsInteger="1" minValue="1" maxValue="5340"/>
    </cacheField>
    <cacheField name="Sector" numFmtId="0">
      <sharedItems count="11">
        <s v="Consumer Non-Cyclicals"/>
        <s v="Non-Energy Materials"/>
        <s v="Finance"/>
        <s v="Telecommunications"/>
        <s v="Consumer Services"/>
        <s v="Healthcare"/>
        <s v="Consumer Cyclicals"/>
        <s v="Energy"/>
        <s v="Utilities"/>
        <s v="Industrials"/>
        <s v="Technology"/>
      </sharedItems>
    </cacheField>
    <cacheField name="% Growth" numFmtId="10">
      <sharedItems containsMixedTypes="1" containsNumber="1" minValue="-0.52385110691015169" maxValue="111.25"/>
    </cacheField>
    <cacheField name="Net Margin %" numFmtId="10">
      <sharedItems containsString="0" containsBlank="1" containsNumber="1" minValue="0" maxValue="4.538461538461538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zubechi George" refreshedDate="46231.21198310185" createdVersion="8" refreshedVersion="8" minRefreshableVersion="3" recordCount="250" xr:uid="{576A3728-6F07-427B-991C-1EFE987D69A4}">
  <cacheSource type="worksheet">
    <worksheetSource ref="A1:K251" sheet="CLEANED DATA"/>
  </cacheSource>
  <cacheFields count="11">
    <cacheField name="Ranking" numFmtId="0">
      <sharedItems containsSemiMixedTypes="0" containsString="0" containsNumber="1" containsInteger="1" minValue="1" maxValue="250"/>
    </cacheField>
    <cacheField name="2021 Ranking" numFmtId="0">
      <sharedItems containsBlank="1" containsMixedTypes="1" containsNumber="1" containsInteger="1" minValue="1" maxValue="250"/>
    </cacheField>
    <cacheField name="Company" numFmtId="0">
      <sharedItems count="250">
        <s v="Naspers"/>
        <s v="Anglo American Platinum"/>
        <s v="FirstRand"/>
        <s v="MTN Group"/>
        <s v="Standard Bank Group"/>
        <s v="Vodacom Group"/>
        <s v="Capitec Bank Holdings"/>
        <s v="Sasol"/>
        <s v="Kumba Iron Ore"/>
        <s v="Gold Fields"/>
        <s v="Impala Platinum Holdings"/>
        <s v="Safaricom"/>
        <s v="Maroc Telecom"/>
        <s v="Sibanye Stillwater"/>
        <s v="Dangote Cement"/>
        <s v="Absa Group"/>
        <s v="Sanlam"/>
        <s v="MTN Nigeria"/>
        <s v="Attijariwafa Bank"/>
        <s v="AngloGold Ashanti"/>
        <s v="Shoprite Holdings"/>
        <s v="Discovery"/>
        <s v="Nedbank Group"/>
        <s v="Bid Corp"/>
        <s v="Airtel Africa"/>
        <s v="Investec"/>
        <s v="Aspen Pharmacare Holdings"/>
        <s v="Northam Platinum"/>
        <s v="Pepkor"/>
        <s v="Remgro"/>
        <s v="BUA Cement"/>
        <s v="Banque Centrale Populaire"/>
        <s v="Rand Merchant Investment"/>
        <s v="Exxaro Resources"/>
        <s v="Bidvest Group"/>
        <s v="Clicks Group"/>
        <s v="Commercial International Bank"/>
        <s v="B2gold Corp"/>
        <s v="LafargeHolcim Maroc"/>
        <s v="Old Mutual"/>
        <s v="African Rainbow Minerals"/>
        <s v="Bank of Africa (formerly BMCE)"/>
        <s v="Woolworths Holdings"/>
        <s v="Multichoice"/>
        <s v="Mr Price Group"/>
        <s v="Afreximbank (DRs)"/>
        <s v="Econet Wireless"/>
        <s v="Growthpoint Properties"/>
        <s v="The Foschini Group"/>
        <s v="Royal Bafokeng Platinum"/>
        <s v="Harmony Gold Mining"/>
        <s v="Ninety One (previously part of Investec)"/>
        <s v="African Rainbow Capital Investments"/>
        <s v="Ciments du Maroc"/>
        <s v="SONATEL"/>
        <s v="Nestle Nigeria"/>
        <s v="Distell Group"/>
        <s v="TAQA Morocco"/>
        <s v="BUA Foods"/>
        <s v="Transaction Capital"/>
        <s v="COSUMAR"/>
        <s v="Life Healthcare"/>
        <s v="Vivo Energy"/>
        <s v="Santam"/>
        <s v="Dis-Chem Pharmacies"/>
        <s v="Spar Group"/>
        <s v="Sappi"/>
        <s v="Delta Corporation"/>
        <s v="Qatar National Bank AlAhli"/>
        <s v="Tiger Brands"/>
        <s v="Managem"/>
        <s v="Marsa Maroc"/>
        <s v="Pick N Pay Stores"/>
        <s v="Momentum Metropolitan"/>
        <s v="Wafa Assurance"/>
        <s v="Scancom (MTN Ghana)"/>
        <s v="MCB Group"/>
        <s v="Abou Kir Fertilizers &amp; Chemicals"/>
        <s v="Thungela Resources"/>
        <s v="Afriquia Gaz"/>
        <s v="Zenith Bank"/>
        <s v="Truworths International"/>
        <s v="AVI"/>
        <s v="Equity Group Holdings"/>
        <s v="Telecom Egypt"/>
        <s v="Barloworld"/>
        <s v="Netcare"/>
        <s v="Guaranty Trust Holding Company"/>
        <s v="Total Maroc"/>
        <s v="Telkom"/>
        <s v="e-finance for Digital and Financial Investments S.A.E."/>
        <s v="Italtile"/>
        <s v="Eastern Company"/>
        <s v="PSG Group"/>
        <s v="Societe de Fabrication des Boissons de Tunisie (SFBT)"/>
        <s v="Egypt Kuwait Holding"/>
        <s v="Label Vie"/>
        <s v="Tanzania Breweries"/>
        <s v="Motus Holdings"/>
        <s v="EcoCash Holdings (formerly Cassava)"/>
        <s v="Misr Fertilizers Production"/>
        <s v="KCB Group"/>
        <s v="Innscor Africa"/>
        <s v="PSG Konsult"/>
        <s v="MTN Uganda"/>
        <s v="Sothema"/>
        <s v="Coronation Fund Managers"/>
        <s v="FBN Holdings"/>
        <s v="Stanbic IBTC Holdings"/>
        <s v="East African Breweries"/>
        <s v="Tullow Oil**"/>
        <s v="Credit Immobilier et Hotelier"/>
        <s v="MAS P.L.C."/>
        <s v="El Sewedy Electric"/>
        <s v="Talaat Moustafa Group"/>
        <s v="EFG Hermes"/>
        <s v="Fawry For Banking Technology And Electronic Payment"/>
        <s v="Karooooo (previously Cartrack)"/>
        <s v="Lafarge Africa"/>
        <s v="Simbisa Brands"/>
        <s v="Omnia Holdings"/>
        <s v="Tsogo Sun"/>
        <s v="National Foods Holdings"/>
        <s v="Alexandria Containers &amp; Goods"/>
        <s v="KAP Industrial Holdings"/>
        <s v="AECI"/>
        <s v="Golden Pyramids Plaza"/>
        <s v="Access Holdings"/>
        <s v="IBL"/>
        <s v="Societe Des Brasseries Du Maroc"/>
        <s v="DRDGOLD"/>
        <s v="Banque Marocaine pour le Commerce et l'Industrie"/>
        <s v="Atlanta"/>
        <s v="Banque Internationale Arabe de Tunisie (BIAT)"/>
        <s v="Nigerian Breweries"/>
        <s v="RCL Foods"/>
        <s v="Arcelormittal South Africa"/>
        <s v="Super Group"/>
        <s v="Vodacom Tanzania"/>
        <s v="Tanzania Ciggarette Co."/>
        <s v="Credit du Maroc"/>
        <s v="Emaar Misr for Development"/>
        <s v="Afrimat"/>
        <s v="Hosken Consolidated Investments"/>
        <s v="Massmart Holdings"/>
        <s v="Societe Generale de Banques en Cote d'Ivoire"/>
        <s v="Crytel Mauritius"/>
        <s v="ADvTECH"/>
        <s v="JSE"/>
        <s v="Co-operative Bank of Kenya"/>
        <s v="Namibia Breweries"/>
        <s v="United Bank for Africa"/>
        <s v="Adcock Ingram Holdings"/>
        <s v="Saham Assurance"/>
        <s v="Poulina Group Holding"/>
        <s v="Datatec"/>
        <s v="Absa Bank Kenya"/>
        <s v="NMB Bank"/>
        <s v="El Ezz Aldekhela Steel"/>
        <s v="First National Bank Botswana"/>
        <s v="Tharisa"/>
        <s v="Onatel"/>
        <s v="Reunert"/>
        <s v="Airtel Malawi"/>
        <s v="National Bank of Kuwait - Egypt"/>
        <s v="Coris Bank"/>
        <s v="National Bank of Malawi"/>
        <s v="Sun International"/>
        <s v="FirstRand Namibia"/>
        <s v="Centrale Danone"/>
        <s v="British American Tobacco Zimbabwe Limited"/>
        <s v="Ecobank Transnational, Inc."/>
        <s v="Travaux Generaux de Construction de Casablanca"/>
        <s v="Aradei Capital"/>
        <s v="Faisal Islamic Bank of Egypt"/>
        <s v="Credit Agricole Egypt"/>
        <s v="Oceana Group"/>
        <s v="Aluminium Company of Egypt"/>
        <s v="Capricorn Group"/>
        <s v="Raubex Group"/>
        <s v="Lesieur Cristal"/>
        <s v="Standard Chartered Bank Kenya"/>
        <s v="Cashbuild"/>
        <s v="Auto Hall"/>
        <s v="Dangote Sugar Refinery"/>
        <s v="Curro Holdings"/>
        <s v="Banque de Tunisie"/>
        <s v="Oragroup"/>
        <s v="Ste de Limonaderies et Brasseries d'Afrique SOLIBRA"/>
        <s v="PPC"/>
        <s v="Medtech Holdings"/>
        <s v="Astral Foods"/>
        <s v="Hightech Payment Systems"/>
        <s v="Cleopatra Hospital"/>
        <s v="Banque Attijari de Tunisie"/>
        <s v="Famous Brands"/>
        <s v="CRDB Bank"/>
        <s v="Botswana Insurance"/>
        <s v="British American Tobacco Kenya"/>
        <s v="Union Bank Nigeria"/>
        <s v="Ezz Steel"/>
        <s v="Alexander Forbes"/>
        <s v="Heliopolis Housing"/>
        <s v="Mobile Telecommunications"/>
        <s v="Metair Investments"/>
        <s v="Hippo Valley Estates"/>
        <s v="Standard Bank Malawi"/>
        <s v="Murray &amp; Roberts"/>
        <s v="Renergen"/>
        <s v="Guinness Nigeria"/>
        <s v="Juhayna Food Industries"/>
        <s v="NCBA Group"/>
        <s v="Societe Ivoirienne de Banque"/>
        <s v="Standard Chartered Bank Ghana"/>
        <s v="Stanbic Bank Uganda"/>
        <s v="Stanbic"/>
        <s v="CFAO Motors Cote d'Ivoire"/>
        <s v="Absa Bank Botswana"/>
        <s v="Okomu Oil Palm Co."/>
        <s v="Housing &amp; Development Bank"/>
        <s v="Tsogo Sun Hotels"/>
        <s v="SBM Holdings"/>
        <s v="Letshego Holdings"/>
        <s v="Mpact"/>
        <s v="CBZ"/>
        <s v="Wilson Bayly Holmes"/>
        <s v="Hudaco Industries"/>
        <s v="Cairo Investment &amp; Real Estate Development"/>
        <s v="Oriental Weavers"/>
        <s v="Grindrod"/>
        <s v="Presco PLC"/>
        <s v="Tanzania Portland Cement"/>
        <s v="Compagnie Miniere de Touissit"/>
        <s v="Merafe Resources"/>
        <s v="Seed Co"/>
        <s v="Copperbelt Energy Corporation"/>
        <s v="Zambia Sugar"/>
        <s v="Les Eaux Minerales d'Oulmes"/>
        <s v="Libstar Holdings"/>
        <s v="Douja Promotion Groupe Addoha"/>
        <s v="Egyptian International Tourism Projects"/>
        <s v="I&amp;M Holdings"/>
        <s v="Sidi Kerir Petrochemicals"/>
        <s v="SONASID"/>
        <s v="Arindo Holdings (Mauritius)"/>
        <s v="Deep Yellow Limited"/>
        <s v="Edita Food Industries"/>
        <s v="Long4Life"/>
        <s v="Delice Holding"/>
        <s v="Sea Harvest Group"/>
      </sharedItems>
    </cacheField>
    <cacheField name="Country" numFmtId="0">
      <sharedItems count="16">
        <s v="SOUTH AFRICA"/>
        <s v="KENYA"/>
        <s v="MOROCCO"/>
        <s v="NIGERIA"/>
        <s v="EGYPT"/>
        <s v="NAMIBIA"/>
        <s v="MAURITIUS"/>
        <s v="ZIMBABWE"/>
        <s v="IVORY COAST"/>
        <s v="GHANA"/>
        <s v="TUNISIA"/>
        <s v="TANZANIA"/>
        <s v="UGANDA"/>
        <s v="BOTSWANA"/>
        <s v="MALAWI"/>
        <s v="ZAMBIA"/>
      </sharedItems>
    </cacheField>
    <cacheField name="Market cap 2022 ($m)" numFmtId="164">
      <sharedItems containsSemiMixedTypes="0" containsString="0" containsNumber="1" containsInteger="1" minValue="286" maxValue="49619"/>
    </cacheField>
    <cacheField name="Market cap 2021 ($m)" numFmtId="164">
      <sharedItems containsBlank="1" containsMixedTypes="1" containsNumber="1" containsInteger="1" minValue="4" maxValue="104209"/>
    </cacheField>
    <cacheField name="Revenues ($m)" numFmtId="164">
      <sharedItems containsBlank="1" containsMixedTypes="1" containsNumber="1" containsInteger="1" minValue="0" maxValue="18342"/>
    </cacheField>
    <cacheField name="Net income ($m)" numFmtId="164">
      <sharedItems containsString="0" containsBlank="1" containsNumber="1" containsInteger="1" minValue="1" maxValue="5340"/>
    </cacheField>
    <cacheField name="Sector" numFmtId="0">
      <sharedItems/>
    </cacheField>
    <cacheField name="% Growth" numFmtId="10">
      <sharedItems containsMixedTypes="1" containsNumber="1" minValue="-0.52385110691015169" maxValue="111.25"/>
    </cacheField>
    <cacheField name="Net Margin %" numFmtId="10">
      <sharedItems containsString="0" containsBlank="1" containsNumber="1" minValue="0" maxValue="4.5384615384615383"/>
    </cacheField>
  </cacheFields>
  <extLst>
    <ext xmlns:x14="http://schemas.microsoft.com/office/spreadsheetml/2009/9/main" uri="{725AE2AE-9491-48be-B2B4-4EB974FC3084}">
      <x14:pivotCacheDefinition pivotCacheId="13679764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zubechi George" refreshedDate="46185.633834953704" createdVersion="8" refreshedVersion="8" minRefreshableVersion="3" recordCount="369" xr:uid="{D53F249D-1D44-40C4-8606-220BA273277C}">
  <cacheSource type="worksheet">
    <worksheetSource name="Table1" r:id="rId2"/>
  </cacheSource>
  <cacheFields count="27">
    <cacheField name="Order ID" numFmtId="0">
      <sharedItems containsSemiMixedTypes="0" containsString="0" containsNumber="1" containsInteger="1" minValue="1001" maxValue="1432"/>
    </cacheField>
    <cacheField name="Order Date" numFmtId="165">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par="26"/>
    </cacheField>
    <cacheField name="Customer ID" numFmtId="0">
      <sharedItems containsSemiMixedTypes="0" containsString="0" containsNumber="1" containsInteger="1" minValue="1" maxValue="29"/>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ount="12">
        <s v="Las Vegas"/>
        <s v="New York"/>
        <s v="Portland"/>
        <s v="Denver"/>
        <s v="Los Angelas"/>
        <s v="Milwaukee"/>
        <s v="Memphis"/>
        <s v="Chicago"/>
        <s v="Boise"/>
        <s v="Miami"/>
        <s v="Seattle"/>
        <s v="Salt Lake City"/>
      </sharedItems>
    </cacheField>
    <cacheField name="State" numFmtId="0">
      <sharedItems count="12">
        <s v="NV"/>
        <s v="NY"/>
        <s v="OR"/>
        <s v="CO"/>
        <s v="CA"/>
        <s v="WI"/>
        <s v="TN"/>
        <s v="IL"/>
        <s v="ID"/>
        <s v="FL"/>
        <s v="WA"/>
        <s v="UT"/>
      </sharedItems>
    </cacheField>
    <cacheField name="ZIP/Postal Code" numFmtId="0">
      <sharedItems containsSemiMixedTypes="0" containsString="0" containsNumber="1" containsInteger="1" minValue="99999" maxValue="99999"/>
    </cacheField>
    <cacheField name="Country/Region" numFmtId="0">
      <sharedItems count="1">
        <s v="USA"/>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acheField>
    <cacheField name="Ship Name" numFmtId="0">
      <sharedItems/>
    </cacheField>
    <cacheField name="Ship Address" numFmtId="0">
      <sharedItems/>
    </cacheField>
    <cacheField name="Ship City" numFmtId="0">
      <sharedItems count="12">
        <s v="Las Vegas"/>
        <s v="New York"/>
        <s v="Portland"/>
        <s v="Denver"/>
        <s v="Los Angelas"/>
        <s v="Milwaukee"/>
        <s v="Memphis"/>
        <s v="Chicago"/>
        <s v="Boise"/>
        <s v="Miami"/>
        <s v="Seattle"/>
        <s v="Salt Lake City"/>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ontainsBlank="1"/>
    </cacheField>
    <cacheField name="Product Name" numFmtId="0">
      <sharedItems containsBlank="1" count="25">
        <s v="Beer"/>
        <s v="Dried Plums"/>
        <s v="Dried Pears"/>
        <s v="Dried Apples"/>
        <s v="Chai"/>
        <s v="Coffee"/>
        <s v="Chocolate Biscuits Mix"/>
        <s v="Chocolate"/>
        <s v="Clam Chowder"/>
        <s v="Curry Sauce"/>
        <s v="Green Tea"/>
        <s v="Boysenberry Spread"/>
        <s v="Cajun Seasoning"/>
        <s v="Crab Meat"/>
        <s v="Ravioli"/>
        <s v="Mozzarella"/>
        <s v="Syrup"/>
        <m/>
        <s v="Almonds"/>
        <s v="Fruit Cocktail"/>
        <s v="Gnocchi"/>
        <s v="Scones"/>
        <s v="Olive Oil"/>
        <s v="Marmalade"/>
        <s v="Long Grain Rice"/>
      </sharedItems>
    </cacheField>
    <cacheField name="Category" numFmtId="0">
      <sharedItems count="15">
        <s v="Beverages"/>
        <s v="Dried Fruit &amp; Nuts"/>
        <s v="Baked Goods &amp; Mixes"/>
        <s v="Candy"/>
        <s v="Soups"/>
        <s v="Sauces"/>
        <s v="Jams, Preserves"/>
        <s v="Condiments"/>
        <s v="Canned Meat"/>
        <s v="Pasta"/>
        <s v="Dairy Products"/>
        <s v="Shipping Fee "/>
        <s v="Fruit &amp; Veg"/>
        <s v="Oil"/>
        <s v="Grains"/>
      </sharedItems>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166">
      <sharedItems containsSemiMixedTypes="0" containsString="0" containsNumber="1" minValue="1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1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startNum="10" endNum="7938" groupInterval="1000"/>
        <groupItems count="10">
          <s v="&lt;10"/>
          <s v="10-1010"/>
          <s v="1010-2010"/>
          <s v="2010-3010"/>
          <s v="3010-4010"/>
          <s v="4010-5010"/>
          <s v="5010-6010"/>
          <s v="6010-7010"/>
          <s v="7010-8010"/>
          <s v="&gt;8010"/>
        </groupItems>
      </fieldGroup>
    </cacheField>
    <cacheField name="Shipping Fee" numFmtId="166">
      <sharedItems containsSemiMixedTypes="0" containsString="0" containsNumber="1" minValue="3.7345000000000002" maxValue="769.98599999999999"/>
    </cacheField>
    <cacheField name="Months (Order Date)" numFmtId="0" databaseField="0">
      <fieldGroup base="1">
        <rangePr groupBy="months" startDate="2014-01-01T00:00:00" endDate="2014-12-30T00:00:00"/>
        <groupItems count="14">
          <s v="&lt;01/01/2014"/>
          <s v="Jan"/>
          <s v="Feb"/>
          <s v="Mar"/>
          <s v="Apr"/>
          <s v="May"/>
          <s v="Jun"/>
          <s v="Jul"/>
          <s v="Aug"/>
          <s v="Sep"/>
          <s v="Oct"/>
          <s v="Nov"/>
          <s v="Dec"/>
          <s v="&gt;30/12/2014"/>
        </groupItems>
      </fieldGroup>
    </cacheField>
  </cacheFields>
  <extLst>
    <ext xmlns:x14="http://schemas.microsoft.com/office/spreadsheetml/2009/9/main" uri="{725AE2AE-9491-48be-B2B4-4EB974FC3084}">
      <x14:pivotCacheDefinition pivotCacheId="20946958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n v="1"/>
    <n v="1"/>
    <s v="Naspers"/>
    <x v="0"/>
    <n v="49619"/>
    <n v="104209"/>
    <n v="5934"/>
    <n v="5304"/>
    <x v="0"/>
  </r>
  <r>
    <n v="2"/>
    <n v="3"/>
    <s v="Anglo American Platinum"/>
    <x v="0"/>
    <n v="36429"/>
    <n v="38666"/>
    <n v="14507"/>
    <n v="5340"/>
    <x v="1"/>
  </r>
  <r>
    <n v="3"/>
    <n v="4"/>
    <s v="FirstRand"/>
    <x v="0"/>
    <n v="29739"/>
    <n v="19610"/>
    <n v="10025"/>
    <n v="1785"/>
    <x v="2"/>
  </r>
  <r>
    <n v="4"/>
    <n v="13"/>
    <s v="MTN Group"/>
    <x v="0"/>
    <n v="24500"/>
    <n v="11083"/>
    <n v="12281"/>
    <n v="930"/>
    <x v="3"/>
  </r>
  <r>
    <n v="5"/>
    <n v="7"/>
    <s v="Standard Bank Group"/>
    <x v="0"/>
    <n v="20915"/>
    <n v="13760"/>
    <n v="18342"/>
    <n v="1737"/>
    <x v="2"/>
  </r>
  <r>
    <n v="6"/>
    <n v="5"/>
    <s v="Vodacom Group"/>
    <x v="0"/>
    <n v="20102"/>
    <n v="15698"/>
    <n v="5985"/>
    <n v="1013"/>
    <x v="3"/>
  </r>
  <r>
    <n v="7"/>
    <n v="12"/>
    <s v="Capitec Bank Holdings"/>
    <x v="0"/>
    <n v="18608"/>
    <n v="11122"/>
    <n v="2396"/>
    <n v="574"/>
    <x v="2"/>
  </r>
  <r>
    <n v="8"/>
    <n v="18"/>
    <s v="Sasol"/>
    <x v="0"/>
    <n v="15354"/>
    <n v="9042"/>
    <n v="13099"/>
    <n v="586"/>
    <x v="1"/>
  </r>
  <r>
    <n v="9"/>
    <n v="10"/>
    <s v="Kumba Iron Ore"/>
    <x v="0"/>
    <n v="14446"/>
    <n v="13273"/>
    <n v="6892"/>
    <n v="2249"/>
    <x v="1"/>
  </r>
  <r>
    <n v="10"/>
    <n v="22"/>
    <s v="Gold Fields"/>
    <x v="0"/>
    <n v="13909"/>
    <n v="8265"/>
    <n v="4195"/>
    <n v="789"/>
    <x v="1"/>
  </r>
  <r>
    <n v="11"/>
    <n v="6"/>
    <s v="Impala Platinum Holdings"/>
    <x v="0"/>
    <n v="13062"/>
    <n v="14725"/>
    <n v="8406"/>
    <n v="3051"/>
    <x v="1"/>
  </r>
  <r>
    <n v="12"/>
    <n v="9"/>
    <s v="Safaricom"/>
    <x v="1"/>
    <n v="11898"/>
    <n v="13282"/>
    <n v="2430"/>
    <n v="633"/>
    <x v="3"/>
  </r>
  <r>
    <n v="13"/>
    <n v="8"/>
    <s v="Maroc Telecom"/>
    <x v="2"/>
    <n v="11782"/>
    <n v="13517"/>
    <n v="3980"/>
    <n v="668"/>
    <x v="3"/>
  </r>
  <r>
    <n v="14"/>
    <n v="11"/>
    <s v="Sibanye Stillwater"/>
    <x v="0"/>
    <n v="11581"/>
    <n v="13008"/>
    <n v="11642"/>
    <n v="2235"/>
    <x v="1"/>
  </r>
  <r>
    <n v="15"/>
    <n v="20"/>
    <s v="Dangote Cement"/>
    <x v="3"/>
    <n v="11203"/>
    <n v="8947"/>
    <n v="3375"/>
    <n v="881"/>
    <x v="1"/>
  </r>
  <r>
    <n v="16"/>
    <n v="24"/>
    <s v="Absa Group"/>
    <x v="0"/>
    <n v="11048"/>
    <n v="7239"/>
    <n v="9040"/>
    <n v="1201"/>
    <x v="2"/>
  </r>
  <r>
    <n v="17"/>
    <n v="19"/>
    <s v="Sanlam"/>
    <x v="0"/>
    <n v="11003"/>
    <n v="8978"/>
    <n v="8694"/>
    <n v="640"/>
    <x v="2"/>
  </r>
  <r>
    <n v="18"/>
    <n v="23"/>
    <s v="MTN Nigeria"/>
    <x v="3"/>
    <n v="10471"/>
    <n v="7963"/>
    <n v="4036"/>
    <n v="729"/>
    <x v="3"/>
  </r>
  <r>
    <n v="19"/>
    <n v="15"/>
    <s v="Attijariwafa Bank"/>
    <x v="2"/>
    <n v="10250"/>
    <n v="9913"/>
    <n v="4425"/>
    <n v="572"/>
    <x v="2"/>
  </r>
  <r>
    <n v="20"/>
    <n v="17"/>
    <s v="AngloGold Ashanti"/>
    <x v="0"/>
    <n v="10032"/>
    <n v="9094"/>
    <n v="4029"/>
    <n v="622"/>
    <x v="1"/>
  </r>
  <r>
    <n v="21"/>
    <n v="26"/>
    <s v="Shoprite Holdings"/>
    <x v="0"/>
    <n v="9577"/>
    <n v="6292"/>
    <n v="10901"/>
    <n v="305"/>
    <x v="0"/>
  </r>
  <r>
    <n v="22"/>
    <n v="28"/>
    <s v="Discovery"/>
    <x v="0"/>
    <n v="8393"/>
    <n v="6019"/>
    <n v="4501"/>
    <n v="209"/>
    <x v="2"/>
  </r>
  <r>
    <n v="23"/>
    <n v="32"/>
    <s v="Nedbank Group"/>
    <x v="0"/>
    <n v="8153"/>
    <n v="4822"/>
    <n v="6617"/>
    <n v="781"/>
    <x v="2"/>
  </r>
  <r>
    <n v="24"/>
    <n v="25"/>
    <s v="Bid Corp"/>
    <x v="0"/>
    <n v="7300"/>
    <n v="6497"/>
    <n v="7448"/>
    <n v="200"/>
    <x v="4"/>
  </r>
  <r>
    <n v="25"/>
    <n v="16"/>
    <s v="Airtel Africa"/>
    <x v="3"/>
    <n v="6903"/>
    <n v="4112"/>
    <n v="3888"/>
    <n v="339"/>
    <x v="3"/>
  </r>
  <r>
    <n v="26"/>
    <n v="45"/>
    <s v="Investec"/>
    <x v="0"/>
    <n v="6716"/>
    <n v="2974"/>
    <n v="3703"/>
    <n v="350"/>
    <x v="2"/>
  </r>
  <r>
    <n v="27"/>
    <n v="33"/>
    <s v="Aspen Pharmacare Holdings"/>
    <x v="0"/>
    <n v="6186"/>
    <n v="4462"/>
    <n v="2450"/>
    <n v="311"/>
    <x v="5"/>
  </r>
  <r>
    <n v="28"/>
    <n v="21"/>
    <s v="Northam Platinum"/>
    <x v="0"/>
    <n v="5919"/>
    <n v="8886"/>
    <n v="2118"/>
    <n v="609"/>
    <x v="1"/>
  </r>
  <r>
    <n v="29"/>
    <n v="38"/>
    <s v="Pepkor"/>
    <x v="0"/>
    <n v="5886"/>
    <n v="4018"/>
    <n v="5249"/>
    <n v="329"/>
    <x v="6"/>
  </r>
  <r>
    <n v="30"/>
    <n v="42"/>
    <s v="Remgro"/>
    <x v="0"/>
    <n v="5826"/>
    <n v="4002"/>
    <n v="4269"/>
    <n v="230"/>
    <x v="2"/>
  </r>
  <r>
    <n v="31"/>
    <n v="27"/>
    <s v="BUA Cement"/>
    <x v="3"/>
    <n v="5759"/>
    <n v="6078"/>
    <n v="628"/>
    <n v="224"/>
    <x v="1"/>
  </r>
  <r>
    <n v="32"/>
    <n v="29"/>
    <s v="Banque Centrale Populaire"/>
    <x v="2"/>
    <n v="5622"/>
    <n v="5652"/>
    <n v="2953"/>
    <n v="196"/>
    <x v="2"/>
  </r>
  <r>
    <n v="33"/>
    <n v="47"/>
    <s v="Rand Merchant Investment"/>
    <x v="0"/>
    <n v="5471"/>
    <n v="3177"/>
    <n v="1212"/>
    <n v="188"/>
    <x v="2"/>
  </r>
  <r>
    <n v="34"/>
    <n v="35"/>
    <s v="Exxaro Resources"/>
    <x v="0"/>
    <n v="5296"/>
    <n v="4223"/>
    <n v="2216"/>
    <n v="757"/>
    <x v="7"/>
  </r>
  <r>
    <n v="35"/>
    <n v="40"/>
    <s v="Bidvest Group"/>
    <x v="0"/>
    <n v="5209"/>
    <n v="3926"/>
    <n v="5729"/>
    <n v="249"/>
    <x v="6"/>
  </r>
  <r>
    <n v="36"/>
    <n v="39"/>
    <s v="Clicks Group"/>
    <x v="0"/>
    <n v="5160"/>
    <n v="4008"/>
    <n v="2660"/>
    <n v="127"/>
    <x v="0"/>
  </r>
  <r>
    <n v="37"/>
    <n v="30"/>
    <s v="Commercial International Bank"/>
    <x v="4"/>
    <n v="5009"/>
    <n v="5432"/>
    <n v="3216"/>
    <n v="845"/>
    <x v="2"/>
  </r>
  <r>
    <n v="38"/>
    <n v="31"/>
    <s v="B2gold Corp"/>
    <x v="5"/>
    <n v="4856"/>
    <n v="4527"/>
    <n v="1762"/>
    <n v="420"/>
    <x v="1"/>
  </r>
  <r>
    <n v="39"/>
    <n v="36"/>
    <s v="LafargeHolcim Maroc"/>
    <x v="2"/>
    <n v="4623"/>
    <n v="4167"/>
    <n v="911"/>
    <s v="n/a"/>
    <x v="1"/>
  </r>
  <r>
    <n v="40"/>
    <n v="37"/>
    <s v="Old Mutual"/>
    <x v="0"/>
    <n v="4437"/>
    <n v="4027"/>
    <n v="16755"/>
    <n v="450"/>
    <x v="2"/>
  </r>
  <r>
    <n v="41"/>
    <n v="34"/>
    <s v="African Rainbow Minerals"/>
    <x v="0"/>
    <n v="4400"/>
    <n v="4227"/>
    <n v="1275"/>
    <n v="819"/>
    <x v="1"/>
  </r>
  <r>
    <n v="42"/>
    <n v="43"/>
    <s v="Bank of Africa (formerly BMCE)"/>
    <x v="2"/>
    <n v="4238"/>
    <n v="3563"/>
    <n v="2270"/>
    <n v="223"/>
    <x v="2"/>
  </r>
  <r>
    <n v="43"/>
    <n v="44"/>
    <s v="Woolworths Holdings"/>
    <x v="0"/>
    <n v="4160"/>
    <n v="3516"/>
    <n v="5245"/>
    <n v="270"/>
    <x v="0"/>
  </r>
  <r>
    <n v="44"/>
    <n v="41"/>
    <s v="Multichoice"/>
    <x v="0"/>
    <n v="3989"/>
    <n v="3864"/>
    <n v="3260"/>
    <n v="132"/>
    <x v="3"/>
  </r>
  <r>
    <n v="45"/>
    <n v="46"/>
    <s v="Mr Price Group"/>
    <x v="0"/>
    <n v="3912"/>
    <n v="3457"/>
    <n v="1347"/>
    <n v="162"/>
    <x v="0"/>
  </r>
  <r>
    <n v="46"/>
    <s v="new"/>
    <s v="Afreximbank (DRs)"/>
    <x v="6"/>
    <n v="3793"/>
    <n v="4364"/>
    <n v="1072"/>
    <n v="352"/>
    <x v="2"/>
  </r>
  <r>
    <n v="47"/>
    <n v="131"/>
    <s v="Econet Wireless"/>
    <x v="7"/>
    <n v="3479"/>
    <n v="968"/>
    <n v="561"/>
    <n v="17"/>
    <x v="3"/>
  </r>
  <r>
    <n v="48"/>
    <n v="49"/>
    <s v="Growthpoint Properties"/>
    <x v="0"/>
    <n v="3456"/>
    <n v="3067"/>
    <n v="818"/>
    <s v="?32"/>
    <x v="2"/>
  </r>
  <r>
    <n v="49"/>
    <n v="50"/>
    <s v="The Foschini Group"/>
    <x v="0"/>
    <n v="3339"/>
    <n v="2753"/>
    <n v="2133"/>
    <s v="?114"/>
    <x v="6"/>
  </r>
  <r>
    <n v="50"/>
    <n v="63"/>
    <s v="Royal Bafokeng Platinum"/>
    <x v="0"/>
    <n v="3194"/>
    <n v="1963"/>
    <n v="1111"/>
    <n v="440"/>
    <x v="1"/>
  </r>
  <r>
    <n v="51"/>
    <n v="54"/>
    <s v="Harmony Gold Mining"/>
    <x v="0"/>
    <n v="3117"/>
    <n v="2612"/>
    <n v="2856"/>
    <n v="330"/>
    <x v="1"/>
  </r>
  <r>
    <n v="52"/>
    <n v="109"/>
    <s v="Ninety One (previously part of Investec)"/>
    <x v="0"/>
    <n v="3095"/>
    <n v="2999"/>
    <n v="1010"/>
    <n v="202"/>
    <x v="2"/>
  </r>
  <r>
    <n v="53"/>
    <n v="210"/>
    <s v="African Rainbow Capital Investments"/>
    <x v="0"/>
    <n v="2977"/>
    <n v="1695"/>
    <n v="13"/>
    <n v="59"/>
    <x v="2"/>
  </r>
  <r>
    <n v="54"/>
    <n v="51"/>
    <s v="Ciments du Maroc"/>
    <x v="2"/>
    <n v="2766"/>
    <n v="2752"/>
    <n v="459"/>
    <n v="135"/>
    <x v="1"/>
  </r>
  <r>
    <n v="55"/>
    <n v="59"/>
    <s v="SONATEL"/>
    <x v="8"/>
    <n v="2680"/>
    <n v="2311"/>
    <n v="2405"/>
    <n v="380"/>
    <x v="3"/>
  </r>
  <r>
    <n v="56"/>
    <n v="53"/>
    <s v="Nestle Nigeria"/>
    <x v="3"/>
    <n v="2658"/>
    <n v="2662"/>
    <n v="858"/>
    <n v="98"/>
    <x v="0"/>
  </r>
  <r>
    <n v="57"/>
    <n v="72"/>
    <s v="Distell Group"/>
    <x v="0"/>
    <n v="2641"/>
    <n v="1759"/>
    <n v="1833"/>
    <n v="126"/>
    <x v="0"/>
  </r>
  <r>
    <n v="58"/>
    <n v="55"/>
    <s v="TAQA Morocco"/>
    <x v="2"/>
    <n v="2614"/>
    <n v="2514"/>
    <n v="821"/>
    <n v="93"/>
    <x v="8"/>
  </r>
  <r>
    <n v="59"/>
    <s v="new"/>
    <s v="BUA Foods"/>
    <x v="3"/>
    <n v="2575"/>
    <s v="n/a"/>
    <n v="814"/>
    <n v="183"/>
    <x v="0"/>
  </r>
  <r>
    <n v="60"/>
    <n v="87"/>
    <s v="Transaction Capital"/>
    <x v="0"/>
    <n v="2440"/>
    <n v="1414"/>
    <n v="448"/>
    <n v="155"/>
    <x v="2"/>
  </r>
  <r>
    <n v="61"/>
    <n v="56"/>
    <s v="COSUMAR"/>
    <x v="2"/>
    <n v="2378"/>
    <n v="2512"/>
    <n v="1013"/>
    <n v="85"/>
    <x v="0"/>
  </r>
  <r>
    <n v="62"/>
    <n v="66"/>
    <s v="Life Healthcare"/>
    <x v="0"/>
    <n v="2340"/>
    <n v="1838"/>
    <n v="1813"/>
    <n v="112"/>
    <x v="5"/>
  </r>
  <r>
    <n v="63"/>
    <n v="70"/>
    <s v="Vivo Energy"/>
    <x v="0"/>
    <n v="2279"/>
    <n v="1696"/>
    <n v="8458"/>
    <n v="140"/>
    <x v="6"/>
  </r>
  <r>
    <n v="64"/>
    <n v="65"/>
    <s v="Santam"/>
    <x v="0"/>
    <n v="2277"/>
    <n v="1901"/>
    <n v="1924"/>
    <n v="186"/>
    <x v="2"/>
  </r>
  <r>
    <n v="65"/>
    <n v="91"/>
    <s v="Dis-Chem Pharmacies"/>
    <x v="0"/>
    <n v="2244"/>
    <n v="1337"/>
    <n v="1591"/>
    <n v="40"/>
    <x v="0"/>
  </r>
  <r>
    <n v="66"/>
    <n v="57"/>
    <s v="Spar Group"/>
    <x v="0"/>
    <n v="2237"/>
    <n v="2477"/>
    <n v="8791"/>
    <n v="153"/>
    <x v="0"/>
  </r>
  <r>
    <n v="67"/>
    <n v="75"/>
    <s v="Sappi"/>
    <x v="0"/>
    <n v="2208"/>
    <n v="1721"/>
    <n v="5265"/>
    <n v="13"/>
    <x v="1"/>
  </r>
  <r>
    <n v="68"/>
    <n v="130"/>
    <s v="Delta Corporation"/>
    <x v="7"/>
    <n v="2206"/>
    <n v="703"/>
    <n v="599"/>
    <n v="99"/>
    <x v="0"/>
  </r>
  <r>
    <n v="69"/>
    <n v="60"/>
    <s v="Qatar National Bank AlAhli"/>
    <x v="4"/>
    <n v="2122"/>
    <n v="2222"/>
    <n v="2174"/>
    <n v="474"/>
    <x v="2"/>
  </r>
  <r>
    <n v="70"/>
    <n v="52"/>
    <s v="Tiger Brands"/>
    <x v="0"/>
    <n v="2066"/>
    <n v="2709"/>
    <n v="2087"/>
    <n v="120"/>
    <x v="0"/>
  </r>
  <r>
    <n v="71"/>
    <n v="84"/>
    <s v="Managem"/>
    <x v="2"/>
    <n v="2040"/>
    <n v="1462"/>
    <n v="825"/>
    <n v="96"/>
    <x v="1"/>
  </r>
  <r>
    <n v="72"/>
    <n v="73"/>
    <s v="Marsa Maroc"/>
    <x v="2"/>
    <n v="2014"/>
    <n v="1751"/>
    <n v="399"/>
    <s v="n/a"/>
    <x v="9"/>
  </r>
  <r>
    <n v="73"/>
    <n v="69"/>
    <s v="Pick N Pay Stores"/>
    <x v="0"/>
    <n v="1815"/>
    <n v="1796"/>
    <n v="5732"/>
    <n v="59"/>
    <x v="0"/>
  </r>
  <r>
    <n v="74"/>
    <n v="71"/>
    <s v="Momentum Metropolitan"/>
    <x v="0"/>
    <n v="1774"/>
    <n v="1766"/>
    <n v="6788"/>
    <n v="29"/>
    <x v="2"/>
  </r>
  <r>
    <n v="75"/>
    <n v="81"/>
    <s v="Wafa Assurance"/>
    <x v="2"/>
    <n v="1740"/>
    <n v="1504"/>
    <n v="1110"/>
    <n v="60"/>
    <x v="2"/>
  </r>
  <r>
    <n v="76"/>
    <n v="68"/>
    <s v="Scancom (MTN Ghana)"/>
    <x v="9"/>
    <n v="1726"/>
    <n v="1806"/>
    <n v="1304"/>
    <n v="338"/>
    <x v="3"/>
  </r>
  <r>
    <n v="77"/>
    <n v="94"/>
    <s v="MCB Group"/>
    <x v="6"/>
    <n v="1723"/>
    <n v="1288"/>
    <n v="662"/>
    <n v="204"/>
    <x v="2"/>
  </r>
  <r>
    <n v="78"/>
    <n v="76"/>
    <s v="Abou Kir Fertilizers &amp; Chemicals"/>
    <x v="4"/>
    <n v="1717"/>
    <n v="1716"/>
    <n v="562"/>
    <n v="187"/>
    <x v="1"/>
  </r>
  <r>
    <n v="79"/>
    <s v="new"/>
    <s v="Thungela Resources"/>
    <x v="0"/>
    <n v="1715"/>
    <s v="n/a"/>
    <n v="1109"/>
    <s v="?268"/>
    <x v="7"/>
  </r>
  <r>
    <n v="80"/>
    <n v="80"/>
    <s v="Afriquia Gaz"/>
    <x v="2"/>
    <n v="1709"/>
    <n v="1522"/>
    <n v="660"/>
    <n v="73"/>
    <x v="7"/>
  </r>
  <r>
    <n v="81"/>
    <n v="74"/>
    <s v="Zenith Bank"/>
    <x v="3"/>
    <n v="1691"/>
    <n v="1729"/>
    <n v="1786"/>
    <n v="596"/>
    <x v="2"/>
  </r>
  <r>
    <n v="82"/>
    <n v="85"/>
    <s v="Truworths International"/>
    <x v="0"/>
    <n v="1679"/>
    <n v="1435"/>
    <n v="1129"/>
    <n v="127"/>
    <x v="6"/>
  </r>
  <r>
    <n v="83"/>
    <n v="77"/>
    <s v="AVI"/>
    <x v="0"/>
    <n v="1658"/>
    <n v="1700"/>
    <n v="861"/>
    <n v="107"/>
    <x v="0"/>
  </r>
  <r>
    <n v="84"/>
    <n v="92"/>
    <s v="Equity Group Holdings"/>
    <x v="1"/>
    <n v="1657"/>
    <n v="1310"/>
    <n v="1254"/>
    <n v="357"/>
    <x v="2"/>
  </r>
  <r>
    <n v="85"/>
    <n v="99"/>
    <s v="Telecom Egypt"/>
    <x v="4"/>
    <n v="1633"/>
    <n v="1208"/>
    <n v="2018"/>
    <n v="254"/>
    <x v="3"/>
  </r>
  <r>
    <n v="86"/>
    <n v="97"/>
    <s v="Barloworld"/>
    <x v="0"/>
    <n v="1596"/>
    <n v="1229"/>
    <n v="2802"/>
    <n v="187"/>
    <x v="9"/>
  </r>
  <r>
    <n v="87"/>
    <n v="89"/>
    <s v="Netcare"/>
    <x v="0"/>
    <n v="1586"/>
    <n v="1389"/>
    <n v="1429"/>
    <n v="52"/>
    <x v="5"/>
  </r>
  <r>
    <n v="88"/>
    <n v="58"/>
    <s v="Guaranty Trust Holding Company"/>
    <x v="3"/>
    <n v="1585"/>
    <n v="2361"/>
    <n v="983"/>
    <n v="420"/>
    <x v="2"/>
  </r>
  <r>
    <n v="89"/>
    <n v="96"/>
    <s v="Total Maroc"/>
    <x v="2"/>
    <n v="1568"/>
    <n v="1253"/>
    <n v="1431"/>
    <s v="n/a"/>
    <x v="6"/>
  </r>
  <r>
    <n v="90"/>
    <n v="83"/>
    <s v="Telkom"/>
    <x v="0"/>
    <n v="1556"/>
    <n v="1466"/>
    <n v="2641"/>
    <n v="148"/>
    <x v="3"/>
  </r>
  <r>
    <n v="91"/>
    <s v="new"/>
    <s v="e-finance for Digital and Financial Investments S.A.E."/>
    <x v="4"/>
    <n v="1550"/>
    <s v="n/a"/>
    <s v="n/a"/>
    <s v="n/a"/>
    <x v="2"/>
  </r>
  <r>
    <n v="92"/>
    <n v="82"/>
    <s v="Italtile"/>
    <x v="0"/>
    <n v="1508"/>
    <n v="1504"/>
    <n v="593"/>
    <n v="111"/>
    <x v="6"/>
  </r>
  <r>
    <n v="93"/>
    <n v="79"/>
    <s v="Eastern Company"/>
    <x v="4"/>
    <n v="1478"/>
    <n v="1635"/>
    <n v="1018"/>
    <n v="272"/>
    <x v="0"/>
  </r>
  <r>
    <n v="94"/>
    <n v="105"/>
    <s v="PSG Group"/>
    <x v="0"/>
    <n v="1464"/>
    <n v="1071"/>
    <n v="129"/>
    <n v="539"/>
    <x v="2"/>
  </r>
  <r>
    <n v="95"/>
    <n v="67"/>
    <s v="Societe de Fabrication des Boissons de Tunisie (SFBT)"/>
    <x v="10"/>
    <n v="1441"/>
    <n v="1830"/>
    <n v="429"/>
    <n v="75"/>
    <x v="0"/>
  </r>
  <r>
    <n v="96"/>
    <n v="100"/>
    <s v="Egypt Kuwait Holding"/>
    <x v="4"/>
    <n v="1433"/>
    <n v="1181"/>
    <n v="832"/>
    <n v="142"/>
    <x v="2"/>
  </r>
  <r>
    <n v="97"/>
    <n v="108"/>
    <s v="Label Vie"/>
    <x v="2"/>
    <n v="1432"/>
    <n v="1016"/>
    <n v="1307"/>
    <n v="45"/>
    <x v="0"/>
  </r>
  <r>
    <n v="98"/>
    <n v="90"/>
    <s v="Tanzania Breweries"/>
    <x v="11"/>
    <n v="1386"/>
    <n v="1387"/>
    <n v="415"/>
    <n v="34"/>
    <x v="0"/>
  </r>
  <r>
    <n v="99"/>
    <n v="104"/>
    <s v="Motus Holdings"/>
    <x v="0"/>
    <n v="1343"/>
    <n v="1115"/>
    <n v="5657"/>
    <n v="136"/>
    <x v="6"/>
  </r>
  <r>
    <n v="100"/>
    <n v="186"/>
    <s v="EcoCash Holdings (formerly Cassava)"/>
    <x v="7"/>
    <n v="1270"/>
    <n v="421"/>
    <n v="230"/>
    <s v="?14"/>
    <x v="2"/>
  </r>
  <r>
    <n v="101"/>
    <n v="106"/>
    <s v="Misr Fertilizers Production"/>
    <x v="4"/>
    <n v="1252"/>
    <n v="1047"/>
    <n v="464"/>
    <n v="157"/>
    <x v="1"/>
  </r>
  <r>
    <n v="102"/>
    <n v="98"/>
    <s v="KCB Group"/>
    <x v="1"/>
    <n v="1231"/>
    <n v="1214"/>
    <n v="1214"/>
    <n v="311"/>
    <x v="2"/>
  </r>
  <r>
    <n v="103"/>
    <n v="164"/>
    <s v="Innscor Africa"/>
    <x v="7"/>
    <n v="1230"/>
    <n v="483"/>
    <n v="818"/>
    <n v="34"/>
    <x v="0"/>
  </r>
  <r>
    <n v="104"/>
    <n v="114"/>
    <s v="PSG Konsult"/>
    <x v="0"/>
    <n v="1194"/>
    <n v="835"/>
    <n v="311"/>
    <n v="42"/>
    <x v="2"/>
  </r>
  <r>
    <n v="105"/>
    <s v="new"/>
    <s v="MTN Uganda"/>
    <x v="12"/>
    <n v="1124"/>
    <s v="n/a"/>
    <n v="505"/>
    <n v="87"/>
    <x v="3"/>
  </r>
  <r>
    <n v="106"/>
    <n v="140"/>
    <s v="Sothema"/>
    <x v="2"/>
    <n v="1115"/>
    <n v="635"/>
    <n v="229"/>
    <n v="31"/>
    <x v="5"/>
  </r>
  <r>
    <n v="107"/>
    <n v="93"/>
    <s v="Coronation Fund Managers"/>
    <x v="0"/>
    <n v="1110"/>
    <n v="1298"/>
    <n v="299"/>
    <n v="115"/>
    <x v="2"/>
  </r>
  <r>
    <n v="108"/>
    <n v="139"/>
    <s v="FBN Holdings"/>
    <x v="3"/>
    <n v="1070"/>
    <n v="636"/>
    <n v="1451"/>
    <n v="193"/>
    <x v="2"/>
  </r>
  <r>
    <n v="109"/>
    <n v="88"/>
    <s v="Stanbic IBTC Holdings"/>
    <x v="3"/>
    <n v="1064"/>
    <n v="1390"/>
    <n v="503"/>
    <n v="133"/>
    <x v="2"/>
  </r>
  <r>
    <n v="110"/>
    <n v="103"/>
    <s v="East African Breweries"/>
    <x v="1"/>
    <n v="1031"/>
    <n v="1143"/>
    <n v="791"/>
    <n v="40"/>
    <x v="0"/>
  </r>
  <r>
    <n v="111"/>
    <n v="111"/>
    <s v="Tullow Oil**"/>
    <x v="9"/>
    <n v="1016"/>
    <n v="927"/>
    <n v="1426"/>
    <s v="?81"/>
    <x v="7"/>
  </r>
  <r>
    <n v="112"/>
    <n v="115"/>
    <s v="Credit Immobilier et Hotelier"/>
    <x v="2"/>
    <n v="1009"/>
    <n v="829"/>
    <n v="533"/>
    <n v="67"/>
    <x v="2"/>
  </r>
  <r>
    <n v="113"/>
    <s v="new"/>
    <s v="MAS P.L.C."/>
    <x v="0"/>
    <n v="1001"/>
    <n v="770"/>
    <n v="57"/>
    <n v="78"/>
    <x v="2"/>
  </r>
  <r>
    <n v="114"/>
    <n v="95"/>
    <s v="El Sewedy Electric"/>
    <x v="4"/>
    <n v="987"/>
    <n v="1253"/>
    <n v="2934"/>
    <n v="191"/>
    <x v="9"/>
  </r>
  <r>
    <n v="115"/>
    <n v="116"/>
    <s v="Talaat Moustafa Group"/>
    <x v="4"/>
    <n v="954"/>
    <n v="821"/>
    <n v="891"/>
    <n v="106"/>
    <x v="2"/>
  </r>
  <r>
    <n v="116"/>
    <n v="128"/>
    <s v="EFG Hermes"/>
    <x v="4"/>
    <n v="942"/>
    <n v="712"/>
    <n v="529"/>
    <n v="93"/>
    <x v="2"/>
  </r>
  <r>
    <n v="117"/>
    <n v="64"/>
    <s v="Fawry For Banking Technology And Electronic Payment"/>
    <x v="4"/>
    <n v="926"/>
    <n v="1911"/>
    <n v="78"/>
    <n v="10"/>
    <x v="2"/>
  </r>
  <r>
    <n v="118"/>
    <m/>
    <s v="Karooooo (previously Cartrack)"/>
    <x v="0"/>
    <n v="918"/>
    <s v="n/a"/>
    <s v="n/a"/>
    <s v="n/a"/>
    <x v="10"/>
  </r>
  <r>
    <n v="119"/>
    <n v="112"/>
    <s v="Lafarge Africa"/>
    <x v="3"/>
    <n v="918"/>
    <n v="869"/>
    <n v="715"/>
    <n v="124"/>
    <x v="1"/>
  </r>
  <r>
    <n v="120"/>
    <n v="246"/>
    <s v="Simbisa Brands"/>
    <x v="7"/>
    <n v="875"/>
    <n v="265"/>
    <n v="230"/>
    <n v="26"/>
    <x v="4"/>
  </r>
  <r>
    <n v="121"/>
    <n v="148"/>
    <s v="Omnia Holdings"/>
    <x v="0"/>
    <n v="870"/>
    <n v="561"/>
    <n v="1087"/>
    <n v="40"/>
    <x v="1"/>
  </r>
  <r>
    <n v="122"/>
    <n v="170"/>
    <s v="Tsogo Sun"/>
    <x v="0"/>
    <n v="865"/>
    <n v="462"/>
    <n v="347"/>
    <n v="1"/>
    <x v="4"/>
  </r>
  <r>
    <n v="123"/>
    <s v="new"/>
    <s v="National Foods Holdings"/>
    <x v="7"/>
    <n v="864"/>
    <n v="256"/>
    <n v="406"/>
    <n v="1"/>
    <x v="0"/>
  </r>
  <r>
    <n v="124"/>
    <n v="134"/>
    <s v="Alexandria Containers &amp; Goods"/>
    <x v="4"/>
    <n v="848"/>
    <n v="661"/>
    <n v="161"/>
    <n v="93"/>
    <x v="9"/>
  </r>
  <r>
    <n v="125"/>
    <n v="127"/>
    <s v="KAP Industrial Holdings"/>
    <x v="0"/>
    <n v="847"/>
    <n v="718"/>
    <n v="1554"/>
    <n v="73"/>
    <x v="1"/>
  </r>
  <r>
    <n v="126"/>
    <n v="121"/>
    <s v="AECI"/>
    <x v="0"/>
    <n v="841"/>
    <n v="770"/>
    <n v="1761"/>
    <n v="80"/>
    <x v="1"/>
  </r>
  <r>
    <n v="127"/>
    <n v="119"/>
    <s v="Golden Pyramids Plaza"/>
    <x v="4"/>
    <n v="833"/>
    <n v="790"/>
    <n v="91"/>
    <s v="?6"/>
    <x v="2"/>
  </r>
  <r>
    <n v="128"/>
    <n v="132"/>
    <s v="Access Holdings"/>
    <x v="3"/>
    <n v="833"/>
    <n v="694"/>
    <n v="2523"/>
    <n v="386"/>
    <x v="2"/>
  </r>
  <r>
    <n v="129"/>
    <n v="124"/>
    <s v="IBL"/>
    <x v="6"/>
    <n v="831"/>
    <n v="742"/>
    <n v="895"/>
    <n v="2"/>
    <x v="2"/>
  </r>
  <r>
    <n v="130"/>
    <n v="126"/>
    <s v="Societe Des Brasseries Du Maroc"/>
    <x v="2"/>
    <n v="821"/>
    <n v="720"/>
    <n v="300"/>
    <n v="37"/>
    <x v="0"/>
  </r>
  <r>
    <n v="131"/>
    <n v="118"/>
    <s v="DRDGOLD"/>
    <x v="0"/>
    <n v="817"/>
    <n v="792"/>
    <n v="342"/>
    <n v="93"/>
    <x v="1"/>
  </r>
  <r>
    <n v="132"/>
    <n v="107"/>
    <s v="Banque Marocaine pour le Commerce et l'Industrie"/>
    <x v="2"/>
    <n v="812"/>
    <n v="1041"/>
    <n v="439"/>
    <n v="22"/>
    <x v="2"/>
  </r>
  <r>
    <n v="133"/>
    <n v="144"/>
    <s v="Atlanta"/>
    <x v="2"/>
    <n v="788"/>
    <n v="612"/>
    <n v="626"/>
    <n v="46"/>
    <x v="2"/>
  </r>
  <r>
    <n v="134"/>
    <n v="133"/>
    <s v="Banque Internationale Arabe de Tunisie (BIAT)"/>
    <x v="10"/>
    <n v="787"/>
    <n v="683"/>
    <n v="636"/>
    <n v="102"/>
    <x v="2"/>
  </r>
  <r>
    <n v="135"/>
    <n v="110"/>
    <s v="Nigerian Breweries"/>
    <x v="3"/>
    <n v="785"/>
    <n v="947"/>
    <n v="1067"/>
    <n v="31"/>
    <x v="0"/>
  </r>
  <r>
    <n v="136"/>
    <n v="142"/>
    <s v="RCL Foods"/>
    <x v="0"/>
    <n v="767"/>
    <n v="629"/>
    <n v="2056"/>
    <n v="64"/>
    <x v="0"/>
  </r>
  <r>
    <n v="137"/>
    <s v="new"/>
    <s v="Arcelormittal South Africa"/>
    <x v="0"/>
    <n v="759"/>
    <n v="202"/>
    <n v="2685"/>
    <n v="448"/>
    <x v="1"/>
  </r>
  <r>
    <n v="138"/>
    <n v="122"/>
    <s v="Super Group"/>
    <x v="0"/>
    <n v="747"/>
    <n v="747"/>
    <n v="2564"/>
    <n v="66"/>
    <x v="9"/>
  </r>
  <r>
    <n v="139"/>
    <n v="123"/>
    <s v="Vodacom Tanzania"/>
    <x v="11"/>
    <n v="743"/>
    <n v="744"/>
    <n v="420"/>
    <s v="?13"/>
    <x v="3"/>
  </r>
  <r>
    <n v="140"/>
    <n v="125"/>
    <s v="Tanzania Ciggarette Co."/>
    <x v="11"/>
    <n v="733"/>
    <n v="733"/>
    <n v="121"/>
    <n v="16"/>
    <x v="0"/>
  </r>
  <r>
    <n v="141"/>
    <n v="151"/>
    <s v="Credit du Maroc"/>
    <x v="2"/>
    <n v="702"/>
    <n v="541"/>
    <n v="322"/>
    <n v="70"/>
    <x v="2"/>
  </r>
  <r>
    <n v="142"/>
    <n v="135"/>
    <s v="Emaar Misr for Development"/>
    <x v="4"/>
    <n v="699"/>
    <n v="657"/>
    <n v="337"/>
    <n v="94"/>
    <x v="2"/>
  </r>
  <r>
    <n v="143"/>
    <n v="172"/>
    <s v="Afrimat"/>
    <x v="0"/>
    <n v="696"/>
    <n v="453"/>
    <n v="224"/>
    <n v="36"/>
    <x v="1"/>
  </r>
  <r>
    <n v="144"/>
    <n v="202"/>
    <s v="Hosken Consolidated Investments"/>
    <x v="0"/>
    <n v="691"/>
    <n v="368"/>
    <n v="823"/>
    <n v="69"/>
    <x v="4"/>
  </r>
  <r>
    <n v="145"/>
    <n v="117"/>
    <s v="Massmart Holdings"/>
    <x v="0"/>
    <n v="688"/>
    <n v="816"/>
    <n v="5248"/>
    <s v="?108"/>
    <x v="0"/>
  </r>
  <r>
    <n v="146"/>
    <n v="177"/>
    <s v="Societe Generale de Banques en Cote d'Ivoire"/>
    <x v="8"/>
    <n v="686"/>
    <n v="443"/>
    <n v="420"/>
    <n v="122"/>
    <x v="2"/>
  </r>
  <r>
    <n v="147"/>
    <s v="new"/>
    <s v="Crytel Mauritius"/>
    <x v="6"/>
    <n v="683"/>
    <s v="n/a"/>
    <s v="n/a"/>
    <s v="n/a"/>
    <x v="9"/>
  </r>
  <r>
    <n v="148"/>
    <n v="160"/>
    <s v="ADvTECH"/>
    <x v="0"/>
    <n v="680"/>
    <n v="493"/>
    <n v="400"/>
    <n v="45"/>
    <x v="0"/>
  </r>
  <r>
    <n v="149"/>
    <n v="136"/>
    <s v="JSE"/>
    <x v="0"/>
    <n v="664"/>
    <n v="657"/>
    <n v="173"/>
    <n v="49"/>
    <x v="2"/>
  </r>
  <r>
    <n v="150"/>
    <n v="129"/>
    <s v="Co-operative Bank of Kenya"/>
    <x v="1"/>
    <n v="656"/>
    <n v="708"/>
    <n v="625"/>
    <n v="109"/>
    <x v="2"/>
  </r>
  <r>
    <n v="151"/>
    <n v="183"/>
    <s v="Namibia Breweries"/>
    <x v="5"/>
    <n v="636"/>
    <n v="434"/>
    <n v="172"/>
    <n v="24"/>
    <x v="0"/>
  </r>
  <r>
    <n v="152"/>
    <n v="145"/>
    <s v="United Bank for Africa"/>
    <x v="3"/>
    <n v="633"/>
    <n v="589"/>
    <n v="1601"/>
    <n v="283"/>
    <x v="2"/>
  </r>
  <r>
    <n v="153"/>
    <n v="153"/>
    <s v="Adcock Ingram Holdings"/>
    <x v="0"/>
    <n v="630"/>
    <n v="525"/>
    <n v="505"/>
    <n v="43"/>
    <x v="5"/>
  </r>
  <r>
    <n v="154"/>
    <n v="149"/>
    <s v="Saham Assurance"/>
    <x v="2"/>
    <n v="618"/>
    <n v="555"/>
    <n v="683"/>
    <n v="67"/>
    <x v="2"/>
  </r>
  <r>
    <n v="155"/>
    <n v="120"/>
    <s v="Poulina Group Holding"/>
    <x v="10"/>
    <n v="616"/>
    <n v="783"/>
    <n v="817"/>
    <n v="27"/>
    <x v="0"/>
  </r>
  <r>
    <n v="156"/>
    <n v="209"/>
    <s v="Datatec"/>
    <x v="0"/>
    <n v="604"/>
    <n v="355"/>
    <n v="4109"/>
    <n v="3"/>
    <x v="10"/>
  </r>
  <r>
    <n v="157"/>
    <n v="179"/>
    <s v="Absa Bank Kenya"/>
    <x v="1"/>
    <n v="588"/>
    <n v="438"/>
    <n v="402"/>
    <n v="39"/>
    <x v="2"/>
  </r>
  <r>
    <n v="158"/>
    <n v="156"/>
    <s v="NMB Bank"/>
    <x v="11"/>
    <n v="582"/>
    <n v="505"/>
    <n v="485"/>
    <n v="125"/>
    <x v="2"/>
  </r>
  <r>
    <n v="159"/>
    <n v="176"/>
    <s v="El Ezz Aldekhela Steel"/>
    <x v="4"/>
    <n v="578"/>
    <n v="447"/>
    <n v="2147"/>
    <s v="?296"/>
    <x v="1"/>
  </r>
  <r>
    <n v="160"/>
    <n v="161"/>
    <s v="First National Bank Botswana"/>
    <x v="13"/>
    <n v="577"/>
    <n v="492"/>
    <n v="249"/>
    <n v="62"/>
    <x v="2"/>
  </r>
  <r>
    <n v="161"/>
    <n v="152"/>
    <s v="Tharisa"/>
    <x v="0"/>
    <n v="577"/>
    <n v="540"/>
    <n v="596"/>
    <n v="100"/>
    <x v="1"/>
  </r>
  <r>
    <n v="162"/>
    <n v="187"/>
    <s v="Onatel"/>
    <x v="8"/>
    <n v="574"/>
    <n v="412"/>
    <n v="273"/>
    <n v="54"/>
    <x v="3"/>
  </r>
  <r>
    <n v="163"/>
    <n v="141"/>
    <s v="Reunert"/>
    <x v="0"/>
    <n v="569"/>
    <n v="633"/>
    <n v="646"/>
    <n v="52"/>
    <x v="9"/>
  </r>
  <r>
    <n v="164"/>
    <n v="192"/>
    <s v="Airtel Malawi"/>
    <x v="14"/>
    <n v="566"/>
    <n v="392"/>
    <n v="148"/>
    <n v="30"/>
    <x v="3"/>
  </r>
  <r>
    <n v="165"/>
    <n v="215"/>
    <s v="National Bank of Kuwait - Egypt"/>
    <x v="4"/>
    <n v="548"/>
    <n v="339"/>
    <n v="405"/>
    <n v="82"/>
    <x v="2"/>
  </r>
  <r>
    <n v="166"/>
    <n v="180"/>
    <s v="Coris Bank"/>
    <x v="8"/>
    <n v="543"/>
    <n v="436"/>
    <n v="205"/>
    <n v="60"/>
    <x v="2"/>
  </r>
  <r>
    <n v="167"/>
    <n v="195"/>
    <s v="National Bank of Malawi"/>
    <x v="14"/>
    <n v="542"/>
    <n v="387"/>
    <n v="152"/>
    <n v="44"/>
    <x v="2"/>
  </r>
  <r>
    <n v="168"/>
    <s v="new"/>
    <s v="Sun International"/>
    <x v="0"/>
    <n v="541"/>
    <n v="246"/>
    <n v="422"/>
    <n v="18"/>
    <x v="4"/>
  </r>
  <r>
    <n v="169"/>
    <n v="181"/>
    <s v="FirstRand Namibia"/>
    <x v="5"/>
    <n v="540"/>
    <n v="435"/>
    <n v="342"/>
    <n v="66"/>
    <x v="2"/>
  </r>
  <r>
    <n v="170"/>
    <n v="158"/>
    <s v="Centrale Danone"/>
    <x v="2"/>
    <n v="534"/>
    <n v="500"/>
    <n v="512"/>
    <s v="n/a"/>
    <x v="0"/>
  </r>
  <r>
    <n v="171"/>
    <s v="new"/>
    <s v="British American Tobacco Zimbabwe Limited"/>
    <x v="7"/>
    <n v="531"/>
    <n v="196"/>
    <n v="53"/>
    <n v="16"/>
    <x v="0"/>
  </r>
  <r>
    <n v="172"/>
    <n v="190"/>
    <s v="Ecobank Transnational, Inc."/>
    <x v="3"/>
    <n v="529"/>
    <n v="401"/>
    <n v="2319"/>
    <n v="261"/>
    <x v="2"/>
  </r>
  <r>
    <n v="173"/>
    <s v="new"/>
    <s v="Travaux Generaux de Construction de Casablanca"/>
    <x v="2"/>
    <n v="522"/>
    <s v="n/a"/>
    <n v="410"/>
    <s v="n/a"/>
    <x v="9"/>
  </r>
  <r>
    <n v="174"/>
    <n v="167"/>
    <s v="Aradei Capital"/>
    <x v="2"/>
    <n v="520"/>
    <n v="469"/>
    <n v="48"/>
    <n v="38"/>
    <x v="2"/>
  </r>
  <r>
    <n v="175"/>
    <s v="new"/>
    <s v="Faisal Islamic Bank of Egypt"/>
    <x v="4"/>
    <n v="518"/>
    <n v="370"/>
    <n v="758"/>
    <n v="132"/>
    <x v="2"/>
  </r>
  <r>
    <n v="176"/>
    <n v="171"/>
    <s v="Credit Agricole Egypt"/>
    <x v="4"/>
    <n v="509"/>
    <n v="455"/>
    <n v="394"/>
    <n v="87"/>
    <x v="2"/>
  </r>
  <r>
    <n v="177"/>
    <n v="146"/>
    <s v="Oceana Group"/>
    <x v="0"/>
    <n v="509"/>
    <n v="583"/>
    <n v="515"/>
    <n v="46"/>
    <x v="0"/>
  </r>
  <r>
    <n v="178"/>
    <n v="228"/>
    <s v="Aluminium Company of Egypt"/>
    <x v="4"/>
    <n v="500"/>
    <n v="305"/>
    <n v="451"/>
    <s v="?93"/>
    <x v="1"/>
  </r>
  <r>
    <n v="179"/>
    <n v="169"/>
    <s v="Capricorn Group"/>
    <x v="5"/>
    <n v="497"/>
    <n v="466"/>
    <n v="361"/>
    <n v="59"/>
    <x v="2"/>
  </r>
  <r>
    <n v="180"/>
    <n v="211"/>
    <s v="Raubex Group"/>
    <x v="0"/>
    <n v="491"/>
    <n v="350"/>
    <n v="536"/>
    <n v="10"/>
    <x v="9"/>
  </r>
  <r>
    <n v="181"/>
    <n v="154"/>
    <s v="Lesieur Cristal"/>
    <x v="2"/>
    <n v="490"/>
    <n v="525"/>
    <n v="541"/>
    <n v="16"/>
    <x v="0"/>
  </r>
  <r>
    <n v="182"/>
    <n v="162"/>
    <s v="Standard Chartered Bank Kenya"/>
    <x v="1"/>
    <n v="472"/>
    <n v="490"/>
    <n v="298"/>
    <n v="82"/>
    <x v="2"/>
  </r>
  <r>
    <n v="183"/>
    <n v="155"/>
    <s v="Cashbuild"/>
    <x v="0"/>
    <n v="471"/>
    <n v="518"/>
    <n v="818"/>
    <n v="43"/>
    <x v="6"/>
  </r>
  <r>
    <n v="184"/>
    <n v="175"/>
    <s v="Auto Hall"/>
    <x v="2"/>
    <n v="469"/>
    <n v="448"/>
    <n v="565"/>
    <n v="29"/>
    <x v="6"/>
  </r>
  <r>
    <n v="185"/>
    <n v="157"/>
    <s v="Dangote Sugar Refinery"/>
    <x v="3"/>
    <n v="467"/>
    <n v="504"/>
    <n v="673"/>
    <n v="54"/>
    <x v="0"/>
  </r>
  <r>
    <n v="186"/>
    <n v="178"/>
    <s v="Curro Holdings"/>
    <x v="0"/>
    <n v="467"/>
    <n v="441"/>
    <n v="240"/>
    <n v="18"/>
    <x v="0"/>
  </r>
  <r>
    <n v="187"/>
    <n v="150"/>
    <s v="Banque de Tunisie"/>
    <x v="10"/>
    <n v="462"/>
    <n v="550"/>
    <n v="222"/>
    <n v="55"/>
    <x v="2"/>
  </r>
  <r>
    <n v="188"/>
    <n v="165"/>
    <s v="Oragroup"/>
    <x v="8"/>
    <n v="459"/>
    <n v="482"/>
    <s v="n/a"/>
    <s v="n/a"/>
    <x v="2"/>
  </r>
  <r>
    <n v="189"/>
    <s v="bew"/>
    <s v="Ste de Limonaderies et Brasseries d'Afrique SOLIBRA"/>
    <x v="8"/>
    <n v="458"/>
    <n v="165"/>
    <n v="399"/>
    <n v="30"/>
    <x v="0"/>
  </r>
  <r>
    <n v="190"/>
    <s v="new"/>
    <s v="PPC"/>
    <x v="0"/>
    <n v="455"/>
    <n v="259"/>
    <n v="546"/>
    <n v="60"/>
    <x v="1"/>
  </r>
  <r>
    <n v="191"/>
    <s v="new"/>
    <s v="Medtech Holdings"/>
    <x v="7"/>
    <n v="449"/>
    <n v="4"/>
    <n v="7"/>
    <n v="1"/>
    <x v="0"/>
  </r>
  <r>
    <n v="192"/>
    <n v="184"/>
    <s v="Astral Foods"/>
    <x v="0"/>
    <n v="446"/>
    <n v="426"/>
    <n v="1070"/>
    <n v="31"/>
    <x v="0"/>
  </r>
  <r>
    <n v="193"/>
    <n v="173"/>
    <s v="Hightech Payment Systems"/>
    <x v="2"/>
    <n v="445"/>
    <n v="451"/>
    <n v="92"/>
    <s v="n/a"/>
    <x v="2"/>
  </r>
  <r>
    <n v="194"/>
    <n v="168"/>
    <s v="Cleopatra Hospital"/>
    <x v="4"/>
    <n v="438"/>
    <n v="468"/>
    <n v="126"/>
    <n v="14"/>
    <x v="5"/>
  </r>
  <r>
    <n v="195"/>
    <n v="166"/>
    <s v="Banque Attijari de Tunisie"/>
    <x v="10"/>
    <n v="434"/>
    <n v="472"/>
    <n v="365"/>
    <n v="60"/>
    <x v="2"/>
  </r>
  <r>
    <n v="196"/>
    <n v="204"/>
    <s v="Famous Brands"/>
    <x v="0"/>
    <n v="433"/>
    <n v="360"/>
    <n v="284"/>
    <s v="?8"/>
    <x v="4"/>
  </r>
  <r>
    <n v="197"/>
    <n v="250"/>
    <s v="CRDB Bank"/>
    <x v="11"/>
    <n v="433"/>
    <n v="259"/>
    <n v="488"/>
    <n v="116"/>
    <x v="2"/>
  </r>
  <r>
    <n v="198"/>
    <n v="174"/>
    <s v="Botswana Insurance"/>
    <x v="13"/>
    <n v="433"/>
    <n v="448"/>
    <n v="322"/>
    <n v="46"/>
    <x v="2"/>
  </r>
  <r>
    <n v="199"/>
    <n v="182"/>
    <s v="British American Tobacco Kenya"/>
    <x v="1"/>
    <n v="432"/>
    <n v="434"/>
    <n v="238"/>
    <n v="52"/>
    <x v="0"/>
  </r>
  <r>
    <n v="200"/>
    <n v="199"/>
    <s v="Union Bank Nigeria"/>
    <x v="3"/>
    <n v="431"/>
    <n v="377"/>
    <n v="393"/>
    <n v="47"/>
    <x v="2"/>
  </r>
  <r>
    <n v="201"/>
    <n v="223"/>
    <s v="Ezz Steel"/>
    <x v="4"/>
    <n v="428"/>
    <n v="317"/>
    <n v="4320"/>
    <n v="224"/>
    <x v="1"/>
  </r>
  <r>
    <n v="202"/>
    <n v="194"/>
    <s v="Alexander Forbes"/>
    <x v="0"/>
    <n v="428"/>
    <n v="389"/>
    <n v="251"/>
    <n v="26"/>
    <x v="2"/>
  </r>
  <r>
    <n v="203"/>
    <n v="188"/>
    <s v="Heliopolis Housing"/>
    <x v="4"/>
    <n v="426"/>
    <n v="407"/>
    <n v="61"/>
    <n v="21"/>
    <x v="2"/>
  </r>
  <r>
    <n v="204"/>
    <s v="new"/>
    <s v="Mobile Telecommunications"/>
    <x v="5"/>
    <n v="411"/>
    <s v="n/a"/>
    <n v="189"/>
    <n v="50"/>
    <x v="3"/>
  </r>
  <r>
    <n v="205"/>
    <n v="229"/>
    <s v="Metair Investments"/>
    <x v="0"/>
    <n v="409"/>
    <n v="304"/>
    <n v="853"/>
    <n v="46"/>
    <x v="9"/>
  </r>
  <r>
    <n v="206"/>
    <n v="218"/>
    <s v="Hippo Valley Estates"/>
    <x v="7"/>
    <n v="407"/>
    <n v="335"/>
    <n v="248"/>
    <n v="17"/>
    <x v="0"/>
  </r>
  <r>
    <n v="207"/>
    <n v="205"/>
    <s v="Standard Bank Malawi"/>
    <x v="14"/>
    <n v="402"/>
    <n v="359"/>
    <n v="126"/>
    <n v="31"/>
    <x v="2"/>
  </r>
  <r>
    <n v="208"/>
    <n v="220"/>
    <s v="Murray &amp; Roberts"/>
    <x v="0"/>
    <n v="384"/>
    <n v="326"/>
    <n v="1420"/>
    <n v="5"/>
    <x v="9"/>
  </r>
  <r>
    <n v="209"/>
    <s v="new"/>
    <s v="Renergen"/>
    <x v="0"/>
    <n v="381"/>
    <n v="233"/>
    <n v="0"/>
    <s v="?3"/>
    <x v="7"/>
  </r>
  <r>
    <n v="210"/>
    <s v="new"/>
    <s v="Guinness Nigeria"/>
    <x v="3"/>
    <n v="375"/>
    <n v="181"/>
    <n v="404"/>
    <n v="3"/>
    <x v="0"/>
  </r>
  <r>
    <n v="211"/>
    <n v="213"/>
    <s v="Juhayna Food Industries"/>
    <x v="4"/>
    <n v="374"/>
    <n v="340"/>
    <n v="483"/>
    <n v="27"/>
    <x v="0"/>
  </r>
  <r>
    <n v="212"/>
    <n v="197"/>
    <s v="NCBA Group"/>
    <x v="1"/>
    <n v="370"/>
    <n v="379"/>
    <n v="610"/>
    <n v="44"/>
    <x v="2"/>
  </r>
  <r>
    <n v="213"/>
    <s v="new"/>
    <s v="Societe Ivoirienne de Banque"/>
    <x v="8"/>
    <n v="370"/>
    <n v="246"/>
    <n v="163"/>
    <n v="53"/>
    <x v="2"/>
  </r>
  <r>
    <n v="214"/>
    <n v="185"/>
    <s v="Standard Chartered Bank Ghana"/>
    <x v="9"/>
    <n v="362"/>
    <n v="423"/>
    <n v="213"/>
    <n v="74"/>
    <x v="2"/>
  </r>
  <r>
    <n v="215"/>
    <n v="201"/>
    <s v="Stanbic Bank Uganda"/>
    <x v="12"/>
    <n v="357"/>
    <n v="370"/>
    <n v="238"/>
    <n v="65"/>
    <x v="2"/>
  </r>
  <r>
    <n v="216"/>
    <n v="232"/>
    <s v="Stanbic"/>
    <x v="1"/>
    <n v="354"/>
    <n v="294"/>
    <n v="228"/>
    <n v="66"/>
    <x v="2"/>
  </r>
  <r>
    <n v="217"/>
    <s v="new"/>
    <s v="CFAO Motors Cote d'Ivoire"/>
    <x v="8"/>
    <n v="354"/>
    <n v="136"/>
    <n v="172"/>
    <n v="7"/>
    <x v="6"/>
  </r>
  <r>
    <n v="218"/>
    <n v="214"/>
    <s v="Absa Bank Botswana"/>
    <x v="13"/>
    <n v="350"/>
    <n v="339"/>
    <n v="187"/>
    <n v="45"/>
    <x v="2"/>
  </r>
  <r>
    <n v="219"/>
    <s v="new"/>
    <s v="Okomu Oil Palm Co."/>
    <x v="3"/>
    <n v="343"/>
    <n v="210"/>
    <n v="91"/>
    <n v="34"/>
    <x v="0"/>
  </r>
  <r>
    <n v="220"/>
    <n v="236"/>
    <s v="Housing &amp; Development Bank"/>
    <x v="4"/>
    <n v="343"/>
    <n v="281"/>
    <n v="475"/>
    <n v="130"/>
    <x v="2"/>
  </r>
  <r>
    <n v="221"/>
    <s v="new"/>
    <s v="Tsogo Sun Hotels"/>
    <x v="0"/>
    <n v="342"/>
    <n v="212"/>
    <n v="71"/>
    <s v="?55"/>
    <x v="4"/>
  </r>
  <r>
    <n v="222"/>
    <n v="249"/>
    <s v="SBM Holdings"/>
    <x v="6"/>
    <n v="337"/>
    <n v="261"/>
    <n v="367"/>
    <n v="42"/>
    <x v="2"/>
  </r>
  <r>
    <n v="223"/>
    <s v="new"/>
    <s v="Letshego Holdings"/>
    <x v="13"/>
    <n v="337"/>
    <n v="134"/>
    <n v="312"/>
    <n v="61"/>
    <x v="2"/>
  </r>
  <r>
    <n v="224"/>
    <s v="new"/>
    <s v="Mpact"/>
    <x v="0"/>
    <n v="335"/>
    <n v="201"/>
    <n v="781"/>
    <n v="35"/>
    <x v="1"/>
  </r>
  <r>
    <n v="225"/>
    <n v="147"/>
    <s v="CBZ"/>
    <x v="7"/>
    <n v="333"/>
    <n v="570"/>
    <n v="257"/>
    <n v="98"/>
    <x v="2"/>
  </r>
  <r>
    <n v="226"/>
    <n v="191"/>
    <s v="Wilson Bayly Holmes"/>
    <x v="0"/>
    <n v="332"/>
    <n v="397"/>
    <n v="2487"/>
    <n v="21"/>
    <x v="9"/>
  </r>
  <r>
    <n v="227"/>
    <s v="new"/>
    <s v="Hudaco Industries"/>
    <x v="0"/>
    <n v="332"/>
    <n v="219"/>
    <n v="494"/>
    <n v="34"/>
    <x v="9"/>
  </r>
  <r>
    <n v="228"/>
    <n v="163"/>
    <s v="Cairo Investment &amp; Real Estate Development"/>
    <x v="4"/>
    <n v="328"/>
    <n v="488"/>
    <n v="89"/>
    <n v="17"/>
    <x v="0"/>
  </r>
  <r>
    <n v="229"/>
    <n v="225"/>
    <s v="Oriental Weavers"/>
    <x v="4"/>
    <n v="324"/>
    <n v="308"/>
    <n v="603"/>
    <n v="46"/>
    <x v="0"/>
  </r>
  <r>
    <n v="230"/>
    <s v="new"/>
    <s v="Grindrod"/>
    <x v="0"/>
    <n v="323"/>
    <n v="227"/>
    <n v="228"/>
    <s v="?22"/>
    <x v="9"/>
  </r>
  <r>
    <n v="231"/>
    <s v="new"/>
    <s v="Presco PLC"/>
    <x v="3"/>
    <n v="320"/>
    <n v="176"/>
    <n v="115"/>
    <n v="46"/>
    <x v="0"/>
  </r>
  <r>
    <n v="232"/>
    <s v="new"/>
    <s v="Tanzania Portland Cement"/>
    <x v="11"/>
    <n v="318"/>
    <n v="194"/>
    <n v="170"/>
    <n v="32"/>
    <x v="1"/>
  </r>
  <r>
    <n v="233"/>
    <n v="224"/>
    <s v="Compagnie Miniere de Touissit"/>
    <x v="2"/>
    <n v="314"/>
    <n v="313"/>
    <n v="45"/>
    <n v="5"/>
    <x v="1"/>
  </r>
  <r>
    <n v="234"/>
    <s v="new"/>
    <s v="Merafe Resources"/>
    <x v="0"/>
    <n v="313"/>
    <n v="131"/>
    <n v="545"/>
    <n v="113"/>
    <x v="1"/>
  </r>
  <r>
    <n v="235"/>
    <s v="new"/>
    <s v="Seed Co"/>
    <x v="7"/>
    <n v="312"/>
    <n v="63"/>
    <n v="87"/>
    <n v="12"/>
    <x v="0"/>
  </r>
  <r>
    <n v="236"/>
    <s v="new"/>
    <s v="Copperbelt Energy Corporation"/>
    <x v="15"/>
    <n v="310"/>
    <n v="93"/>
    <n v="343"/>
    <n v="51"/>
    <x v="8"/>
  </r>
  <r>
    <n v="237"/>
    <s v="new"/>
    <s v="Zambia Sugar"/>
    <x v="15"/>
    <n v="308"/>
    <n v="37"/>
    <n v="236"/>
    <n v="51"/>
    <x v="0"/>
  </r>
  <r>
    <n v="238"/>
    <s v="new"/>
    <s v="Les Eaux Minerales d'Oulmes"/>
    <x v="2"/>
    <n v="307"/>
    <n v="230"/>
    <n v="193"/>
    <n v="5"/>
    <x v="0"/>
  </r>
  <r>
    <n v="239"/>
    <n v="227"/>
    <s v="Libstar Holdings"/>
    <x v="0"/>
    <n v="303"/>
    <n v="306"/>
    <n v="676"/>
    <n v="21"/>
    <x v="0"/>
  </r>
  <r>
    <n v="240"/>
    <n v="240"/>
    <s v="Douja Promotion Groupe Addoha"/>
    <x v="2"/>
    <n v="302"/>
    <n v="275"/>
    <n v="133"/>
    <s v="?10"/>
    <x v="2"/>
  </r>
  <r>
    <n v="241"/>
    <s v="new"/>
    <s v="Egyptian International Tourism Projects"/>
    <x v="4"/>
    <n v="301"/>
    <n v="350"/>
    <n v="206"/>
    <n v="2"/>
    <x v="4"/>
  </r>
  <r>
    <n v="242"/>
    <n v="198"/>
    <s v="I&amp;M Holdings"/>
    <x v="1"/>
    <n v="301"/>
    <n v="378"/>
    <n v="342"/>
    <n v="76"/>
    <x v="2"/>
  </r>
  <r>
    <n v="243"/>
    <n v="216"/>
    <s v="Sidi Kerir Petrochemicals"/>
    <x v="4"/>
    <n v="300"/>
    <n v="338"/>
    <n v="219"/>
    <n v="2"/>
    <x v="1"/>
  </r>
  <r>
    <n v="244"/>
    <s v="new"/>
    <s v="SONASID"/>
    <x v="2"/>
    <n v="300"/>
    <n v="155"/>
    <n v="500"/>
    <n v="12"/>
    <x v="1"/>
  </r>
  <r>
    <n v="245"/>
    <s v="new"/>
    <s v="Arindo Holdings (Mauritius)"/>
    <x v="6"/>
    <n v="299"/>
    <n v="299"/>
    <s v="n/a"/>
    <s v="n/a"/>
    <x v="9"/>
  </r>
  <r>
    <n v="246"/>
    <s v="new"/>
    <s v="Deep Yellow Limited"/>
    <x v="5"/>
    <n v="298"/>
    <n v="155"/>
    <s v="n/a"/>
    <s v="n/a"/>
    <x v="7"/>
  </r>
  <r>
    <n v="247"/>
    <n v="193"/>
    <s v="Edita Food Industries"/>
    <x v="4"/>
    <n v="297"/>
    <n v="392"/>
    <n v="335"/>
    <n v="30"/>
    <x v="0"/>
  </r>
  <r>
    <n v="248"/>
    <s v="new"/>
    <s v="Long4Life"/>
    <x v="0"/>
    <n v="292"/>
    <n v="171"/>
    <n v="217"/>
    <n v="14"/>
    <x v="6"/>
  </r>
  <r>
    <n v="249"/>
    <n v="234"/>
    <s v="Delice Holding"/>
    <x v="10"/>
    <n v="289"/>
    <n v="285"/>
    <n v="425"/>
    <s v="n/a"/>
    <x v="0"/>
  </r>
  <r>
    <n v="250"/>
    <n v="231"/>
    <s v="Sea Harvest Group"/>
    <x v="0"/>
    <n v="286"/>
    <n v="299"/>
    <n v="266"/>
    <n v="26"/>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n v="1"/>
    <n v="1"/>
    <s v="Naspers"/>
    <s v="SOUTH AFRICA"/>
    <n v="49619"/>
    <n v="104209"/>
    <n v="5934"/>
    <n v="5304"/>
    <x v="0"/>
    <n v="-0.52385110691015169"/>
    <n v="0.89383215369059654"/>
  </r>
  <r>
    <n v="2"/>
    <n v="3"/>
    <s v="Anglo American Platinum"/>
    <s v="SOUTH AFRICA"/>
    <n v="36429"/>
    <n v="38666"/>
    <n v="14507"/>
    <n v="5340"/>
    <x v="1"/>
    <n v="-5.7854445766306314E-2"/>
    <n v="0.36809815950920244"/>
  </r>
  <r>
    <n v="3"/>
    <n v="4"/>
    <s v="FirstRand"/>
    <s v="SOUTH AFRICA"/>
    <n v="29739"/>
    <n v="19610"/>
    <n v="10025"/>
    <n v="1785"/>
    <x v="2"/>
    <n v="0.51652218255991844"/>
    <n v="0.17805486284289276"/>
  </r>
  <r>
    <n v="4"/>
    <n v="13"/>
    <s v="MTN Group"/>
    <s v="SOUTH AFRICA"/>
    <n v="24500"/>
    <n v="11083"/>
    <n v="12281"/>
    <n v="930"/>
    <x v="3"/>
    <n v="1.2105927997834522"/>
    <n v="7.5726732350785766E-2"/>
  </r>
  <r>
    <n v="5"/>
    <n v="7"/>
    <s v="Standard Bank Group"/>
    <s v="SOUTH AFRICA"/>
    <n v="20915"/>
    <n v="13760"/>
    <n v="18342"/>
    <n v="1737"/>
    <x v="2"/>
    <n v="0.51998546511627908"/>
    <n v="9.4700686947988222E-2"/>
  </r>
  <r>
    <n v="6"/>
    <n v="5"/>
    <s v="Vodacom Group"/>
    <s v="SOUTH AFRICA"/>
    <n v="20102"/>
    <n v="15698"/>
    <n v="5985"/>
    <n v="1013"/>
    <x v="3"/>
    <n v="0.28054529239393555"/>
    <n v="0.16925647451963241"/>
  </r>
  <r>
    <n v="7"/>
    <n v="12"/>
    <s v="Capitec Bank Holdings"/>
    <s v="SOUTH AFRICA"/>
    <n v="18608"/>
    <n v="11122"/>
    <n v="2396"/>
    <n v="574"/>
    <x v="2"/>
    <n v="0.67308038122639813"/>
    <n v="0.2395659432387312"/>
  </r>
  <r>
    <n v="8"/>
    <n v="18"/>
    <s v="Sasol"/>
    <s v="SOUTH AFRICA"/>
    <n v="15354"/>
    <n v="9042"/>
    <n v="13099"/>
    <n v="586"/>
    <x v="1"/>
    <n v="0.69807564698075641"/>
    <n v="4.4736239407588363E-2"/>
  </r>
  <r>
    <n v="9"/>
    <n v="10"/>
    <s v="Kumba Iron Ore"/>
    <s v="SOUTH AFRICA"/>
    <n v="14446"/>
    <n v="13273"/>
    <n v="6892"/>
    <n v="2249"/>
    <x v="1"/>
    <n v="8.8374896406238232E-2"/>
    <n v="0.3263203714451538"/>
  </r>
  <r>
    <n v="10"/>
    <n v="22"/>
    <s v="Gold Fields"/>
    <s v="SOUTH AFRICA"/>
    <n v="13909"/>
    <n v="8265"/>
    <n v="4195"/>
    <n v="789"/>
    <x v="1"/>
    <n v="0.6828796128251664"/>
    <n v="0.18808104886769964"/>
  </r>
  <r>
    <n v="11"/>
    <n v="6"/>
    <s v="Impala Platinum Holdings"/>
    <s v="SOUTH AFRICA"/>
    <n v="13062"/>
    <n v="14725"/>
    <n v="8406"/>
    <n v="3051"/>
    <x v="1"/>
    <n v="-0.11293718166383701"/>
    <n v="0.36295503211991437"/>
  </r>
  <r>
    <n v="12"/>
    <n v="9"/>
    <s v="Safaricom"/>
    <s v="KENYA"/>
    <n v="11898"/>
    <n v="13282"/>
    <n v="2430"/>
    <n v="633"/>
    <x v="3"/>
    <n v="-0.10420117452190936"/>
    <n v="0.26049382716049385"/>
  </r>
  <r>
    <n v="13"/>
    <n v="8"/>
    <s v="Maroc Telecom"/>
    <s v="MOROCCO"/>
    <n v="11782"/>
    <n v="13517"/>
    <n v="3980"/>
    <n v="668"/>
    <x v="3"/>
    <n v="-0.12835688392394762"/>
    <n v="0.16783919597989949"/>
  </r>
  <r>
    <n v="14"/>
    <n v="11"/>
    <s v="Sibanye Stillwater"/>
    <s v="SOUTH AFRICA"/>
    <n v="11581"/>
    <n v="13008"/>
    <n v="11642"/>
    <n v="2235"/>
    <x v="1"/>
    <n v="-0.10970172201722017"/>
    <n v="0.19197732348393748"/>
  </r>
  <r>
    <n v="15"/>
    <n v="20"/>
    <s v="Dangote Cement"/>
    <s v="NIGERIA"/>
    <n v="11203"/>
    <n v="8947"/>
    <n v="3375"/>
    <n v="881"/>
    <x v="1"/>
    <n v="0.25215155918184867"/>
    <n v="0.26103703703703701"/>
  </r>
  <r>
    <n v="16"/>
    <n v="24"/>
    <s v="Absa Group"/>
    <s v="SOUTH AFRICA"/>
    <n v="11048"/>
    <n v="7239"/>
    <n v="9040"/>
    <n v="1201"/>
    <x v="2"/>
    <n v="0.52617764884652574"/>
    <n v="0.13285398230088497"/>
  </r>
  <r>
    <n v="17"/>
    <n v="19"/>
    <s v="Sanlam"/>
    <s v="SOUTH AFRICA"/>
    <n v="11003"/>
    <n v="8978"/>
    <n v="8694"/>
    <n v="640"/>
    <x v="2"/>
    <n v="0.22555134773891736"/>
    <n v="7.3613986657464922E-2"/>
  </r>
  <r>
    <n v="18"/>
    <n v="23"/>
    <s v="MTN Nigeria"/>
    <s v="NIGERIA"/>
    <n v="10471"/>
    <n v="7963"/>
    <n v="4036"/>
    <n v="729"/>
    <x v="3"/>
    <n v="0.31495667462011806"/>
    <n v="0.18062438057482655"/>
  </r>
  <r>
    <n v="19"/>
    <n v="15"/>
    <s v="Attijariwafa Bank"/>
    <s v="MOROCCO"/>
    <n v="10250"/>
    <n v="9913"/>
    <n v="4425"/>
    <n v="572"/>
    <x v="2"/>
    <n v="3.3995763139312012E-2"/>
    <n v="0.12926553672316385"/>
  </r>
  <r>
    <n v="20"/>
    <n v="17"/>
    <s v="AngloGold Ashanti"/>
    <s v="SOUTH AFRICA"/>
    <n v="10032"/>
    <n v="9094"/>
    <n v="4029"/>
    <n v="622"/>
    <x v="1"/>
    <n v="0.10314493072355399"/>
    <n v="0.15438073963762719"/>
  </r>
  <r>
    <n v="21"/>
    <n v="26"/>
    <s v="Shoprite Holdings"/>
    <s v="SOUTH AFRICA"/>
    <n v="9577"/>
    <n v="6292"/>
    <n v="10901"/>
    <n v="305"/>
    <x v="0"/>
    <n v="0.52209154481881759"/>
    <n v="2.7979084487661683E-2"/>
  </r>
  <r>
    <n v="22"/>
    <n v="28"/>
    <s v="Discovery"/>
    <s v="SOUTH AFRICA"/>
    <n v="8393"/>
    <n v="6019"/>
    <n v="4501"/>
    <n v="209"/>
    <x v="2"/>
    <n v="0.39441767735504235"/>
    <n v="4.6434125749833369E-2"/>
  </r>
  <r>
    <n v="23"/>
    <n v="32"/>
    <s v="Nedbank Group"/>
    <s v="SOUTH AFRICA"/>
    <n v="8153"/>
    <n v="4822"/>
    <n v="6617"/>
    <n v="781"/>
    <x v="2"/>
    <n v="0.69079220240564077"/>
    <n v="0.11802931842224573"/>
  </r>
  <r>
    <n v="24"/>
    <n v="25"/>
    <s v="Bid Corp"/>
    <s v="SOUTH AFRICA"/>
    <n v="7300"/>
    <n v="6497"/>
    <n v="7448"/>
    <n v="200"/>
    <x v="4"/>
    <n v="0.12359550561797752"/>
    <n v="2.6852846401718582E-2"/>
  </r>
  <r>
    <n v="25"/>
    <n v="16"/>
    <s v="Airtel Africa"/>
    <s v="NIGERIA"/>
    <n v="6903"/>
    <n v="4112"/>
    <n v="3888"/>
    <n v="339"/>
    <x v="3"/>
    <n v="0.67874513618677046"/>
    <n v="8.7191358024691357E-2"/>
  </r>
  <r>
    <n v="26"/>
    <n v="45"/>
    <s v="Investec"/>
    <s v="SOUTH AFRICA"/>
    <n v="6716"/>
    <n v="2974"/>
    <n v="3703"/>
    <n v="350"/>
    <x v="2"/>
    <n v="1.2582380632145258"/>
    <n v="9.4517958412098299E-2"/>
  </r>
  <r>
    <n v="27"/>
    <n v="33"/>
    <s v="Aspen Pharmacare Holdings"/>
    <s v="SOUTH AFRICA"/>
    <n v="6186"/>
    <n v="4462"/>
    <n v="2450"/>
    <n v="311"/>
    <x v="5"/>
    <n v="0.38637382339757959"/>
    <n v="0.12693877551020408"/>
  </r>
  <r>
    <n v="28"/>
    <n v="21"/>
    <s v="Northam Platinum"/>
    <s v="SOUTH AFRICA"/>
    <n v="5919"/>
    <n v="8886"/>
    <n v="2118"/>
    <n v="609"/>
    <x v="1"/>
    <n v="-0.33389601620526671"/>
    <n v="0.28753541076487255"/>
  </r>
  <r>
    <n v="29"/>
    <n v="38"/>
    <s v="Pepkor"/>
    <s v="SOUTH AFRICA"/>
    <n v="5886"/>
    <n v="4018"/>
    <n v="5249"/>
    <n v="329"/>
    <x v="6"/>
    <n v="0.4649079143852663"/>
    <n v="6.2678605448656888E-2"/>
  </r>
  <r>
    <n v="30"/>
    <n v="42"/>
    <s v="Remgro"/>
    <s v="SOUTH AFRICA"/>
    <n v="5826"/>
    <n v="4002"/>
    <n v="4269"/>
    <n v="230"/>
    <x v="2"/>
    <n v="0.45577211394302847"/>
    <n v="5.3876786132583745E-2"/>
  </r>
  <r>
    <n v="31"/>
    <n v="27"/>
    <s v="BUA Cement"/>
    <s v="NIGERIA"/>
    <n v="5759"/>
    <n v="6078"/>
    <n v="628"/>
    <n v="224"/>
    <x v="1"/>
    <n v="-5.2484369858506089E-2"/>
    <n v="0.35668789808917195"/>
  </r>
  <r>
    <n v="32"/>
    <n v="29"/>
    <s v="Banque Centrale Populaire"/>
    <s v="MOROCCO"/>
    <n v="5622"/>
    <n v="5652"/>
    <n v="2953"/>
    <n v="196"/>
    <x v="2"/>
    <n v="-5.3078556263269636E-3"/>
    <n v="6.6373179817135114E-2"/>
  </r>
  <r>
    <n v="33"/>
    <n v="47"/>
    <s v="Rand Merchant Investment"/>
    <s v="SOUTH AFRICA"/>
    <n v="5471"/>
    <n v="3177"/>
    <n v="1212"/>
    <n v="188"/>
    <x v="2"/>
    <n v="0.72206484104501101"/>
    <n v="0.15511551155115511"/>
  </r>
  <r>
    <n v="34"/>
    <n v="35"/>
    <s v="Exxaro Resources"/>
    <s v="SOUTH AFRICA"/>
    <n v="5296"/>
    <n v="4223"/>
    <n v="2216"/>
    <n v="757"/>
    <x v="7"/>
    <n v="0.25408477385744732"/>
    <n v="0.34160649819494587"/>
  </r>
  <r>
    <n v="35"/>
    <n v="40"/>
    <s v="Bidvest Group"/>
    <s v="SOUTH AFRICA"/>
    <n v="5209"/>
    <n v="3926"/>
    <n v="5729"/>
    <n v="249"/>
    <x v="6"/>
    <n v="0.32679572083545594"/>
    <n v="4.3463082562401813E-2"/>
  </r>
  <r>
    <n v="36"/>
    <n v="39"/>
    <s v="Clicks Group"/>
    <s v="SOUTH AFRICA"/>
    <n v="5160"/>
    <n v="4008"/>
    <n v="2660"/>
    <n v="127"/>
    <x v="0"/>
    <n v="0.28742514970059879"/>
    <n v="4.7744360902255638E-2"/>
  </r>
  <r>
    <n v="37"/>
    <n v="30"/>
    <s v="Commercial International Bank"/>
    <s v="EGYPT"/>
    <n v="5009"/>
    <n v="5432"/>
    <n v="3216"/>
    <n v="845"/>
    <x v="2"/>
    <n v="-7.7871870397643594E-2"/>
    <n v="0.26274875621890548"/>
  </r>
  <r>
    <n v="38"/>
    <n v="31"/>
    <s v="B2gold Corp"/>
    <s v="NAMIBIA"/>
    <n v="4856"/>
    <n v="4527"/>
    <n v="1762"/>
    <n v="420"/>
    <x v="1"/>
    <n v="7.2675060746631326E-2"/>
    <n v="0.2383654937570942"/>
  </r>
  <r>
    <n v="39"/>
    <n v="36"/>
    <s v="LafargeHolcim Maroc"/>
    <s v="MOROCCO"/>
    <n v="4623"/>
    <n v="4167"/>
    <n v="911"/>
    <m/>
    <x v="1"/>
    <n v="0.10943124550035997"/>
    <n v="0"/>
  </r>
  <r>
    <n v="40"/>
    <n v="37"/>
    <s v="Old Mutual"/>
    <s v="SOUTH AFRICA"/>
    <n v="4437"/>
    <n v="4027"/>
    <n v="16755"/>
    <n v="450"/>
    <x v="2"/>
    <n v="0.10181276384405265"/>
    <n v="2.685765443151298E-2"/>
  </r>
  <r>
    <n v="41"/>
    <n v="34"/>
    <s v="African Rainbow Minerals"/>
    <s v="SOUTH AFRICA"/>
    <n v="4400"/>
    <n v="4227"/>
    <n v="1275"/>
    <n v="819"/>
    <x v="1"/>
    <n v="4.0927371658386565E-2"/>
    <n v="0.64235294117647057"/>
  </r>
  <r>
    <n v="42"/>
    <n v="43"/>
    <s v="Bank of Africa (formerly BMCE)"/>
    <s v="MOROCCO"/>
    <n v="4238"/>
    <n v="3563"/>
    <n v="2270"/>
    <n v="223"/>
    <x v="2"/>
    <n v="0.18944709514454111"/>
    <n v="9.8237885462555061E-2"/>
  </r>
  <r>
    <n v="43"/>
    <n v="44"/>
    <s v="Woolworths Holdings"/>
    <s v="SOUTH AFRICA"/>
    <n v="4160"/>
    <n v="3516"/>
    <n v="5245"/>
    <n v="270"/>
    <x v="0"/>
    <n v="0.18316268486916951"/>
    <n v="5.1477597712106769E-2"/>
  </r>
  <r>
    <n v="44"/>
    <n v="41"/>
    <s v="Multichoice"/>
    <s v="SOUTH AFRICA"/>
    <n v="3989"/>
    <n v="3864"/>
    <n v="3260"/>
    <n v="132"/>
    <x v="3"/>
    <n v="3.2349896480331264E-2"/>
    <n v="4.0490797546012272E-2"/>
  </r>
  <r>
    <n v="45"/>
    <n v="46"/>
    <s v="Mr Price Group"/>
    <s v="SOUTH AFRICA"/>
    <n v="3912"/>
    <n v="3457"/>
    <n v="1347"/>
    <n v="162"/>
    <x v="0"/>
    <n v="0.13161700896731271"/>
    <n v="0.12026726057906459"/>
  </r>
  <r>
    <n v="46"/>
    <s v="new"/>
    <s v="Afreximbank (DRs)"/>
    <s v="MAURITIUS"/>
    <n v="3793"/>
    <n v="4364"/>
    <n v="1072"/>
    <n v="352"/>
    <x v="2"/>
    <n v="-0.13084326306141156"/>
    <n v="0.32835820895522388"/>
  </r>
  <r>
    <n v="47"/>
    <n v="131"/>
    <s v="Econet Wireless"/>
    <s v="ZIMBABWE"/>
    <n v="3479"/>
    <n v="968"/>
    <n v="561"/>
    <n v="17"/>
    <x v="3"/>
    <n v="2.59400826446281"/>
    <n v="3.0303030303030304E-2"/>
  </r>
  <r>
    <n v="48"/>
    <n v="49"/>
    <s v="Growthpoint Properties"/>
    <s v="SOUTH AFRICA"/>
    <n v="3456"/>
    <n v="3067"/>
    <n v="818"/>
    <n v="32"/>
    <x v="2"/>
    <n v="0.12683403977828497"/>
    <n v="3.9119804400977995E-2"/>
  </r>
  <r>
    <n v="49"/>
    <n v="50"/>
    <s v="The Foschini Group"/>
    <s v="SOUTH AFRICA"/>
    <n v="3339"/>
    <n v="2753"/>
    <n v="2133"/>
    <n v="114"/>
    <x v="6"/>
    <n v="0.21285869960043588"/>
    <n v="5.3445850914205346E-2"/>
  </r>
  <r>
    <n v="50"/>
    <n v="63"/>
    <s v="Royal Bafokeng Platinum"/>
    <s v="SOUTH AFRICA"/>
    <n v="3194"/>
    <n v="1963"/>
    <n v="1111"/>
    <n v="440"/>
    <x v="1"/>
    <n v="0.62710137544574629"/>
    <n v="0.39603960396039606"/>
  </r>
  <r>
    <n v="51"/>
    <n v="54"/>
    <s v="Harmony Gold Mining"/>
    <s v="SOUTH AFRICA"/>
    <n v="3117"/>
    <n v="2612"/>
    <n v="2856"/>
    <n v="330"/>
    <x v="1"/>
    <n v="0.19333843797856048"/>
    <n v="0.11554621848739496"/>
  </r>
  <r>
    <n v="52"/>
    <n v="109"/>
    <s v="Ninety One (previously part of Investec)"/>
    <s v="SOUTH AFRICA"/>
    <n v="3095"/>
    <n v="2999"/>
    <n v="1010"/>
    <n v="202"/>
    <x v="2"/>
    <n v="3.2010670223407804E-2"/>
    <n v="0.2"/>
  </r>
  <r>
    <n v="53"/>
    <n v="210"/>
    <s v="African Rainbow Capital Investments"/>
    <s v="SOUTH AFRICA"/>
    <n v="2977"/>
    <n v="1695"/>
    <n v="13"/>
    <n v="59"/>
    <x v="2"/>
    <n v="0.75634218289085542"/>
    <n v="4.5384615384615383"/>
  </r>
  <r>
    <n v="54"/>
    <n v="51"/>
    <s v="Ciments du Maroc"/>
    <s v="MOROCCO"/>
    <n v="2766"/>
    <n v="2752"/>
    <n v="459"/>
    <n v="135"/>
    <x v="1"/>
    <n v="5.0872093023255818E-3"/>
    <n v="0.29411764705882354"/>
  </r>
  <r>
    <n v="55"/>
    <n v="59"/>
    <s v="SONATEL"/>
    <s v="IVORY COAST"/>
    <n v="2680"/>
    <n v="2311"/>
    <n v="2405"/>
    <n v="380"/>
    <x v="3"/>
    <n v="0.15967113803548247"/>
    <n v="0.15800415800415801"/>
  </r>
  <r>
    <n v="56"/>
    <n v="53"/>
    <s v="Nestle Nigeria"/>
    <s v="NIGERIA"/>
    <n v="2658"/>
    <n v="2662"/>
    <n v="858"/>
    <n v="98"/>
    <x v="0"/>
    <n v="-1.5026296018031556E-3"/>
    <n v="0.11421911421911422"/>
  </r>
  <r>
    <n v="57"/>
    <n v="72"/>
    <s v="Distell Group"/>
    <s v="SOUTH AFRICA"/>
    <n v="2641"/>
    <n v="1759"/>
    <n v="1833"/>
    <n v="126"/>
    <x v="0"/>
    <n v="0.50142126208072768"/>
    <n v="6.8739770867430439E-2"/>
  </r>
  <r>
    <n v="58"/>
    <n v="55"/>
    <s v="TAQA Morocco"/>
    <s v="MOROCCO"/>
    <n v="2614"/>
    <n v="2514"/>
    <n v="821"/>
    <n v="93"/>
    <x v="8"/>
    <n v="3.9777247414478918E-2"/>
    <n v="0.11327649208282582"/>
  </r>
  <r>
    <n v="59"/>
    <s v="new"/>
    <s v="BUA Foods"/>
    <s v="NIGERIA"/>
    <n v="2575"/>
    <s v="n/a"/>
    <n v="814"/>
    <n v="183"/>
    <x v="0"/>
    <e v="#VALUE!"/>
    <n v="0.22481572481572482"/>
  </r>
  <r>
    <n v="60"/>
    <n v="87"/>
    <s v="Transaction Capital"/>
    <s v="SOUTH AFRICA"/>
    <n v="2440"/>
    <n v="1414"/>
    <n v="448"/>
    <n v="155"/>
    <x v="2"/>
    <n v="0.72560113154172556"/>
    <n v="0.34598214285714285"/>
  </r>
  <r>
    <n v="61"/>
    <n v="56"/>
    <s v="COSUMAR"/>
    <s v="MOROCCO"/>
    <n v="2378"/>
    <n v="2512"/>
    <n v="1013"/>
    <n v="85"/>
    <x v="0"/>
    <n v="-5.3343949044585989E-2"/>
    <n v="8.3909180651530108E-2"/>
  </r>
  <r>
    <n v="62"/>
    <n v="66"/>
    <s v="Life Healthcare"/>
    <s v="SOUTH AFRICA"/>
    <n v="2340"/>
    <n v="1838"/>
    <n v="1813"/>
    <n v="112"/>
    <x v="5"/>
    <n v="0.27312295973884659"/>
    <n v="6.1776061776061778E-2"/>
  </r>
  <r>
    <n v="63"/>
    <n v="70"/>
    <s v="Vivo Energy"/>
    <s v="SOUTH AFRICA"/>
    <n v="2279"/>
    <n v="1696"/>
    <n v="8458"/>
    <n v="140"/>
    <x v="6"/>
    <n v="0.34375"/>
    <n v="1.6552376448332941E-2"/>
  </r>
  <r>
    <n v="64"/>
    <n v="65"/>
    <s v="Santam"/>
    <s v="SOUTH AFRICA"/>
    <n v="2277"/>
    <n v="1901"/>
    <n v="1924"/>
    <n v="186"/>
    <x v="2"/>
    <n v="0.19779063650710152"/>
    <n v="9.6673596673596679E-2"/>
  </r>
  <r>
    <n v="65"/>
    <n v="91"/>
    <s v="Dis-Chem Pharmacies"/>
    <s v="SOUTH AFRICA"/>
    <n v="2244"/>
    <n v="1337"/>
    <n v="1591"/>
    <n v="40"/>
    <x v="0"/>
    <n v="0.67838444278234855"/>
    <n v="2.51414204902577E-2"/>
  </r>
  <r>
    <n v="66"/>
    <n v="57"/>
    <s v="Spar Group"/>
    <s v="SOUTH AFRICA"/>
    <n v="2237"/>
    <n v="2477"/>
    <n v="8791"/>
    <n v="153"/>
    <x v="0"/>
    <n v="-9.6891400888171178E-2"/>
    <n v="1.7404163348879537E-2"/>
  </r>
  <r>
    <n v="67"/>
    <n v="75"/>
    <s v="Sappi"/>
    <s v="SOUTH AFRICA"/>
    <n v="2208"/>
    <n v="1721"/>
    <n v="5265"/>
    <n v="13"/>
    <x v="1"/>
    <n v="0.28297501452643814"/>
    <n v="2.4691358024691358E-3"/>
  </r>
  <r>
    <n v="68"/>
    <n v="130"/>
    <s v="Delta Corporation"/>
    <s v="ZIMBABWE"/>
    <n v="2206"/>
    <n v="703"/>
    <n v="599"/>
    <n v="99"/>
    <x v="0"/>
    <n v="2.1379800853485063"/>
    <n v="0.1652754590984975"/>
  </r>
  <r>
    <n v="69"/>
    <n v="60"/>
    <s v="Qatar National Bank AlAhli"/>
    <s v="EGYPT"/>
    <n v="2122"/>
    <n v="2222"/>
    <n v="2174"/>
    <n v="474"/>
    <x v="2"/>
    <n v="-4.5004500450045004E-2"/>
    <n v="0.21803127874885003"/>
  </r>
  <r>
    <n v="70"/>
    <n v="52"/>
    <s v="Tiger Brands"/>
    <s v="SOUTH AFRICA"/>
    <n v="2066"/>
    <n v="2709"/>
    <n v="2087"/>
    <n v="120"/>
    <x v="0"/>
    <n v="-0.23735695828719083"/>
    <n v="5.7498802108289414E-2"/>
  </r>
  <r>
    <n v="71"/>
    <n v="84"/>
    <s v="Managem"/>
    <s v="MOROCCO"/>
    <n v="2040"/>
    <n v="1462"/>
    <n v="825"/>
    <n v="96"/>
    <x v="1"/>
    <n v="0.39534883720930231"/>
    <n v="0.11636363636363636"/>
  </r>
  <r>
    <n v="72"/>
    <n v="73"/>
    <s v="Marsa Maroc"/>
    <s v="MOROCCO"/>
    <n v="2014"/>
    <n v="1751"/>
    <n v="399"/>
    <m/>
    <x v="9"/>
    <n v="0.15019988577955454"/>
    <n v="0"/>
  </r>
  <r>
    <n v="73"/>
    <n v="69"/>
    <s v="Pick N Pay Stores"/>
    <s v="SOUTH AFRICA"/>
    <n v="1815"/>
    <n v="1796"/>
    <n v="5732"/>
    <n v="59"/>
    <x v="0"/>
    <n v="1.0579064587973273E-2"/>
    <n v="1.0293091416608514E-2"/>
  </r>
  <r>
    <n v="74"/>
    <n v="71"/>
    <s v="Momentum Metropolitan"/>
    <s v="SOUTH AFRICA"/>
    <n v="1774"/>
    <n v="1766"/>
    <n v="6788"/>
    <n v="29"/>
    <x v="2"/>
    <n v="4.5300113250283129E-3"/>
    <n v="4.2722451384796696E-3"/>
  </r>
  <r>
    <n v="75"/>
    <n v="81"/>
    <s v="Wafa Assurance"/>
    <s v="MOROCCO"/>
    <n v="1740"/>
    <n v="1504"/>
    <n v="1110"/>
    <n v="60"/>
    <x v="2"/>
    <n v="0.15691489361702127"/>
    <n v="5.4054054054054057E-2"/>
  </r>
  <r>
    <n v="76"/>
    <n v="68"/>
    <s v="Scancom (MTN Ghana)"/>
    <s v="GHANA"/>
    <n v="1726"/>
    <n v="1806"/>
    <n v="1304"/>
    <n v="338"/>
    <x v="3"/>
    <n v="-4.4296788482834998E-2"/>
    <n v="0.25920245398773006"/>
  </r>
  <r>
    <n v="77"/>
    <n v="94"/>
    <s v="MCB Group"/>
    <s v="MAURITIUS"/>
    <n v="1723"/>
    <n v="1288"/>
    <n v="662"/>
    <n v="204"/>
    <x v="2"/>
    <n v="0.33773291925465837"/>
    <n v="0.30815709969788518"/>
  </r>
  <r>
    <n v="78"/>
    <n v="76"/>
    <s v="Abou Kir Fertilizers &amp; Chemicals"/>
    <s v="EGYPT"/>
    <n v="1717"/>
    <n v="1716"/>
    <n v="562"/>
    <n v="187"/>
    <x v="1"/>
    <n v="5.8275058275058275E-4"/>
    <n v="0.33274021352313166"/>
  </r>
  <r>
    <n v="79"/>
    <s v="new"/>
    <s v="Thungela Resources"/>
    <s v="SOUTH AFRICA"/>
    <n v="1715"/>
    <s v="n/a"/>
    <n v="1109"/>
    <n v="268"/>
    <x v="7"/>
    <e v="#VALUE!"/>
    <n v="0.24165915238954014"/>
  </r>
  <r>
    <n v="80"/>
    <n v="80"/>
    <s v="Afriquia Gaz"/>
    <s v="MOROCCO"/>
    <n v="1709"/>
    <n v="1522"/>
    <n v="660"/>
    <n v="73"/>
    <x v="7"/>
    <n v="0.12286465177398161"/>
    <n v="0.11060606060606061"/>
  </r>
  <r>
    <n v="81"/>
    <n v="74"/>
    <s v="Zenith Bank"/>
    <s v="NIGERIA"/>
    <n v="1691"/>
    <n v="1729"/>
    <n v="1786"/>
    <n v="596"/>
    <x v="2"/>
    <n v="-2.197802197802198E-2"/>
    <n v="0.33370660694288912"/>
  </r>
  <r>
    <n v="82"/>
    <n v="85"/>
    <s v="Truworths International"/>
    <s v="SOUTH AFRICA"/>
    <n v="1679"/>
    <n v="1435"/>
    <n v="1129"/>
    <n v="127"/>
    <x v="6"/>
    <n v="0.17003484320557491"/>
    <n v="0.112488928255093"/>
  </r>
  <r>
    <n v="83"/>
    <n v="77"/>
    <s v="AVI"/>
    <s v="SOUTH AFRICA"/>
    <n v="1658"/>
    <n v="1700"/>
    <n v="861"/>
    <n v="107"/>
    <x v="0"/>
    <n v="-2.4705882352941175E-2"/>
    <n v="0.12427409988385599"/>
  </r>
  <r>
    <n v="84"/>
    <n v="92"/>
    <s v="Equity Group Holdings"/>
    <s v="KENYA"/>
    <n v="1657"/>
    <n v="1310"/>
    <n v="1254"/>
    <n v="357"/>
    <x v="2"/>
    <n v="0.26488549618320612"/>
    <n v="0.28468899521531099"/>
  </r>
  <r>
    <n v="85"/>
    <n v="99"/>
    <s v="Telecom Egypt"/>
    <s v="EGYPT"/>
    <n v="1633"/>
    <n v="1208"/>
    <n v="2018"/>
    <n v="254"/>
    <x v="3"/>
    <n v="0.35182119205298013"/>
    <n v="0.12586719524281467"/>
  </r>
  <r>
    <n v="86"/>
    <n v="97"/>
    <s v="Barloworld"/>
    <s v="SOUTH AFRICA"/>
    <n v="1596"/>
    <n v="1229"/>
    <n v="2802"/>
    <n v="187"/>
    <x v="9"/>
    <n v="0.2986167615947925"/>
    <n v="6.6738044254104206E-2"/>
  </r>
  <r>
    <n v="87"/>
    <n v="89"/>
    <s v="Netcare"/>
    <s v="SOUTH AFRICA"/>
    <n v="1586"/>
    <n v="1389"/>
    <n v="1429"/>
    <n v="52"/>
    <x v="5"/>
    <n v="0.14182865370770339"/>
    <n v="3.6389083275017498E-2"/>
  </r>
  <r>
    <n v="88"/>
    <n v="58"/>
    <s v="Guaranty Trust Holding Company"/>
    <s v="NIGERIA"/>
    <n v="1585"/>
    <n v="2361"/>
    <n v="983"/>
    <n v="420"/>
    <x v="2"/>
    <n v="-0.32867429055484965"/>
    <n v="0.42726347914547302"/>
  </r>
  <r>
    <n v="89"/>
    <n v="96"/>
    <s v="Total Maroc"/>
    <s v="MOROCCO"/>
    <n v="1568"/>
    <n v="1253"/>
    <n v="1431"/>
    <m/>
    <x v="6"/>
    <n v="0.25139664804469275"/>
    <n v="0"/>
  </r>
  <r>
    <n v="90"/>
    <n v="83"/>
    <s v="Telkom"/>
    <s v="SOUTH AFRICA"/>
    <n v="1556"/>
    <n v="1466"/>
    <n v="2641"/>
    <n v="148"/>
    <x v="3"/>
    <n v="6.1391541609822645E-2"/>
    <n v="5.6039379023097309E-2"/>
  </r>
  <r>
    <n v="91"/>
    <s v="new"/>
    <s v="e-finance for Digital and Financial Investments S.A.E."/>
    <s v="EGYPT"/>
    <n v="1550"/>
    <m/>
    <m/>
    <m/>
    <x v="2"/>
    <e v="#DIV/0!"/>
    <m/>
  </r>
  <r>
    <n v="92"/>
    <n v="82"/>
    <s v="Italtile"/>
    <s v="SOUTH AFRICA"/>
    <n v="1508"/>
    <n v="1504"/>
    <n v="593"/>
    <n v="111"/>
    <x v="6"/>
    <n v="2.6595744680851063E-3"/>
    <n v="0.18718381112984822"/>
  </r>
  <r>
    <n v="93"/>
    <n v="79"/>
    <s v="Eastern Company"/>
    <s v="EGYPT"/>
    <n v="1478"/>
    <n v="1635"/>
    <n v="1018"/>
    <n v="272"/>
    <x v="0"/>
    <n v="-9.6024464831804282E-2"/>
    <n v="0.26719056974459726"/>
  </r>
  <r>
    <n v="94"/>
    <n v="105"/>
    <s v="PSG Group"/>
    <s v="SOUTH AFRICA"/>
    <n v="1464"/>
    <n v="1071"/>
    <n v="129"/>
    <n v="539"/>
    <x v="2"/>
    <n v="0.36694677871148457"/>
    <n v="4.1782945736434112"/>
  </r>
  <r>
    <n v="95"/>
    <n v="67"/>
    <s v="Societe de Fabrication des Boissons de Tunisie (SFBT)"/>
    <s v="TUNISIA"/>
    <n v="1441"/>
    <n v="1830"/>
    <n v="429"/>
    <n v="75"/>
    <x v="0"/>
    <n v="-0.21256830601092896"/>
    <n v="0.17482517482517482"/>
  </r>
  <r>
    <n v="96"/>
    <n v="100"/>
    <s v="Egypt Kuwait Holding"/>
    <s v="EGYPT"/>
    <n v="1433"/>
    <n v="1181"/>
    <n v="832"/>
    <n v="142"/>
    <x v="2"/>
    <n v="0.21337849280270957"/>
    <n v="0.17067307692307693"/>
  </r>
  <r>
    <n v="97"/>
    <n v="108"/>
    <s v="Label Vie"/>
    <s v="MOROCCO"/>
    <n v="1432"/>
    <n v="1016"/>
    <n v="1307"/>
    <n v="45"/>
    <x v="0"/>
    <n v="0.40944881889763779"/>
    <n v="3.442999234889059E-2"/>
  </r>
  <r>
    <n v="98"/>
    <n v="90"/>
    <s v="Tanzania Breweries"/>
    <s v="TANZANIA"/>
    <n v="1386"/>
    <n v="1387"/>
    <n v="415"/>
    <n v="34"/>
    <x v="0"/>
    <n v="-7.2098053352559477E-4"/>
    <n v="8.1927710843373497E-2"/>
  </r>
  <r>
    <n v="99"/>
    <n v="104"/>
    <s v="Motus Holdings"/>
    <s v="SOUTH AFRICA"/>
    <n v="1343"/>
    <n v="1115"/>
    <n v="5657"/>
    <n v="136"/>
    <x v="6"/>
    <n v="0.20448430493273542"/>
    <n v="2.4041011136644863E-2"/>
  </r>
  <r>
    <n v="100"/>
    <n v="186"/>
    <s v="EcoCash Holdings (formerly Cassava)"/>
    <s v="ZIMBABWE"/>
    <n v="1270"/>
    <n v="421"/>
    <n v="230"/>
    <n v="14"/>
    <x v="2"/>
    <n v="2.0166270783847979"/>
    <n v="6.0869565217391307E-2"/>
  </r>
  <r>
    <n v="101"/>
    <n v="106"/>
    <s v="Misr Fertilizers Production"/>
    <s v="EGYPT"/>
    <n v="1252"/>
    <n v="1047"/>
    <n v="464"/>
    <n v="157"/>
    <x v="1"/>
    <n v="0.19579751671442217"/>
    <n v="0.33836206896551724"/>
  </r>
  <r>
    <n v="102"/>
    <n v="98"/>
    <s v="KCB Group"/>
    <s v="KENYA"/>
    <n v="1231"/>
    <n v="1214"/>
    <n v="1214"/>
    <n v="311"/>
    <x v="2"/>
    <n v="1.400329489291598E-2"/>
    <n v="0.25617792421746294"/>
  </r>
  <r>
    <n v="103"/>
    <n v="164"/>
    <s v="Innscor Africa"/>
    <s v="ZIMBABWE"/>
    <n v="1230"/>
    <n v="483"/>
    <n v="818"/>
    <n v="34"/>
    <x v="0"/>
    <n v="1.5465838509316769"/>
    <n v="4.1564792176039117E-2"/>
  </r>
  <r>
    <n v="104"/>
    <n v="114"/>
    <s v="PSG Konsult"/>
    <s v="SOUTH AFRICA"/>
    <n v="1194"/>
    <n v="835"/>
    <n v="311"/>
    <n v="42"/>
    <x v="2"/>
    <n v="0.42994011976047902"/>
    <n v="0.13504823151125403"/>
  </r>
  <r>
    <n v="105"/>
    <s v="new"/>
    <s v="MTN Uganda"/>
    <s v="UGANDA"/>
    <n v="1124"/>
    <s v="n/a"/>
    <n v="505"/>
    <n v="87"/>
    <x v="3"/>
    <e v="#VALUE!"/>
    <n v="0.17227722772277226"/>
  </r>
  <r>
    <n v="106"/>
    <n v="140"/>
    <s v="Sothema"/>
    <s v="MOROCCO"/>
    <n v="1115"/>
    <n v="635"/>
    <n v="229"/>
    <n v="31"/>
    <x v="5"/>
    <n v="0.75590551181102361"/>
    <n v="0.13537117903930132"/>
  </r>
  <r>
    <n v="107"/>
    <n v="93"/>
    <s v="Coronation Fund Managers"/>
    <s v="SOUTH AFRICA"/>
    <n v="1110"/>
    <n v="1298"/>
    <n v="299"/>
    <n v="115"/>
    <x v="2"/>
    <n v="-0.1448382126348228"/>
    <n v="0.38461538461538464"/>
  </r>
  <r>
    <n v="108"/>
    <n v="139"/>
    <s v="FBN Holdings"/>
    <s v="NIGERIA"/>
    <n v="1070"/>
    <n v="636"/>
    <n v="1451"/>
    <n v="193"/>
    <x v="2"/>
    <n v="0.6823899371069182"/>
    <n v="0.13301171605789111"/>
  </r>
  <r>
    <n v="109"/>
    <n v="88"/>
    <s v="Stanbic IBTC Holdings"/>
    <s v="NIGERIA"/>
    <n v="1064"/>
    <n v="1390"/>
    <n v="503"/>
    <n v="133"/>
    <x v="2"/>
    <n v="-0.23453237410071942"/>
    <n v="0.26441351888667991"/>
  </r>
  <r>
    <n v="110"/>
    <n v="103"/>
    <s v="East African Breweries"/>
    <s v="KENYA"/>
    <n v="1031"/>
    <n v="1143"/>
    <n v="791"/>
    <n v="40"/>
    <x v="0"/>
    <n v="-9.7987751531058612E-2"/>
    <n v="5.0568900126422248E-2"/>
  </r>
  <r>
    <n v="111"/>
    <n v="111"/>
    <s v="Tullow Oil**"/>
    <s v="GHANA"/>
    <n v="1016"/>
    <n v="927"/>
    <n v="1426"/>
    <n v="81"/>
    <x v="7"/>
    <n v="9.6008629989212516E-2"/>
    <n v="5.6802244039270686E-2"/>
  </r>
  <r>
    <n v="112"/>
    <n v="115"/>
    <s v="Credit Immobilier et Hotelier"/>
    <s v="MOROCCO"/>
    <n v="1009"/>
    <n v="829"/>
    <n v="533"/>
    <n v="67"/>
    <x v="2"/>
    <n v="0.21712907117008443"/>
    <n v="0.12570356472795496"/>
  </r>
  <r>
    <n v="113"/>
    <s v="new"/>
    <s v="MAS P.L.C."/>
    <s v="SOUTH AFRICA"/>
    <n v="1001"/>
    <n v="770"/>
    <n v="57"/>
    <n v="78"/>
    <x v="2"/>
    <n v="0.3"/>
    <n v="1.368421052631579"/>
  </r>
  <r>
    <n v="114"/>
    <n v="95"/>
    <s v="El Sewedy Electric"/>
    <s v="EGYPT"/>
    <n v="987"/>
    <n v="1253"/>
    <n v="2934"/>
    <n v="191"/>
    <x v="9"/>
    <n v="-0.21229050279329609"/>
    <n v="6.50988411724608E-2"/>
  </r>
  <r>
    <n v="115"/>
    <n v="116"/>
    <s v="Talaat Moustafa Group"/>
    <s v="EGYPT"/>
    <n v="954"/>
    <n v="821"/>
    <n v="891"/>
    <n v="106"/>
    <x v="2"/>
    <n v="0.16199756394640683"/>
    <n v="0.11896745230078563"/>
  </r>
  <r>
    <n v="116"/>
    <n v="128"/>
    <s v="EFG Hermes"/>
    <s v="EGYPT"/>
    <n v="942"/>
    <n v="712"/>
    <n v="529"/>
    <n v="93"/>
    <x v="2"/>
    <n v="0.32303370786516855"/>
    <n v="0.17580340264650285"/>
  </r>
  <r>
    <n v="117"/>
    <n v="64"/>
    <s v="Fawry For Banking Technology And Electronic Payment"/>
    <s v="EGYPT"/>
    <n v="926"/>
    <n v="1911"/>
    <n v="78"/>
    <n v="10"/>
    <x v="2"/>
    <n v="-0.51543694400837259"/>
    <n v="0.12820512820512819"/>
  </r>
  <r>
    <n v="118"/>
    <m/>
    <s v="Karooooo (previously Cartrack)"/>
    <s v="SOUTH AFRICA"/>
    <n v="918"/>
    <m/>
    <m/>
    <m/>
    <x v="10"/>
    <e v="#DIV/0!"/>
    <m/>
  </r>
  <r>
    <n v="119"/>
    <n v="112"/>
    <s v="Lafarge Africa"/>
    <s v="NIGERIA"/>
    <n v="918"/>
    <n v="869"/>
    <n v="715"/>
    <n v="124"/>
    <x v="1"/>
    <n v="5.6386651323360182E-2"/>
    <n v="0.17342657342657342"/>
  </r>
  <r>
    <n v="120"/>
    <n v="246"/>
    <s v="Simbisa Brands"/>
    <s v="ZIMBABWE"/>
    <n v="875"/>
    <n v="265"/>
    <n v="230"/>
    <n v="26"/>
    <x v="4"/>
    <n v="2.3018867924528301"/>
    <n v="0.11304347826086956"/>
  </r>
  <r>
    <n v="121"/>
    <n v="148"/>
    <s v="Omnia Holdings"/>
    <s v="SOUTH AFRICA"/>
    <n v="870"/>
    <n v="561"/>
    <n v="1087"/>
    <n v="40"/>
    <x v="1"/>
    <n v="0.55080213903743314"/>
    <n v="3.6798528058877643E-2"/>
  </r>
  <r>
    <n v="122"/>
    <n v="170"/>
    <s v="Tsogo Sun"/>
    <s v="SOUTH AFRICA"/>
    <n v="865"/>
    <n v="462"/>
    <n v="347"/>
    <n v="1"/>
    <x v="4"/>
    <n v="0.87229437229437234"/>
    <n v="2.881844380403458E-3"/>
  </r>
  <r>
    <n v="123"/>
    <s v="new"/>
    <s v="National Foods Holdings"/>
    <s v="ZIMBABWE"/>
    <n v="864"/>
    <n v="256"/>
    <n v="406"/>
    <n v="1"/>
    <x v="0"/>
    <n v="2.375"/>
    <n v="2.4630541871921183E-3"/>
  </r>
  <r>
    <n v="124"/>
    <n v="134"/>
    <s v="Alexandria Containers &amp; Goods"/>
    <s v="EGYPT"/>
    <n v="848"/>
    <n v="661"/>
    <n v="161"/>
    <n v="93"/>
    <x v="9"/>
    <n v="0.28290468986384265"/>
    <n v="0.57763975155279501"/>
  </r>
  <r>
    <n v="125"/>
    <n v="127"/>
    <s v="KAP Industrial Holdings"/>
    <s v="SOUTH AFRICA"/>
    <n v="847"/>
    <n v="718"/>
    <n v="1554"/>
    <n v="73"/>
    <x v="1"/>
    <n v="0.1796657381615599"/>
    <n v="4.6975546975546977E-2"/>
  </r>
  <r>
    <n v="126"/>
    <n v="121"/>
    <s v="AECI"/>
    <s v="SOUTH AFRICA"/>
    <n v="841"/>
    <n v="770"/>
    <n v="1761"/>
    <n v="80"/>
    <x v="1"/>
    <n v="9.2207792207792211E-2"/>
    <n v="4.5428733674048836E-2"/>
  </r>
  <r>
    <n v="127"/>
    <n v="119"/>
    <s v="Golden Pyramids Plaza"/>
    <s v="EGYPT"/>
    <n v="833"/>
    <n v="790"/>
    <n v="91"/>
    <n v="6"/>
    <x v="2"/>
    <n v="5.4430379746835442E-2"/>
    <n v="6.5934065934065936E-2"/>
  </r>
  <r>
    <n v="128"/>
    <n v="132"/>
    <s v="Access Holdings"/>
    <s v="NIGERIA"/>
    <n v="833"/>
    <n v="694"/>
    <n v="2523"/>
    <n v="386"/>
    <x v="2"/>
    <n v="0.20028818443804033"/>
    <n v="0.15299246928260007"/>
  </r>
  <r>
    <n v="129"/>
    <n v="124"/>
    <s v="IBL"/>
    <s v="MAURITIUS"/>
    <n v="831"/>
    <n v="742"/>
    <n v="895"/>
    <n v="2"/>
    <x v="2"/>
    <n v="0.11994609164420485"/>
    <n v="2.2346368715083797E-3"/>
  </r>
  <r>
    <n v="130"/>
    <n v="126"/>
    <s v="Societe Des Brasseries Du Maroc"/>
    <s v="MOROCCO"/>
    <n v="821"/>
    <n v="720"/>
    <n v="300"/>
    <n v="37"/>
    <x v="0"/>
    <n v="0.14027777777777778"/>
    <n v="0.12333333333333334"/>
  </r>
  <r>
    <n v="131"/>
    <n v="118"/>
    <s v="DRDGOLD"/>
    <s v="SOUTH AFRICA"/>
    <n v="817"/>
    <n v="792"/>
    <n v="342"/>
    <n v="93"/>
    <x v="1"/>
    <n v="3.1565656565656568E-2"/>
    <n v="0.27192982456140352"/>
  </r>
  <r>
    <n v="132"/>
    <n v="107"/>
    <s v="Banque Marocaine pour le Commerce et l'Industrie"/>
    <s v="MOROCCO"/>
    <n v="812"/>
    <n v="1041"/>
    <n v="439"/>
    <n v="22"/>
    <x v="2"/>
    <n v="-0.21998078770413065"/>
    <n v="5.011389521640091E-2"/>
  </r>
  <r>
    <n v="133"/>
    <n v="144"/>
    <s v="Atlanta"/>
    <s v="MOROCCO"/>
    <n v="788"/>
    <n v="612"/>
    <n v="626"/>
    <n v="46"/>
    <x v="2"/>
    <n v="0.28758169934640521"/>
    <n v="7.3482428115015971E-2"/>
  </r>
  <r>
    <n v="134"/>
    <n v="133"/>
    <s v="Banque Internationale Arabe de Tunisie (BIAT)"/>
    <s v="TUNISIA"/>
    <n v="787"/>
    <n v="683"/>
    <n v="636"/>
    <n v="102"/>
    <x v="2"/>
    <n v="0.15226939970717424"/>
    <n v="0.16037735849056603"/>
  </r>
  <r>
    <n v="135"/>
    <n v="110"/>
    <s v="Nigerian Breweries"/>
    <s v="NIGERIA"/>
    <n v="785"/>
    <n v="947"/>
    <n v="1067"/>
    <n v="31"/>
    <x v="0"/>
    <n v="-0.17106652587117213"/>
    <n v="2.9053420805998126E-2"/>
  </r>
  <r>
    <n v="136"/>
    <n v="142"/>
    <s v="RCL Foods"/>
    <s v="SOUTH AFRICA"/>
    <n v="767"/>
    <n v="629"/>
    <n v="2056"/>
    <n v="64"/>
    <x v="0"/>
    <n v="0.21939586645468998"/>
    <n v="3.1128404669260701E-2"/>
  </r>
  <r>
    <n v="137"/>
    <s v="new"/>
    <s v="Arcelormittal South Africa"/>
    <s v="SOUTH AFRICA"/>
    <n v="759"/>
    <n v="202"/>
    <n v="2685"/>
    <n v="448"/>
    <x v="1"/>
    <n v="2.7574257425742572"/>
    <n v="0.16685288640595902"/>
  </r>
  <r>
    <n v="138"/>
    <n v="122"/>
    <s v="Super Group"/>
    <s v="SOUTH AFRICA"/>
    <n v="747"/>
    <n v="747"/>
    <n v="2564"/>
    <n v="66"/>
    <x v="9"/>
    <n v="0"/>
    <n v="2.5741029641185648E-2"/>
  </r>
  <r>
    <n v="139"/>
    <n v="123"/>
    <s v="Vodacom Tanzania"/>
    <s v="TANZANIA"/>
    <n v="743"/>
    <n v="744"/>
    <n v="420"/>
    <n v="13"/>
    <x v="3"/>
    <n v="-1.3440860215053765E-3"/>
    <n v="3.0952380952380953E-2"/>
  </r>
  <r>
    <n v="140"/>
    <n v="125"/>
    <s v="Tanzania Ciggarette Co."/>
    <s v="TANZANIA"/>
    <n v="733"/>
    <n v="733"/>
    <n v="121"/>
    <n v="16"/>
    <x v="0"/>
    <n v="0"/>
    <n v="0.13223140495867769"/>
  </r>
  <r>
    <n v="141"/>
    <n v="151"/>
    <s v="Credit du Maroc"/>
    <s v="MOROCCO"/>
    <n v="702"/>
    <n v="541"/>
    <n v="322"/>
    <n v="70"/>
    <x v="2"/>
    <n v="0.29759704251386321"/>
    <n v="0.21739130434782608"/>
  </r>
  <r>
    <n v="142"/>
    <n v="135"/>
    <s v="Emaar Misr for Development"/>
    <s v="EGYPT"/>
    <n v="699"/>
    <n v="657"/>
    <n v="337"/>
    <n v="94"/>
    <x v="2"/>
    <n v="6.3926940639269403E-2"/>
    <n v="0.27893175074183979"/>
  </r>
  <r>
    <n v="143"/>
    <n v="172"/>
    <s v="Afrimat"/>
    <s v="SOUTH AFRICA"/>
    <n v="696"/>
    <n v="453"/>
    <n v="224"/>
    <n v="36"/>
    <x v="1"/>
    <n v="0.53642384105960261"/>
    <n v="0.16071428571428573"/>
  </r>
  <r>
    <n v="144"/>
    <n v="202"/>
    <s v="Hosken Consolidated Investments"/>
    <s v="SOUTH AFRICA"/>
    <n v="691"/>
    <n v="368"/>
    <n v="823"/>
    <n v="69"/>
    <x v="4"/>
    <n v="0.87771739130434778"/>
    <n v="8.3839611178614826E-2"/>
  </r>
  <r>
    <n v="145"/>
    <n v="117"/>
    <s v="Massmart Holdings"/>
    <s v="SOUTH AFRICA"/>
    <n v="688"/>
    <n v="816"/>
    <n v="5248"/>
    <n v="108"/>
    <x v="0"/>
    <n v="-0.15686274509803921"/>
    <n v="2.0579268292682928E-2"/>
  </r>
  <r>
    <n v="146"/>
    <n v="177"/>
    <s v="Societe Generale de Banques en Cote d'Ivoire"/>
    <s v="IVORY COAST"/>
    <n v="686"/>
    <n v="443"/>
    <n v="420"/>
    <n v="122"/>
    <x v="2"/>
    <n v="0.54853273137697522"/>
    <n v="0.2904761904761905"/>
  </r>
  <r>
    <n v="147"/>
    <s v="new"/>
    <s v="Crytel Mauritius"/>
    <s v="MAURITIUS"/>
    <n v="683"/>
    <m/>
    <m/>
    <m/>
    <x v="9"/>
    <e v="#DIV/0!"/>
    <m/>
  </r>
  <r>
    <n v="148"/>
    <n v="160"/>
    <s v="ADvTECH"/>
    <s v="SOUTH AFRICA"/>
    <n v="680"/>
    <n v="493"/>
    <n v="400"/>
    <n v="45"/>
    <x v="0"/>
    <n v="0.37931034482758619"/>
    <n v="0.1125"/>
  </r>
  <r>
    <n v="149"/>
    <n v="136"/>
    <s v="JSE"/>
    <s v="SOUTH AFRICA"/>
    <n v="664"/>
    <n v="657"/>
    <n v="173"/>
    <n v="49"/>
    <x v="2"/>
    <n v="1.06544901065449E-2"/>
    <n v="0.2832369942196532"/>
  </r>
  <r>
    <n v="150"/>
    <n v="129"/>
    <s v="Co-operative Bank of Kenya"/>
    <s v="KENYA"/>
    <n v="656"/>
    <n v="708"/>
    <n v="625"/>
    <n v="109"/>
    <x v="2"/>
    <n v="-7.3446327683615822E-2"/>
    <n v="0.1744"/>
  </r>
  <r>
    <n v="151"/>
    <n v="183"/>
    <s v="Namibia Breweries"/>
    <s v="NAMIBIA"/>
    <n v="636"/>
    <n v="434"/>
    <n v="172"/>
    <n v="24"/>
    <x v="0"/>
    <n v="0.46543778801843316"/>
    <n v="0.13953488372093023"/>
  </r>
  <r>
    <n v="152"/>
    <n v="145"/>
    <s v="United Bank for Africa"/>
    <s v="NIGERIA"/>
    <n v="633"/>
    <n v="589"/>
    <n v="1601"/>
    <n v="283"/>
    <x v="2"/>
    <n v="7.4702886247877756E-2"/>
    <n v="0.17676452217364147"/>
  </r>
  <r>
    <n v="153"/>
    <n v="153"/>
    <s v="Adcock Ingram Holdings"/>
    <s v="SOUTH AFRICA"/>
    <n v="630"/>
    <n v="525"/>
    <n v="505"/>
    <n v="43"/>
    <x v="5"/>
    <n v="0.2"/>
    <n v="8.5148514851485155E-2"/>
  </r>
  <r>
    <n v="154"/>
    <n v="149"/>
    <s v="Saham Assurance"/>
    <s v="MOROCCO"/>
    <n v="618"/>
    <n v="555"/>
    <n v="683"/>
    <n v="67"/>
    <x v="2"/>
    <n v="0.11351351351351352"/>
    <n v="9.8096632503660325E-2"/>
  </r>
  <r>
    <n v="155"/>
    <n v="120"/>
    <s v="Poulina Group Holding"/>
    <s v="TUNISIA"/>
    <n v="616"/>
    <n v="783"/>
    <n v="817"/>
    <n v="27"/>
    <x v="0"/>
    <n v="-0.21328224776500637"/>
    <n v="3.3047735618115054E-2"/>
  </r>
  <r>
    <n v="156"/>
    <n v="209"/>
    <s v="Datatec"/>
    <s v="SOUTH AFRICA"/>
    <n v="604"/>
    <n v="355"/>
    <n v="4109"/>
    <n v="3"/>
    <x v="10"/>
    <n v="0.70140845070422531"/>
    <n v="7.3010464833292768E-4"/>
  </r>
  <r>
    <n v="157"/>
    <n v="179"/>
    <s v="Absa Bank Kenya"/>
    <s v="KENYA"/>
    <n v="588"/>
    <n v="438"/>
    <n v="402"/>
    <n v="39"/>
    <x v="2"/>
    <n v="0.34246575342465752"/>
    <n v="9.7014925373134331E-2"/>
  </r>
  <r>
    <n v="158"/>
    <n v="156"/>
    <s v="NMB Bank"/>
    <s v="TANZANIA"/>
    <n v="582"/>
    <n v="505"/>
    <n v="485"/>
    <n v="125"/>
    <x v="2"/>
    <n v="0.15247524752475247"/>
    <n v="0.25773195876288657"/>
  </r>
  <r>
    <n v="159"/>
    <n v="176"/>
    <s v="El Ezz Aldekhela Steel"/>
    <s v="EGYPT"/>
    <n v="578"/>
    <n v="447"/>
    <n v="2147"/>
    <n v="296"/>
    <x v="1"/>
    <n v="0.29306487695749439"/>
    <n v="0.13786679087098277"/>
  </r>
  <r>
    <n v="160"/>
    <n v="161"/>
    <s v="First National Bank Botswana"/>
    <s v="BOTSWANA"/>
    <n v="577"/>
    <n v="492"/>
    <n v="249"/>
    <n v="62"/>
    <x v="2"/>
    <n v="0.17276422764227642"/>
    <n v="0.24899598393574296"/>
  </r>
  <r>
    <n v="161"/>
    <n v="152"/>
    <s v="Tharisa"/>
    <s v="SOUTH AFRICA"/>
    <n v="577"/>
    <n v="540"/>
    <n v="596"/>
    <n v="100"/>
    <x v="1"/>
    <n v="6.851851851851852E-2"/>
    <n v="0.16778523489932887"/>
  </r>
  <r>
    <n v="162"/>
    <n v="187"/>
    <s v="Onatel"/>
    <s v="IVORY COAST"/>
    <n v="574"/>
    <n v="412"/>
    <n v="273"/>
    <n v="54"/>
    <x v="3"/>
    <n v="0.39320388349514562"/>
    <n v="0.19780219780219779"/>
  </r>
  <r>
    <n v="163"/>
    <n v="141"/>
    <s v="Reunert"/>
    <s v="SOUTH AFRICA"/>
    <n v="569"/>
    <n v="633"/>
    <n v="646"/>
    <n v="52"/>
    <x v="9"/>
    <n v="-0.10110584518167456"/>
    <n v="8.0495356037151702E-2"/>
  </r>
  <r>
    <n v="164"/>
    <n v="192"/>
    <s v="Airtel Malawi"/>
    <s v="MALAWI"/>
    <n v="566"/>
    <n v="392"/>
    <n v="148"/>
    <n v="30"/>
    <x v="3"/>
    <n v="0.44387755102040816"/>
    <n v="0.20270270270270271"/>
  </r>
  <r>
    <n v="165"/>
    <n v="215"/>
    <s v="National Bank of Kuwait - Egypt"/>
    <s v="EGYPT"/>
    <n v="548"/>
    <n v="339"/>
    <n v="405"/>
    <n v="82"/>
    <x v="2"/>
    <n v="0.61651917404129797"/>
    <n v="0.20246913580246914"/>
  </r>
  <r>
    <n v="166"/>
    <n v="180"/>
    <s v="Coris Bank"/>
    <s v="IVORY COAST"/>
    <n v="543"/>
    <n v="436"/>
    <n v="205"/>
    <n v="60"/>
    <x v="2"/>
    <n v="0.24541284403669725"/>
    <n v="0.29268292682926828"/>
  </r>
  <r>
    <n v="167"/>
    <n v="195"/>
    <s v="National Bank of Malawi"/>
    <s v="MALAWI"/>
    <n v="542"/>
    <n v="387"/>
    <n v="152"/>
    <n v="44"/>
    <x v="2"/>
    <n v="0.4005167958656331"/>
    <n v="0.28947368421052633"/>
  </r>
  <r>
    <n v="168"/>
    <s v="new"/>
    <s v="Sun International"/>
    <s v="SOUTH AFRICA"/>
    <n v="541"/>
    <n v="246"/>
    <n v="422"/>
    <n v="18"/>
    <x v="4"/>
    <n v="1.1991869918699187"/>
    <n v="4.2654028436018961E-2"/>
  </r>
  <r>
    <n v="169"/>
    <n v="181"/>
    <s v="FirstRand Namibia"/>
    <s v="NAMIBIA"/>
    <n v="540"/>
    <n v="435"/>
    <n v="342"/>
    <n v="66"/>
    <x v="2"/>
    <n v="0.2413793103448276"/>
    <n v="0.19298245614035087"/>
  </r>
  <r>
    <n v="170"/>
    <n v="158"/>
    <s v="Centrale Danone"/>
    <s v="MOROCCO"/>
    <n v="534"/>
    <n v="500"/>
    <n v="512"/>
    <m/>
    <x v="0"/>
    <n v="6.8000000000000005E-2"/>
    <n v="0"/>
  </r>
  <r>
    <n v="171"/>
    <s v="new"/>
    <s v="British American Tobacco Zimbabwe Limited"/>
    <s v="ZIMBABWE"/>
    <n v="531"/>
    <n v="196"/>
    <n v="53"/>
    <n v="16"/>
    <x v="0"/>
    <n v="1.7091836734693877"/>
    <n v="0.30188679245283018"/>
  </r>
  <r>
    <n v="172"/>
    <n v="190"/>
    <s v="Ecobank Transnational, Inc."/>
    <s v="NIGERIA"/>
    <n v="529"/>
    <n v="401"/>
    <n v="2319"/>
    <n v="261"/>
    <x v="2"/>
    <n v="0.31920199501246882"/>
    <n v="0.11254851228978008"/>
  </r>
  <r>
    <n v="173"/>
    <s v="new"/>
    <s v="Travaux Generaux de Construction de Casablanca"/>
    <s v="MOROCCO"/>
    <n v="522"/>
    <m/>
    <n v="410"/>
    <m/>
    <x v="9"/>
    <e v="#DIV/0!"/>
    <n v="0"/>
  </r>
  <r>
    <n v="174"/>
    <n v="167"/>
    <s v="Aradei Capital"/>
    <s v="MOROCCO"/>
    <n v="520"/>
    <n v="469"/>
    <n v="48"/>
    <n v="38"/>
    <x v="2"/>
    <n v="0.10874200426439233"/>
    <n v="0.79166666666666663"/>
  </r>
  <r>
    <n v="175"/>
    <s v="new"/>
    <s v="Faisal Islamic Bank of Egypt"/>
    <s v="EGYPT"/>
    <n v="518"/>
    <n v="370"/>
    <n v="758"/>
    <n v="132"/>
    <x v="2"/>
    <n v="0.4"/>
    <n v="0.17414248021108181"/>
  </r>
  <r>
    <n v="176"/>
    <n v="171"/>
    <s v="Credit Agricole Egypt"/>
    <s v="EGYPT"/>
    <n v="509"/>
    <n v="455"/>
    <n v="394"/>
    <n v="87"/>
    <x v="2"/>
    <n v="0.11868131868131868"/>
    <n v="0.22081218274111675"/>
  </r>
  <r>
    <n v="177"/>
    <n v="146"/>
    <s v="Oceana Group"/>
    <s v="SOUTH AFRICA"/>
    <n v="509"/>
    <n v="583"/>
    <n v="515"/>
    <n v="46"/>
    <x v="0"/>
    <n v="-0.12692967409948541"/>
    <n v="8.9320388349514557E-2"/>
  </r>
  <r>
    <n v="178"/>
    <n v="228"/>
    <s v="Aluminium Company of Egypt"/>
    <s v="EGYPT"/>
    <n v="500"/>
    <n v="305"/>
    <n v="451"/>
    <n v="93"/>
    <x v="1"/>
    <n v="0.63934426229508201"/>
    <n v="0.20620842572062084"/>
  </r>
  <r>
    <n v="179"/>
    <n v="169"/>
    <s v="Capricorn Group"/>
    <s v="NAMIBIA"/>
    <n v="497"/>
    <n v="466"/>
    <n v="361"/>
    <n v="59"/>
    <x v="2"/>
    <n v="6.652360515021459E-2"/>
    <n v="0.16343490304709141"/>
  </r>
  <r>
    <n v="180"/>
    <n v="211"/>
    <s v="Raubex Group"/>
    <s v="SOUTH AFRICA"/>
    <n v="491"/>
    <n v="350"/>
    <n v="536"/>
    <n v="10"/>
    <x v="9"/>
    <n v="0.40285714285714286"/>
    <n v="1.8656716417910446E-2"/>
  </r>
  <r>
    <n v="181"/>
    <n v="154"/>
    <s v="Lesieur Cristal"/>
    <s v="MOROCCO"/>
    <n v="490"/>
    <n v="525"/>
    <n v="541"/>
    <n v="16"/>
    <x v="0"/>
    <n v="-6.6666666666666666E-2"/>
    <n v="2.9574861367837338E-2"/>
  </r>
  <r>
    <n v="182"/>
    <n v="162"/>
    <s v="Standard Chartered Bank Kenya"/>
    <s v="KENYA"/>
    <n v="472"/>
    <n v="490"/>
    <n v="298"/>
    <n v="82"/>
    <x v="2"/>
    <n v="-3.6734693877551024E-2"/>
    <n v="0.27516778523489932"/>
  </r>
  <r>
    <n v="183"/>
    <n v="155"/>
    <s v="Cashbuild"/>
    <s v="SOUTH AFRICA"/>
    <n v="471"/>
    <n v="518"/>
    <n v="818"/>
    <n v="43"/>
    <x v="6"/>
    <n v="-9.0733590733590733E-2"/>
    <n v="5.256723716381418E-2"/>
  </r>
  <r>
    <n v="184"/>
    <n v="175"/>
    <s v="Auto Hall"/>
    <s v="MOROCCO"/>
    <n v="469"/>
    <n v="448"/>
    <n v="565"/>
    <n v="29"/>
    <x v="6"/>
    <n v="4.6875E-2"/>
    <n v="5.1327433628318583E-2"/>
  </r>
  <r>
    <n v="185"/>
    <n v="157"/>
    <s v="Dangote Sugar Refinery"/>
    <s v="NIGERIA"/>
    <n v="467"/>
    <n v="504"/>
    <n v="673"/>
    <n v="54"/>
    <x v="0"/>
    <n v="-7.3412698412698416E-2"/>
    <n v="8.0237741456166425E-2"/>
  </r>
  <r>
    <n v="186"/>
    <n v="178"/>
    <s v="Curro Holdings"/>
    <s v="SOUTH AFRICA"/>
    <n v="467"/>
    <n v="441"/>
    <n v="240"/>
    <n v="18"/>
    <x v="0"/>
    <n v="5.8956916099773243E-2"/>
    <n v="7.4999999999999997E-2"/>
  </r>
  <r>
    <n v="187"/>
    <n v="150"/>
    <s v="Banque de Tunisie"/>
    <s v="TUNISIA"/>
    <n v="462"/>
    <n v="550"/>
    <n v="222"/>
    <n v="55"/>
    <x v="2"/>
    <n v="-0.16"/>
    <n v="0.24774774774774774"/>
  </r>
  <r>
    <n v="188"/>
    <n v="165"/>
    <s v="Oragroup"/>
    <s v="IVORY COAST"/>
    <n v="459"/>
    <n v="482"/>
    <s v="n/a"/>
    <m/>
    <x v="2"/>
    <n v="-4.7717842323651449E-2"/>
    <m/>
  </r>
  <r>
    <n v="189"/>
    <s v="bew"/>
    <s v="Ste de Limonaderies et Brasseries d'Afrique SOLIBRA"/>
    <s v="IVORY COAST"/>
    <n v="458"/>
    <n v="165"/>
    <n v="399"/>
    <n v="30"/>
    <x v="0"/>
    <n v="1.7757575757575759"/>
    <n v="7.5187969924812026E-2"/>
  </r>
  <r>
    <n v="190"/>
    <s v="new"/>
    <s v="PPC"/>
    <s v="SOUTH AFRICA"/>
    <n v="455"/>
    <n v="259"/>
    <n v="546"/>
    <n v="60"/>
    <x v="1"/>
    <n v="0.7567567567567568"/>
    <n v="0.10989010989010989"/>
  </r>
  <r>
    <n v="191"/>
    <s v="new"/>
    <s v="Medtech Holdings"/>
    <s v="ZIMBABWE"/>
    <n v="449"/>
    <n v="4"/>
    <n v="7"/>
    <n v="1"/>
    <x v="0"/>
    <n v="111.25"/>
    <n v="0.14285714285714285"/>
  </r>
  <r>
    <n v="192"/>
    <n v="184"/>
    <s v="Astral Foods"/>
    <s v="SOUTH AFRICA"/>
    <n v="446"/>
    <n v="426"/>
    <n v="1070"/>
    <n v="31"/>
    <x v="0"/>
    <n v="4.6948356807511735E-2"/>
    <n v="2.897196261682243E-2"/>
  </r>
  <r>
    <n v="193"/>
    <n v="173"/>
    <s v="Hightech Payment Systems"/>
    <s v="MOROCCO"/>
    <n v="445"/>
    <n v="451"/>
    <n v="92"/>
    <m/>
    <x v="2"/>
    <n v="-1.3303769401330377E-2"/>
    <n v="0"/>
  </r>
  <r>
    <n v="194"/>
    <n v="168"/>
    <s v="Cleopatra Hospital"/>
    <s v="EGYPT"/>
    <n v="438"/>
    <n v="468"/>
    <n v="126"/>
    <n v="14"/>
    <x v="5"/>
    <n v="-6.4102564102564097E-2"/>
    <n v="0.1111111111111111"/>
  </r>
  <r>
    <n v="195"/>
    <n v="166"/>
    <s v="Banque Attijari de Tunisie"/>
    <s v="TUNISIA"/>
    <n v="434"/>
    <n v="472"/>
    <n v="365"/>
    <n v="60"/>
    <x v="2"/>
    <n v="-8.050847457627118E-2"/>
    <n v="0.16438356164383561"/>
  </r>
  <r>
    <n v="196"/>
    <n v="204"/>
    <s v="Famous Brands"/>
    <s v="SOUTH AFRICA"/>
    <n v="433"/>
    <n v="360"/>
    <n v="284"/>
    <n v="8"/>
    <x v="4"/>
    <n v="0.20277777777777778"/>
    <n v="2.8169014084507043E-2"/>
  </r>
  <r>
    <n v="197"/>
    <n v="250"/>
    <s v="CRDB Bank"/>
    <s v="TANZANIA"/>
    <n v="433"/>
    <n v="259"/>
    <n v="488"/>
    <n v="116"/>
    <x v="2"/>
    <n v="0.6718146718146718"/>
    <n v="0.23770491803278687"/>
  </r>
  <r>
    <n v="198"/>
    <n v="174"/>
    <s v="Botswana Insurance"/>
    <s v="BOTSWANA"/>
    <n v="433"/>
    <n v="448"/>
    <n v="322"/>
    <n v="46"/>
    <x v="2"/>
    <n v="-3.3482142857142856E-2"/>
    <n v="0.14285714285714285"/>
  </r>
  <r>
    <n v="199"/>
    <n v="182"/>
    <s v="British American Tobacco Kenya"/>
    <s v="KENYA"/>
    <n v="432"/>
    <n v="434"/>
    <n v="238"/>
    <n v="52"/>
    <x v="0"/>
    <n v="-4.608294930875576E-3"/>
    <n v="0.21848739495798319"/>
  </r>
  <r>
    <n v="200"/>
    <n v="199"/>
    <s v="Union Bank Nigeria"/>
    <s v="NIGERIA"/>
    <n v="431"/>
    <n v="377"/>
    <n v="393"/>
    <n v="47"/>
    <x v="2"/>
    <n v="0.14323607427055704"/>
    <n v="0.11959287531806616"/>
  </r>
  <r>
    <n v="201"/>
    <n v="223"/>
    <s v="Ezz Steel"/>
    <s v="EGYPT"/>
    <n v="428"/>
    <n v="317"/>
    <n v="4320"/>
    <n v="224"/>
    <x v="1"/>
    <n v="0.35015772870662459"/>
    <n v="5.185185185185185E-2"/>
  </r>
  <r>
    <n v="202"/>
    <n v="194"/>
    <s v="Alexander Forbes"/>
    <s v="SOUTH AFRICA"/>
    <n v="428"/>
    <n v="389"/>
    <n v="251"/>
    <n v="26"/>
    <x v="2"/>
    <n v="0.10025706940874037"/>
    <n v="0.10358565737051793"/>
  </r>
  <r>
    <n v="203"/>
    <n v="188"/>
    <s v="Heliopolis Housing"/>
    <s v="EGYPT"/>
    <n v="426"/>
    <n v="407"/>
    <n v="61"/>
    <n v="21"/>
    <x v="2"/>
    <n v="4.6683046683046681E-2"/>
    <n v="0.34426229508196721"/>
  </r>
  <r>
    <n v="204"/>
    <s v="new"/>
    <s v="Mobile Telecommunications"/>
    <s v="NAMIBIA"/>
    <n v="411"/>
    <s v="n/a"/>
    <n v="189"/>
    <n v="50"/>
    <x v="3"/>
    <e v="#VALUE!"/>
    <n v="0.26455026455026454"/>
  </r>
  <r>
    <n v="205"/>
    <n v="229"/>
    <s v="Metair Investments"/>
    <s v="SOUTH AFRICA"/>
    <n v="409"/>
    <n v="304"/>
    <n v="853"/>
    <n v="46"/>
    <x v="9"/>
    <n v="0.34539473684210525"/>
    <n v="5.3927315357561546E-2"/>
  </r>
  <r>
    <n v="206"/>
    <n v="218"/>
    <s v="Hippo Valley Estates"/>
    <s v="ZIMBABWE"/>
    <n v="407"/>
    <n v="335"/>
    <n v="248"/>
    <n v="17"/>
    <x v="0"/>
    <n v="0.21492537313432836"/>
    <n v="6.8548387096774188E-2"/>
  </r>
  <r>
    <n v="207"/>
    <n v="205"/>
    <s v="Standard Bank Malawi"/>
    <s v="MALAWI"/>
    <n v="402"/>
    <n v="359"/>
    <n v="126"/>
    <n v="31"/>
    <x v="2"/>
    <n v="0.11977715877437325"/>
    <n v="0.24603174603174602"/>
  </r>
  <r>
    <n v="208"/>
    <n v="220"/>
    <s v="Murray &amp; Roberts"/>
    <s v="SOUTH AFRICA"/>
    <n v="384"/>
    <n v="326"/>
    <n v="1420"/>
    <n v="5"/>
    <x v="9"/>
    <n v="0.17791411042944785"/>
    <n v="3.5211267605633804E-3"/>
  </r>
  <r>
    <n v="209"/>
    <s v="new"/>
    <s v="Renergen"/>
    <s v="SOUTH AFRICA"/>
    <n v="381"/>
    <n v="233"/>
    <n v="0"/>
    <n v="3"/>
    <x v="7"/>
    <n v="0.63519313304721026"/>
    <m/>
  </r>
  <r>
    <n v="210"/>
    <s v="new"/>
    <s v="Guinness Nigeria"/>
    <s v="NIGERIA"/>
    <n v="375"/>
    <n v="181"/>
    <n v="404"/>
    <n v="3"/>
    <x v="0"/>
    <n v="1.0718232044198894"/>
    <n v="7.4257425742574254E-3"/>
  </r>
  <r>
    <n v="211"/>
    <n v="213"/>
    <s v="Juhayna Food Industries"/>
    <s v="EGYPT"/>
    <n v="374"/>
    <n v="340"/>
    <n v="483"/>
    <n v="27"/>
    <x v="0"/>
    <n v="0.1"/>
    <n v="5.5900621118012424E-2"/>
  </r>
  <r>
    <n v="212"/>
    <n v="197"/>
    <s v="NCBA Group"/>
    <s v="KENYA"/>
    <n v="370"/>
    <n v="379"/>
    <n v="610"/>
    <n v="44"/>
    <x v="2"/>
    <n v="-2.3746701846965697E-2"/>
    <n v="7.2131147540983612E-2"/>
  </r>
  <r>
    <n v="213"/>
    <s v="new"/>
    <s v="Societe Ivoirienne de Banque"/>
    <s v="IVORY COAST"/>
    <n v="370"/>
    <n v="246"/>
    <n v="163"/>
    <n v="53"/>
    <x v="2"/>
    <n v="0.50406504065040647"/>
    <n v="0.32515337423312884"/>
  </r>
  <r>
    <n v="214"/>
    <n v="185"/>
    <s v="Standard Chartered Bank Ghana"/>
    <s v="GHANA"/>
    <n v="362"/>
    <n v="423"/>
    <n v="213"/>
    <n v="74"/>
    <x v="2"/>
    <n v="-0.14420803782505912"/>
    <n v="0.34741784037558687"/>
  </r>
  <r>
    <n v="215"/>
    <n v="201"/>
    <s v="Stanbic Bank Uganda"/>
    <s v="UGANDA"/>
    <n v="357"/>
    <n v="370"/>
    <n v="238"/>
    <n v="65"/>
    <x v="2"/>
    <n v="-3.5135135135135137E-2"/>
    <n v="0.27310924369747897"/>
  </r>
  <r>
    <n v="216"/>
    <n v="232"/>
    <s v="Stanbic"/>
    <s v="KENYA"/>
    <n v="354"/>
    <n v="294"/>
    <n v="228"/>
    <n v="66"/>
    <x v="2"/>
    <n v="0.20408163265306123"/>
    <n v="0.28947368421052633"/>
  </r>
  <r>
    <n v="217"/>
    <s v="new"/>
    <s v="CFAO Motors Cote d'Ivoire"/>
    <s v="IVORY COAST"/>
    <n v="354"/>
    <n v="136"/>
    <n v="172"/>
    <n v="7"/>
    <x v="6"/>
    <n v="1.6029411764705883"/>
    <n v="4.0697674418604654E-2"/>
  </r>
  <r>
    <n v="218"/>
    <n v="214"/>
    <s v="Absa Bank Botswana"/>
    <s v="BOTSWANA"/>
    <n v="350"/>
    <n v="339"/>
    <n v="187"/>
    <n v="45"/>
    <x v="2"/>
    <n v="3.2448377581120944E-2"/>
    <n v="0.24064171122994651"/>
  </r>
  <r>
    <n v="219"/>
    <s v="new"/>
    <s v="Okomu Oil Palm Co."/>
    <s v="NIGERIA"/>
    <n v="343"/>
    <n v="210"/>
    <n v="91"/>
    <n v="34"/>
    <x v="0"/>
    <n v="0.6333333333333333"/>
    <n v="0.37362637362637363"/>
  </r>
  <r>
    <n v="220"/>
    <n v="236"/>
    <s v="Housing &amp; Development Bank"/>
    <s v="EGYPT"/>
    <n v="343"/>
    <n v="281"/>
    <n v="475"/>
    <n v="130"/>
    <x v="2"/>
    <n v="0.2206405693950178"/>
    <n v="0.27368421052631581"/>
  </r>
  <r>
    <n v="221"/>
    <s v="new"/>
    <s v="Tsogo Sun Hotels"/>
    <s v="SOUTH AFRICA"/>
    <n v="342"/>
    <n v="212"/>
    <n v="71"/>
    <n v="55"/>
    <x v="4"/>
    <n v="0.6132075471698113"/>
    <n v="0.77464788732394363"/>
  </r>
  <r>
    <n v="222"/>
    <n v="249"/>
    <s v="SBM Holdings"/>
    <s v="MAURITIUS"/>
    <n v="337"/>
    <n v="261"/>
    <n v="367"/>
    <n v="42"/>
    <x v="2"/>
    <n v="0.29118773946360155"/>
    <n v="0.11444141689373297"/>
  </r>
  <r>
    <n v="223"/>
    <s v="new"/>
    <s v="Letshego Holdings"/>
    <s v="BOTSWANA"/>
    <n v="337"/>
    <n v="134"/>
    <n v="312"/>
    <n v="61"/>
    <x v="2"/>
    <n v="1.5149253731343284"/>
    <n v="0.19551282051282051"/>
  </r>
  <r>
    <n v="224"/>
    <s v="new"/>
    <s v="Mpact"/>
    <s v="SOUTH AFRICA"/>
    <n v="335"/>
    <n v="201"/>
    <n v="781"/>
    <n v="35"/>
    <x v="1"/>
    <n v="0.66666666666666663"/>
    <n v="4.4814340588988477E-2"/>
  </r>
  <r>
    <n v="225"/>
    <n v="147"/>
    <s v="CBZ"/>
    <s v="ZIMBABWE"/>
    <n v="333"/>
    <n v="570"/>
    <n v="257"/>
    <n v="98"/>
    <x v="2"/>
    <n v="-0.41578947368421054"/>
    <n v="0.38132295719844356"/>
  </r>
  <r>
    <n v="226"/>
    <n v="191"/>
    <s v="Wilson Bayly Holmes"/>
    <s v="SOUTH AFRICA"/>
    <n v="332"/>
    <n v="397"/>
    <n v="2487"/>
    <n v="21"/>
    <x v="9"/>
    <n v="-0.16372795969773299"/>
    <n v="8.4439083232810616E-3"/>
  </r>
  <r>
    <n v="227"/>
    <s v="new"/>
    <s v="Hudaco Industries"/>
    <s v="SOUTH AFRICA"/>
    <n v="332"/>
    <n v="219"/>
    <n v="494"/>
    <n v="34"/>
    <x v="9"/>
    <n v="0.51598173515981738"/>
    <n v="6.8825910931174086E-2"/>
  </r>
  <r>
    <n v="228"/>
    <n v="163"/>
    <s v="Cairo Investment &amp; Real Estate Development"/>
    <s v="EGYPT"/>
    <n v="328"/>
    <n v="488"/>
    <n v="89"/>
    <n v="17"/>
    <x v="0"/>
    <n v="-0.32786885245901637"/>
    <n v="0.19101123595505617"/>
  </r>
  <r>
    <n v="229"/>
    <n v="225"/>
    <s v="Oriental Weavers"/>
    <s v="EGYPT"/>
    <n v="324"/>
    <n v="308"/>
    <n v="603"/>
    <n v="46"/>
    <x v="0"/>
    <n v="5.1948051948051951E-2"/>
    <n v="7.6285240464344942E-2"/>
  </r>
  <r>
    <n v="230"/>
    <s v="new"/>
    <s v="Grindrod"/>
    <s v="SOUTH AFRICA"/>
    <n v="323"/>
    <n v="227"/>
    <n v="228"/>
    <n v="22"/>
    <x v="9"/>
    <n v="0.42290748898678415"/>
    <n v="9.6491228070175433E-2"/>
  </r>
  <r>
    <n v="231"/>
    <s v="new"/>
    <s v="Presco PLC"/>
    <s v="NIGERIA"/>
    <n v="320"/>
    <n v="176"/>
    <n v="115"/>
    <n v="46"/>
    <x v="0"/>
    <n v="0.81818181818181823"/>
    <n v="0.4"/>
  </r>
  <r>
    <n v="232"/>
    <s v="new"/>
    <s v="Tanzania Portland Cement"/>
    <s v="TANZANIA"/>
    <n v="318"/>
    <n v="194"/>
    <n v="170"/>
    <n v="32"/>
    <x v="1"/>
    <n v="0.63917525773195871"/>
    <n v="0.18823529411764706"/>
  </r>
  <r>
    <n v="233"/>
    <n v="224"/>
    <s v="Compagnie Miniere de Touissit"/>
    <s v="MOROCCO"/>
    <n v="314"/>
    <n v="313"/>
    <n v="45"/>
    <n v="5"/>
    <x v="1"/>
    <n v="3.1948881789137379E-3"/>
    <n v="0.1111111111111111"/>
  </r>
  <r>
    <n v="234"/>
    <s v="new"/>
    <s v="Merafe Resources"/>
    <s v="SOUTH AFRICA"/>
    <n v="313"/>
    <n v="131"/>
    <n v="545"/>
    <n v="113"/>
    <x v="1"/>
    <n v="1.3893129770992367"/>
    <n v="0.20733944954128442"/>
  </r>
  <r>
    <n v="235"/>
    <s v="new"/>
    <s v="Seed Co"/>
    <s v="ZIMBABWE"/>
    <n v="312"/>
    <n v="63"/>
    <n v="87"/>
    <n v="12"/>
    <x v="0"/>
    <n v="3.9523809523809526"/>
    <n v="0.13793103448275862"/>
  </r>
  <r>
    <n v="236"/>
    <s v="new"/>
    <s v="Copperbelt Energy Corporation"/>
    <s v="ZAMBIA"/>
    <n v="310"/>
    <n v="93"/>
    <n v="343"/>
    <n v="51"/>
    <x v="8"/>
    <n v="2.3333333333333335"/>
    <n v="0.14868804664723032"/>
  </r>
  <r>
    <n v="237"/>
    <s v="new"/>
    <s v="Zambia Sugar"/>
    <s v="ZAMBIA"/>
    <n v="308"/>
    <n v="37"/>
    <n v="236"/>
    <n v="51"/>
    <x v="0"/>
    <n v="7.3243243243243246"/>
    <n v="0.21610169491525424"/>
  </r>
  <r>
    <n v="238"/>
    <s v="new"/>
    <s v="Les Eaux Minerales d'Oulmes"/>
    <s v="MOROCCO"/>
    <n v="307"/>
    <n v="230"/>
    <n v="193"/>
    <n v="5"/>
    <x v="0"/>
    <n v="0.33478260869565218"/>
    <n v="2.5906735751295335E-2"/>
  </r>
  <r>
    <n v="239"/>
    <n v="227"/>
    <s v="Libstar Holdings"/>
    <s v="SOUTH AFRICA"/>
    <n v="303"/>
    <n v="306"/>
    <n v="676"/>
    <n v="21"/>
    <x v="0"/>
    <n v="-9.8039215686274508E-3"/>
    <n v="3.1065088757396449E-2"/>
  </r>
  <r>
    <n v="240"/>
    <n v="240"/>
    <s v="Douja Promotion Groupe Addoha"/>
    <s v="MOROCCO"/>
    <n v="302"/>
    <n v="275"/>
    <n v="133"/>
    <n v="10"/>
    <x v="2"/>
    <n v="9.8181818181818176E-2"/>
    <n v="7.5187969924812026E-2"/>
  </r>
  <r>
    <n v="241"/>
    <s v="new"/>
    <s v="Egyptian International Tourism Projects"/>
    <s v="EGYPT"/>
    <n v="301"/>
    <n v="350"/>
    <n v="206"/>
    <n v="2"/>
    <x v="4"/>
    <n v="-0.14000000000000001"/>
    <n v="9.7087378640776691E-3"/>
  </r>
  <r>
    <n v="242"/>
    <n v="198"/>
    <s v="I&amp;M Holdings"/>
    <s v="KENYA"/>
    <n v="301"/>
    <n v="378"/>
    <n v="342"/>
    <n v="76"/>
    <x v="2"/>
    <n v="-0.20370370370370369"/>
    <n v="0.22222222222222221"/>
  </r>
  <r>
    <n v="243"/>
    <n v="216"/>
    <s v="Sidi Kerir Petrochemicals"/>
    <s v="EGYPT"/>
    <n v="300"/>
    <n v="338"/>
    <n v="219"/>
    <n v="2"/>
    <x v="1"/>
    <n v="-0.11242603550295859"/>
    <n v="9.1324200913242004E-3"/>
  </r>
  <r>
    <n v="244"/>
    <s v="new"/>
    <s v="SONASID"/>
    <s v="MOROCCO"/>
    <n v="300"/>
    <n v="155"/>
    <n v="500"/>
    <n v="12"/>
    <x v="1"/>
    <n v="0.93548387096774188"/>
    <n v="2.4E-2"/>
  </r>
  <r>
    <n v="245"/>
    <s v="new"/>
    <s v="Arindo Holdings (Mauritius)"/>
    <s v="MAURITIUS"/>
    <n v="299"/>
    <n v="299"/>
    <s v="n/a"/>
    <m/>
    <x v="9"/>
    <n v="0"/>
    <m/>
  </r>
  <r>
    <n v="246"/>
    <s v="new"/>
    <s v="Deep Yellow Limited"/>
    <s v="NAMIBIA"/>
    <n v="298"/>
    <n v="155"/>
    <s v="n/a"/>
    <m/>
    <x v="7"/>
    <n v="0.92258064516129035"/>
    <m/>
  </r>
  <r>
    <n v="247"/>
    <n v="193"/>
    <s v="Edita Food Industries"/>
    <s v="EGYPT"/>
    <n v="297"/>
    <n v="392"/>
    <n v="335"/>
    <n v="30"/>
    <x v="0"/>
    <n v="-0.2423469387755102"/>
    <n v="8.9552238805970144E-2"/>
  </r>
  <r>
    <n v="248"/>
    <s v="new"/>
    <s v="Long4Life"/>
    <s v="SOUTH AFRICA"/>
    <n v="292"/>
    <n v="171"/>
    <n v="217"/>
    <n v="14"/>
    <x v="6"/>
    <n v="0.70760233918128657"/>
    <n v="6.4516129032258063E-2"/>
  </r>
  <r>
    <n v="249"/>
    <n v="234"/>
    <s v="Delice Holding"/>
    <s v="TUNISIA"/>
    <n v="289"/>
    <n v="285"/>
    <n v="425"/>
    <m/>
    <x v="0"/>
    <n v="1.4035087719298246E-2"/>
    <n v="0"/>
  </r>
  <r>
    <n v="250"/>
    <n v="231"/>
    <s v="Sea Harvest Group"/>
    <s v="SOUTH AFRICA"/>
    <n v="286"/>
    <n v="299"/>
    <n v="266"/>
    <n v="26"/>
    <x v="0"/>
    <n v="-4.3478260869565216E-2"/>
    <n v="9.7744360902255634E-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n v="1"/>
    <n v="1"/>
    <x v="0"/>
    <x v="0"/>
    <n v="49619"/>
    <n v="104209"/>
    <n v="5934"/>
    <n v="5304"/>
    <s v="Consumer Non-Cyclicals"/>
    <n v="-0.52385110691015169"/>
    <n v="0.89383215369059654"/>
  </r>
  <r>
    <n v="2"/>
    <n v="3"/>
    <x v="1"/>
    <x v="0"/>
    <n v="36429"/>
    <n v="38666"/>
    <n v="14507"/>
    <n v="5340"/>
    <s v="Non-Energy Materials"/>
    <n v="-5.7854445766306314E-2"/>
    <n v="0.36809815950920244"/>
  </r>
  <r>
    <n v="3"/>
    <n v="4"/>
    <x v="2"/>
    <x v="0"/>
    <n v="29739"/>
    <n v="19610"/>
    <n v="10025"/>
    <n v="1785"/>
    <s v="Finance"/>
    <n v="0.51652218255991844"/>
    <n v="0.17805486284289276"/>
  </r>
  <r>
    <n v="4"/>
    <n v="13"/>
    <x v="3"/>
    <x v="0"/>
    <n v="24500"/>
    <n v="11083"/>
    <n v="12281"/>
    <n v="930"/>
    <s v="Telecommunications"/>
    <n v="1.2105927997834522"/>
    <n v="7.5726732350785766E-2"/>
  </r>
  <r>
    <n v="5"/>
    <n v="7"/>
    <x v="4"/>
    <x v="0"/>
    <n v="20915"/>
    <n v="13760"/>
    <n v="18342"/>
    <n v="1737"/>
    <s v="Finance"/>
    <n v="0.51998546511627908"/>
    <n v="9.4700686947988222E-2"/>
  </r>
  <r>
    <n v="6"/>
    <n v="5"/>
    <x v="5"/>
    <x v="0"/>
    <n v="20102"/>
    <n v="15698"/>
    <n v="5985"/>
    <n v="1013"/>
    <s v="Telecommunications"/>
    <n v="0.28054529239393555"/>
    <n v="0.16925647451963241"/>
  </r>
  <r>
    <n v="7"/>
    <n v="12"/>
    <x v="6"/>
    <x v="0"/>
    <n v="18608"/>
    <n v="11122"/>
    <n v="2396"/>
    <n v="574"/>
    <s v="Finance"/>
    <n v="0.67308038122639813"/>
    <n v="0.2395659432387312"/>
  </r>
  <r>
    <n v="8"/>
    <n v="18"/>
    <x v="7"/>
    <x v="0"/>
    <n v="15354"/>
    <n v="9042"/>
    <n v="13099"/>
    <n v="586"/>
    <s v="Non-Energy Materials"/>
    <n v="0.69807564698075641"/>
    <n v="4.4736239407588363E-2"/>
  </r>
  <r>
    <n v="9"/>
    <n v="10"/>
    <x v="8"/>
    <x v="0"/>
    <n v="14446"/>
    <n v="13273"/>
    <n v="6892"/>
    <n v="2249"/>
    <s v="Non-Energy Materials"/>
    <n v="8.8374896406238232E-2"/>
    <n v="0.3263203714451538"/>
  </r>
  <r>
    <n v="10"/>
    <n v="22"/>
    <x v="9"/>
    <x v="0"/>
    <n v="13909"/>
    <n v="8265"/>
    <n v="4195"/>
    <n v="789"/>
    <s v="Non-Energy Materials"/>
    <n v="0.6828796128251664"/>
    <n v="0.18808104886769964"/>
  </r>
  <r>
    <n v="11"/>
    <n v="6"/>
    <x v="10"/>
    <x v="0"/>
    <n v="13062"/>
    <n v="14725"/>
    <n v="8406"/>
    <n v="3051"/>
    <s v="Non-Energy Materials"/>
    <n v="-0.11293718166383701"/>
    <n v="0.36295503211991437"/>
  </r>
  <r>
    <n v="12"/>
    <n v="9"/>
    <x v="11"/>
    <x v="1"/>
    <n v="11898"/>
    <n v="13282"/>
    <n v="2430"/>
    <n v="633"/>
    <s v="Telecommunications"/>
    <n v="-0.10420117452190936"/>
    <n v="0.26049382716049385"/>
  </r>
  <r>
    <n v="13"/>
    <n v="8"/>
    <x v="12"/>
    <x v="2"/>
    <n v="11782"/>
    <n v="13517"/>
    <n v="3980"/>
    <n v="668"/>
    <s v="Telecommunications"/>
    <n v="-0.12835688392394762"/>
    <n v="0.16783919597989949"/>
  </r>
  <r>
    <n v="14"/>
    <n v="11"/>
    <x v="13"/>
    <x v="0"/>
    <n v="11581"/>
    <n v="13008"/>
    <n v="11642"/>
    <n v="2235"/>
    <s v="Non-Energy Materials"/>
    <n v="-0.10970172201722017"/>
    <n v="0.19197732348393748"/>
  </r>
  <r>
    <n v="15"/>
    <n v="20"/>
    <x v="14"/>
    <x v="3"/>
    <n v="11203"/>
    <n v="8947"/>
    <n v="3375"/>
    <n v="881"/>
    <s v="Non-Energy Materials"/>
    <n v="0.25215155918184867"/>
    <n v="0.26103703703703701"/>
  </r>
  <r>
    <n v="16"/>
    <n v="24"/>
    <x v="15"/>
    <x v="0"/>
    <n v="11048"/>
    <n v="7239"/>
    <n v="9040"/>
    <n v="1201"/>
    <s v="Finance"/>
    <n v="0.52617764884652574"/>
    <n v="0.13285398230088497"/>
  </r>
  <r>
    <n v="17"/>
    <n v="19"/>
    <x v="16"/>
    <x v="0"/>
    <n v="11003"/>
    <n v="8978"/>
    <n v="8694"/>
    <n v="640"/>
    <s v="Finance"/>
    <n v="0.22555134773891736"/>
    <n v="7.3613986657464922E-2"/>
  </r>
  <r>
    <n v="18"/>
    <n v="23"/>
    <x v="17"/>
    <x v="3"/>
    <n v="10471"/>
    <n v="7963"/>
    <n v="4036"/>
    <n v="729"/>
    <s v="Telecommunications"/>
    <n v="0.31495667462011806"/>
    <n v="0.18062438057482655"/>
  </r>
  <r>
    <n v="19"/>
    <n v="15"/>
    <x v="18"/>
    <x v="2"/>
    <n v="10250"/>
    <n v="9913"/>
    <n v="4425"/>
    <n v="572"/>
    <s v="Finance"/>
    <n v="3.3995763139312012E-2"/>
    <n v="0.12926553672316385"/>
  </r>
  <r>
    <n v="20"/>
    <n v="17"/>
    <x v="19"/>
    <x v="0"/>
    <n v="10032"/>
    <n v="9094"/>
    <n v="4029"/>
    <n v="622"/>
    <s v="Non-Energy Materials"/>
    <n v="0.10314493072355399"/>
    <n v="0.15438073963762719"/>
  </r>
  <r>
    <n v="21"/>
    <n v="26"/>
    <x v="20"/>
    <x v="0"/>
    <n v="9577"/>
    <n v="6292"/>
    <n v="10901"/>
    <n v="305"/>
    <s v="Consumer Non-Cyclicals"/>
    <n v="0.52209154481881759"/>
    <n v="2.7979084487661683E-2"/>
  </r>
  <r>
    <n v="22"/>
    <n v="28"/>
    <x v="21"/>
    <x v="0"/>
    <n v="8393"/>
    <n v="6019"/>
    <n v="4501"/>
    <n v="209"/>
    <s v="Finance"/>
    <n v="0.39441767735504235"/>
    <n v="4.6434125749833369E-2"/>
  </r>
  <r>
    <n v="23"/>
    <n v="32"/>
    <x v="22"/>
    <x v="0"/>
    <n v="8153"/>
    <n v="4822"/>
    <n v="6617"/>
    <n v="781"/>
    <s v="Finance"/>
    <n v="0.69079220240564077"/>
    <n v="0.11802931842224573"/>
  </r>
  <r>
    <n v="24"/>
    <n v="25"/>
    <x v="23"/>
    <x v="0"/>
    <n v="7300"/>
    <n v="6497"/>
    <n v="7448"/>
    <n v="200"/>
    <s v="Consumer Services"/>
    <n v="0.12359550561797752"/>
    <n v="2.6852846401718582E-2"/>
  </r>
  <r>
    <n v="25"/>
    <n v="16"/>
    <x v="24"/>
    <x v="3"/>
    <n v="6903"/>
    <n v="4112"/>
    <n v="3888"/>
    <n v="339"/>
    <s v="Telecommunications"/>
    <n v="0.67874513618677046"/>
    <n v="8.7191358024691357E-2"/>
  </r>
  <r>
    <n v="26"/>
    <n v="45"/>
    <x v="25"/>
    <x v="0"/>
    <n v="6716"/>
    <n v="2974"/>
    <n v="3703"/>
    <n v="350"/>
    <s v="Finance"/>
    <n v="1.2582380632145258"/>
    <n v="9.4517958412098299E-2"/>
  </r>
  <r>
    <n v="27"/>
    <n v="33"/>
    <x v="26"/>
    <x v="0"/>
    <n v="6186"/>
    <n v="4462"/>
    <n v="2450"/>
    <n v="311"/>
    <s v="Healthcare"/>
    <n v="0.38637382339757959"/>
    <n v="0.12693877551020408"/>
  </r>
  <r>
    <n v="28"/>
    <n v="21"/>
    <x v="27"/>
    <x v="0"/>
    <n v="5919"/>
    <n v="8886"/>
    <n v="2118"/>
    <n v="609"/>
    <s v="Non-Energy Materials"/>
    <n v="-0.33389601620526671"/>
    <n v="0.28753541076487255"/>
  </r>
  <r>
    <n v="29"/>
    <n v="38"/>
    <x v="28"/>
    <x v="0"/>
    <n v="5886"/>
    <n v="4018"/>
    <n v="5249"/>
    <n v="329"/>
    <s v="Consumer Cyclicals"/>
    <n v="0.4649079143852663"/>
    <n v="6.2678605448656888E-2"/>
  </r>
  <r>
    <n v="30"/>
    <n v="42"/>
    <x v="29"/>
    <x v="0"/>
    <n v="5826"/>
    <n v="4002"/>
    <n v="4269"/>
    <n v="230"/>
    <s v="Finance"/>
    <n v="0.45577211394302847"/>
    <n v="5.3876786132583745E-2"/>
  </r>
  <r>
    <n v="31"/>
    <n v="27"/>
    <x v="30"/>
    <x v="3"/>
    <n v="5759"/>
    <n v="6078"/>
    <n v="628"/>
    <n v="224"/>
    <s v="Non-Energy Materials"/>
    <n v="-5.2484369858506089E-2"/>
    <n v="0.35668789808917195"/>
  </r>
  <r>
    <n v="32"/>
    <n v="29"/>
    <x v="31"/>
    <x v="2"/>
    <n v="5622"/>
    <n v="5652"/>
    <n v="2953"/>
    <n v="196"/>
    <s v="Finance"/>
    <n v="-5.3078556263269636E-3"/>
    <n v="6.6373179817135114E-2"/>
  </r>
  <r>
    <n v="33"/>
    <n v="47"/>
    <x v="32"/>
    <x v="0"/>
    <n v="5471"/>
    <n v="3177"/>
    <n v="1212"/>
    <n v="188"/>
    <s v="Finance"/>
    <n v="0.72206484104501101"/>
    <n v="0.15511551155115511"/>
  </r>
  <r>
    <n v="34"/>
    <n v="35"/>
    <x v="33"/>
    <x v="0"/>
    <n v="5296"/>
    <n v="4223"/>
    <n v="2216"/>
    <n v="757"/>
    <s v="Energy"/>
    <n v="0.25408477385744732"/>
    <n v="0.34160649819494587"/>
  </r>
  <r>
    <n v="35"/>
    <n v="40"/>
    <x v="34"/>
    <x v="0"/>
    <n v="5209"/>
    <n v="3926"/>
    <n v="5729"/>
    <n v="249"/>
    <s v="Consumer Cyclicals"/>
    <n v="0.32679572083545594"/>
    <n v="4.3463082562401813E-2"/>
  </r>
  <r>
    <n v="36"/>
    <n v="39"/>
    <x v="35"/>
    <x v="0"/>
    <n v="5160"/>
    <n v="4008"/>
    <n v="2660"/>
    <n v="127"/>
    <s v="Consumer Non-Cyclicals"/>
    <n v="0.28742514970059879"/>
    <n v="4.7744360902255638E-2"/>
  </r>
  <r>
    <n v="37"/>
    <n v="30"/>
    <x v="36"/>
    <x v="4"/>
    <n v="5009"/>
    <n v="5432"/>
    <n v="3216"/>
    <n v="845"/>
    <s v="Finance"/>
    <n v="-7.7871870397643594E-2"/>
    <n v="0.26274875621890548"/>
  </r>
  <r>
    <n v="38"/>
    <n v="31"/>
    <x v="37"/>
    <x v="5"/>
    <n v="4856"/>
    <n v="4527"/>
    <n v="1762"/>
    <n v="420"/>
    <s v="Non-Energy Materials"/>
    <n v="7.2675060746631326E-2"/>
    <n v="0.2383654937570942"/>
  </r>
  <r>
    <n v="39"/>
    <n v="36"/>
    <x v="38"/>
    <x v="2"/>
    <n v="4623"/>
    <n v="4167"/>
    <n v="911"/>
    <m/>
    <s v="Non-Energy Materials"/>
    <n v="0.10943124550035997"/>
    <n v="0"/>
  </r>
  <r>
    <n v="40"/>
    <n v="37"/>
    <x v="39"/>
    <x v="0"/>
    <n v="4437"/>
    <n v="4027"/>
    <n v="16755"/>
    <n v="450"/>
    <s v="Finance"/>
    <n v="0.10181276384405265"/>
    <n v="2.685765443151298E-2"/>
  </r>
  <r>
    <n v="41"/>
    <n v="34"/>
    <x v="40"/>
    <x v="0"/>
    <n v="4400"/>
    <n v="4227"/>
    <n v="1275"/>
    <n v="819"/>
    <s v="Non-Energy Materials"/>
    <n v="4.0927371658386565E-2"/>
    <n v="0.64235294117647057"/>
  </r>
  <r>
    <n v="42"/>
    <n v="43"/>
    <x v="41"/>
    <x v="2"/>
    <n v="4238"/>
    <n v="3563"/>
    <n v="2270"/>
    <n v="223"/>
    <s v="Finance"/>
    <n v="0.18944709514454111"/>
    <n v="9.8237885462555061E-2"/>
  </r>
  <r>
    <n v="43"/>
    <n v="44"/>
    <x v="42"/>
    <x v="0"/>
    <n v="4160"/>
    <n v="3516"/>
    <n v="5245"/>
    <n v="270"/>
    <s v="Consumer Non-Cyclicals"/>
    <n v="0.18316268486916951"/>
    <n v="5.1477597712106769E-2"/>
  </r>
  <r>
    <n v="44"/>
    <n v="41"/>
    <x v="43"/>
    <x v="0"/>
    <n v="3989"/>
    <n v="3864"/>
    <n v="3260"/>
    <n v="132"/>
    <s v="Telecommunications"/>
    <n v="3.2349896480331264E-2"/>
    <n v="4.0490797546012272E-2"/>
  </r>
  <r>
    <n v="45"/>
    <n v="46"/>
    <x v="44"/>
    <x v="0"/>
    <n v="3912"/>
    <n v="3457"/>
    <n v="1347"/>
    <n v="162"/>
    <s v="Consumer Non-Cyclicals"/>
    <n v="0.13161700896731271"/>
    <n v="0.12026726057906459"/>
  </r>
  <r>
    <n v="46"/>
    <s v="new"/>
    <x v="45"/>
    <x v="6"/>
    <n v="3793"/>
    <n v="4364"/>
    <n v="1072"/>
    <n v="352"/>
    <s v="Finance"/>
    <n v="-0.13084326306141156"/>
    <n v="0.32835820895522388"/>
  </r>
  <r>
    <n v="47"/>
    <n v="131"/>
    <x v="46"/>
    <x v="7"/>
    <n v="3479"/>
    <n v="968"/>
    <n v="561"/>
    <n v="17"/>
    <s v="Telecommunications"/>
    <n v="2.59400826446281"/>
    <n v="3.0303030303030304E-2"/>
  </r>
  <r>
    <n v="48"/>
    <n v="49"/>
    <x v="47"/>
    <x v="0"/>
    <n v="3456"/>
    <n v="3067"/>
    <n v="818"/>
    <n v="32"/>
    <s v="Finance"/>
    <n v="0.12683403977828497"/>
    <n v="3.9119804400977995E-2"/>
  </r>
  <r>
    <n v="49"/>
    <n v="50"/>
    <x v="48"/>
    <x v="0"/>
    <n v="3339"/>
    <n v="2753"/>
    <n v="2133"/>
    <n v="114"/>
    <s v="Consumer Cyclicals"/>
    <n v="0.21285869960043588"/>
    <n v="5.3445850914205346E-2"/>
  </r>
  <r>
    <n v="50"/>
    <n v="63"/>
    <x v="49"/>
    <x v="0"/>
    <n v="3194"/>
    <n v="1963"/>
    <n v="1111"/>
    <n v="440"/>
    <s v="Non-Energy Materials"/>
    <n v="0.62710137544574629"/>
    <n v="0.39603960396039606"/>
  </r>
  <r>
    <n v="51"/>
    <n v="54"/>
    <x v="50"/>
    <x v="0"/>
    <n v="3117"/>
    <n v="2612"/>
    <n v="2856"/>
    <n v="330"/>
    <s v="Non-Energy Materials"/>
    <n v="0.19333843797856048"/>
    <n v="0.11554621848739496"/>
  </r>
  <r>
    <n v="52"/>
    <n v="109"/>
    <x v="51"/>
    <x v="0"/>
    <n v="3095"/>
    <n v="2999"/>
    <n v="1010"/>
    <n v="202"/>
    <s v="Finance"/>
    <n v="3.2010670223407804E-2"/>
    <n v="0.2"/>
  </r>
  <r>
    <n v="53"/>
    <n v="210"/>
    <x v="52"/>
    <x v="0"/>
    <n v="2977"/>
    <n v="1695"/>
    <n v="13"/>
    <n v="59"/>
    <s v="Finance"/>
    <n v="0.75634218289085542"/>
    <n v="4.5384615384615383"/>
  </r>
  <r>
    <n v="54"/>
    <n v="51"/>
    <x v="53"/>
    <x v="2"/>
    <n v="2766"/>
    <n v="2752"/>
    <n v="459"/>
    <n v="135"/>
    <s v="Non-Energy Materials"/>
    <n v="5.0872093023255818E-3"/>
    <n v="0.29411764705882354"/>
  </r>
  <r>
    <n v="55"/>
    <n v="59"/>
    <x v="54"/>
    <x v="8"/>
    <n v="2680"/>
    <n v="2311"/>
    <n v="2405"/>
    <n v="380"/>
    <s v="Telecommunications"/>
    <n v="0.15967113803548247"/>
    <n v="0.15800415800415801"/>
  </r>
  <r>
    <n v="56"/>
    <n v="53"/>
    <x v="55"/>
    <x v="3"/>
    <n v="2658"/>
    <n v="2662"/>
    <n v="858"/>
    <n v="98"/>
    <s v="Consumer Non-Cyclicals"/>
    <n v="-1.5026296018031556E-3"/>
    <n v="0.11421911421911422"/>
  </r>
  <r>
    <n v="57"/>
    <n v="72"/>
    <x v="56"/>
    <x v="0"/>
    <n v="2641"/>
    <n v="1759"/>
    <n v="1833"/>
    <n v="126"/>
    <s v="Consumer Non-Cyclicals"/>
    <n v="0.50142126208072768"/>
    <n v="6.8739770867430439E-2"/>
  </r>
  <r>
    <n v="58"/>
    <n v="55"/>
    <x v="57"/>
    <x v="2"/>
    <n v="2614"/>
    <n v="2514"/>
    <n v="821"/>
    <n v="93"/>
    <s v="Utilities"/>
    <n v="3.9777247414478918E-2"/>
    <n v="0.11327649208282582"/>
  </r>
  <r>
    <n v="59"/>
    <s v="new"/>
    <x v="58"/>
    <x v="3"/>
    <n v="2575"/>
    <s v="n/a"/>
    <n v="814"/>
    <n v="183"/>
    <s v="Consumer Non-Cyclicals"/>
    <e v="#VALUE!"/>
    <n v="0.22481572481572482"/>
  </r>
  <r>
    <n v="60"/>
    <n v="87"/>
    <x v="59"/>
    <x v="0"/>
    <n v="2440"/>
    <n v="1414"/>
    <n v="448"/>
    <n v="155"/>
    <s v="Finance"/>
    <n v="0.72560113154172556"/>
    <n v="0.34598214285714285"/>
  </r>
  <r>
    <n v="61"/>
    <n v="56"/>
    <x v="60"/>
    <x v="2"/>
    <n v="2378"/>
    <n v="2512"/>
    <n v="1013"/>
    <n v="85"/>
    <s v="Consumer Non-Cyclicals"/>
    <n v="-5.3343949044585989E-2"/>
    <n v="8.3909180651530108E-2"/>
  </r>
  <r>
    <n v="62"/>
    <n v="66"/>
    <x v="61"/>
    <x v="0"/>
    <n v="2340"/>
    <n v="1838"/>
    <n v="1813"/>
    <n v="112"/>
    <s v="Healthcare"/>
    <n v="0.27312295973884659"/>
    <n v="6.1776061776061778E-2"/>
  </r>
  <r>
    <n v="63"/>
    <n v="70"/>
    <x v="62"/>
    <x v="0"/>
    <n v="2279"/>
    <n v="1696"/>
    <n v="8458"/>
    <n v="140"/>
    <s v="Consumer Cyclicals"/>
    <n v="0.34375"/>
    <n v="1.6552376448332941E-2"/>
  </r>
  <r>
    <n v="64"/>
    <n v="65"/>
    <x v="63"/>
    <x v="0"/>
    <n v="2277"/>
    <n v="1901"/>
    <n v="1924"/>
    <n v="186"/>
    <s v="Finance"/>
    <n v="0.19779063650710152"/>
    <n v="9.6673596673596679E-2"/>
  </r>
  <r>
    <n v="65"/>
    <n v="91"/>
    <x v="64"/>
    <x v="0"/>
    <n v="2244"/>
    <n v="1337"/>
    <n v="1591"/>
    <n v="40"/>
    <s v="Consumer Non-Cyclicals"/>
    <n v="0.67838444278234855"/>
    <n v="2.51414204902577E-2"/>
  </r>
  <r>
    <n v="66"/>
    <n v="57"/>
    <x v="65"/>
    <x v="0"/>
    <n v="2237"/>
    <n v="2477"/>
    <n v="8791"/>
    <n v="153"/>
    <s v="Consumer Non-Cyclicals"/>
    <n v="-9.6891400888171178E-2"/>
    <n v="1.7404163348879537E-2"/>
  </r>
  <r>
    <n v="67"/>
    <n v="75"/>
    <x v="66"/>
    <x v="0"/>
    <n v="2208"/>
    <n v="1721"/>
    <n v="5265"/>
    <n v="13"/>
    <s v="Non-Energy Materials"/>
    <n v="0.28297501452643814"/>
    <n v="2.4691358024691358E-3"/>
  </r>
  <r>
    <n v="68"/>
    <n v="130"/>
    <x v="67"/>
    <x v="7"/>
    <n v="2206"/>
    <n v="703"/>
    <n v="599"/>
    <n v="99"/>
    <s v="Consumer Non-Cyclicals"/>
    <n v="2.1379800853485063"/>
    <n v="0.1652754590984975"/>
  </r>
  <r>
    <n v="69"/>
    <n v="60"/>
    <x v="68"/>
    <x v="4"/>
    <n v="2122"/>
    <n v="2222"/>
    <n v="2174"/>
    <n v="474"/>
    <s v="Finance"/>
    <n v="-4.5004500450045004E-2"/>
    <n v="0.21803127874885003"/>
  </r>
  <r>
    <n v="70"/>
    <n v="52"/>
    <x v="69"/>
    <x v="0"/>
    <n v="2066"/>
    <n v="2709"/>
    <n v="2087"/>
    <n v="120"/>
    <s v="Consumer Non-Cyclicals"/>
    <n v="-0.23735695828719083"/>
    <n v="5.7498802108289414E-2"/>
  </r>
  <r>
    <n v="71"/>
    <n v="84"/>
    <x v="70"/>
    <x v="2"/>
    <n v="2040"/>
    <n v="1462"/>
    <n v="825"/>
    <n v="96"/>
    <s v="Non-Energy Materials"/>
    <n v="0.39534883720930231"/>
    <n v="0.11636363636363636"/>
  </r>
  <r>
    <n v="72"/>
    <n v="73"/>
    <x v="71"/>
    <x v="2"/>
    <n v="2014"/>
    <n v="1751"/>
    <n v="399"/>
    <m/>
    <s v="Industrials"/>
    <n v="0.15019988577955454"/>
    <n v="0"/>
  </r>
  <r>
    <n v="73"/>
    <n v="69"/>
    <x v="72"/>
    <x v="0"/>
    <n v="1815"/>
    <n v="1796"/>
    <n v="5732"/>
    <n v="59"/>
    <s v="Consumer Non-Cyclicals"/>
    <n v="1.0579064587973273E-2"/>
    <n v="1.0293091416608514E-2"/>
  </r>
  <r>
    <n v="74"/>
    <n v="71"/>
    <x v="73"/>
    <x v="0"/>
    <n v="1774"/>
    <n v="1766"/>
    <n v="6788"/>
    <n v="29"/>
    <s v="Finance"/>
    <n v="4.5300113250283129E-3"/>
    <n v="4.2722451384796696E-3"/>
  </r>
  <r>
    <n v="75"/>
    <n v="81"/>
    <x v="74"/>
    <x v="2"/>
    <n v="1740"/>
    <n v="1504"/>
    <n v="1110"/>
    <n v="60"/>
    <s v="Finance"/>
    <n v="0.15691489361702127"/>
    <n v="5.4054054054054057E-2"/>
  </r>
  <r>
    <n v="76"/>
    <n v="68"/>
    <x v="75"/>
    <x v="9"/>
    <n v="1726"/>
    <n v="1806"/>
    <n v="1304"/>
    <n v="338"/>
    <s v="Telecommunications"/>
    <n v="-4.4296788482834998E-2"/>
    <n v="0.25920245398773006"/>
  </r>
  <r>
    <n v="77"/>
    <n v="94"/>
    <x v="76"/>
    <x v="6"/>
    <n v="1723"/>
    <n v="1288"/>
    <n v="662"/>
    <n v="204"/>
    <s v="Finance"/>
    <n v="0.33773291925465837"/>
    <n v="0.30815709969788518"/>
  </r>
  <r>
    <n v="78"/>
    <n v="76"/>
    <x v="77"/>
    <x v="4"/>
    <n v="1717"/>
    <n v="1716"/>
    <n v="562"/>
    <n v="187"/>
    <s v="Non-Energy Materials"/>
    <n v="5.8275058275058275E-4"/>
    <n v="0.33274021352313166"/>
  </r>
  <r>
    <n v="79"/>
    <s v="new"/>
    <x v="78"/>
    <x v="0"/>
    <n v="1715"/>
    <s v="n/a"/>
    <n v="1109"/>
    <n v="268"/>
    <s v="Energy"/>
    <e v="#VALUE!"/>
    <n v="0.24165915238954014"/>
  </r>
  <r>
    <n v="80"/>
    <n v="80"/>
    <x v="79"/>
    <x v="2"/>
    <n v="1709"/>
    <n v="1522"/>
    <n v="660"/>
    <n v="73"/>
    <s v="Energy"/>
    <n v="0.12286465177398161"/>
    <n v="0.11060606060606061"/>
  </r>
  <r>
    <n v="81"/>
    <n v="74"/>
    <x v="80"/>
    <x v="3"/>
    <n v="1691"/>
    <n v="1729"/>
    <n v="1786"/>
    <n v="596"/>
    <s v="Finance"/>
    <n v="-2.197802197802198E-2"/>
    <n v="0.33370660694288912"/>
  </r>
  <r>
    <n v="82"/>
    <n v="85"/>
    <x v="81"/>
    <x v="0"/>
    <n v="1679"/>
    <n v="1435"/>
    <n v="1129"/>
    <n v="127"/>
    <s v="Consumer Cyclicals"/>
    <n v="0.17003484320557491"/>
    <n v="0.112488928255093"/>
  </r>
  <r>
    <n v="83"/>
    <n v="77"/>
    <x v="82"/>
    <x v="0"/>
    <n v="1658"/>
    <n v="1700"/>
    <n v="861"/>
    <n v="107"/>
    <s v="Consumer Non-Cyclicals"/>
    <n v="-2.4705882352941175E-2"/>
    <n v="0.12427409988385599"/>
  </r>
  <r>
    <n v="84"/>
    <n v="92"/>
    <x v="83"/>
    <x v="1"/>
    <n v="1657"/>
    <n v="1310"/>
    <n v="1254"/>
    <n v="357"/>
    <s v="Finance"/>
    <n v="0.26488549618320612"/>
    <n v="0.28468899521531099"/>
  </r>
  <r>
    <n v="85"/>
    <n v="99"/>
    <x v="84"/>
    <x v="4"/>
    <n v="1633"/>
    <n v="1208"/>
    <n v="2018"/>
    <n v="254"/>
    <s v="Telecommunications"/>
    <n v="0.35182119205298013"/>
    <n v="0.12586719524281467"/>
  </r>
  <r>
    <n v="86"/>
    <n v="97"/>
    <x v="85"/>
    <x v="0"/>
    <n v="1596"/>
    <n v="1229"/>
    <n v="2802"/>
    <n v="187"/>
    <s v="Industrials"/>
    <n v="0.2986167615947925"/>
    <n v="6.6738044254104206E-2"/>
  </r>
  <r>
    <n v="87"/>
    <n v="89"/>
    <x v="86"/>
    <x v="0"/>
    <n v="1586"/>
    <n v="1389"/>
    <n v="1429"/>
    <n v="52"/>
    <s v="Healthcare"/>
    <n v="0.14182865370770339"/>
    <n v="3.6389083275017498E-2"/>
  </r>
  <r>
    <n v="88"/>
    <n v="58"/>
    <x v="87"/>
    <x v="3"/>
    <n v="1585"/>
    <n v="2361"/>
    <n v="983"/>
    <n v="420"/>
    <s v="Finance"/>
    <n v="-0.32867429055484965"/>
    <n v="0.42726347914547302"/>
  </r>
  <r>
    <n v="89"/>
    <n v="96"/>
    <x v="88"/>
    <x v="2"/>
    <n v="1568"/>
    <n v="1253"/>
    <n v="1431"/>
    <m/>
    <s v="Consumer Cyclicals"/>
    <n v="0.25139664804469275"/>
    <n v="0"/>
  </r>
  <r>
    <n v="90"/>
    <n v="83"/>
    <x v="89"/>
    <x v="0"/>
    <n v="1556"/>
    <n v="1466"/>
    <n v="2641"/>
    <n v="148"/>
    <s v="Telecommunications"/>
    <n v="6.1391541609822645E-2"/>
    <n v="5.6039379023097309E-2"/>
  </r>
  <r>
    <n v="91"/>
    <s v="new"/>
    <x v="90"/>
    <x v="4"/>
    <n v="1550"/>
    <m/>
    <m/>
    <m/>
    <s v="Finance"/>
    <e v="#DIV/0!"/>
    <m/>
  </r>
  <r>
    <n v="92"/>
    <n v="82"/>
    <x v="91"/>
    <x v="0"/>
    <n v="1508"/>
    <n v="1504"/>
    <n v="593"/>
    <n v="111"/>
    <s v="Consumer Cyclicals"/>
    <n v="2.6595744680851063E-3"/>
    <n v="0.18718381112984822"/>
  </r>
  <r>
    <n v="93"/>
    <n v="79"/>
    <x v="92"/>
    <x v="4"/>
    <n v="1478"/>
    <n v="1635"/>
    <n v="1018"/>
    <n v="272"/>
    <s v="Consumer Non-Cyclicals"/>
    <n v="-9.6024464831804282E-2"/>
    <n v="0.26719056974459726"/>
  </r>
  <r>
    <n v="94"/>
    <n v="105"/>
    <x v="93"/>
    <x v="0"/>
    <n v="1464"/>
    <n v="1071"/>
    <n v="129"/>
    <n v="539"/>
    <s v="Finance"/>
    <n v="0.36694677871148457"/>
    <n v="4.1782945736434112"/>
  </r>
  <r>
    <n v="95"/>
    <n v="67"/>
    <x v="94"/>
    <x v="10"/>
    <n v="1441"/>
    <n v="1830"/>
    <n v="429"/>
    <n v="75"/>
    <s v="Consumer Non-Cyclicals"/>
    <n v="-0.21256830601092896"/>
    <n v="0.17482517482517482"/>
  </r>
  <r>
    <n v="96"/>
    <n v="100"/>
    <x v="95"/>
    <x v="4"/>
    <n v="1433"/>
    <n v="1181"/>
    <n v="832"/>
    <n v="142"/>
    <s v="Finance"/>
    <n v="0.21337849280270957"/>
    <n v="0.17067307692307693"/>
  </r>
  <r>
    <n v="97"/>
    <n v="108"/>
    <x v="96"/>
    <x v="2"/>
    <n v="1432"/>
    <n v="1016"/>
    <n v="1307"/>
    <n v="45"/>
    <s v="Consumer Non-Cyclicals"/>
    <n v="0.40944881889763779"/>
    <n v="3.442999234889059E-2"/>
  </r>
  <r>
    <n v="98"/>
    <n v="90"/>
    <x v="97"/>
    <x v="11"/>
    <n v="1386"/>
    <n v="1387"/>
    <n v="415"/>
    <n v="34"/>
    <s v="Consumer Non-Cyclicals"/>
    <n v="-7.2098053352559477E-4"/>
    <n v="8.1927710843373497E-2"/>
  </r>
  <r>
    <n v="99"/>
    <n v="104"/>
    <x v="98"/>
    <x v="0"/>
    <n v="1343"/>
    <n v="1115"/>
    <n v="5657"/>
    <n v="136"/>
    <s v="Consumer Cyclicals"/>
    <n v="0.20448430493273542"/>
    <n v="2.4041011136644863E-2"/>
  </r>
  <r>
    <n v="100"/>
    <n v="186"/>
    <x v="99"/>
    <x v="7"/>
    <n v="1270"/>
    <n v="421"/>
    <n v="230"/>
    <n v="14"/>
    <s v="Finance"/>
    <n v="2.0166270783847979"/>
    <n v="6.0869565217391307E-2"/>
  </r>
  <r>
    <n v="101"/>
    <n v="106"/>
    <x v="100"/>
    <x v="4"/>
    <n v="1252"/>
    <n v="1047"/>
    <n v="464"/>
    <n v="157"/>
    <s v="Non-Energy Materials"/>
    <n v="0.19579751671442217"/>
    <n v="0.33836206896551724"/>
  </r>
  <r>
    <n v="102"/>
    <n v="98"/>
    <x v="101"/>
    <x v="1"/>
    <n v="1231"/>
    <n v="1214"/>
    <n v="1214"/>
    <n v="311"/>
    <s v="Finance"/>
    <n v="1.400329489291598E-2"/>
    <n v="0.25617792421746294"/>
  </r>
  <r>
    <n v="103"/>
    <n v="164"/>
    <x v="102"/>
    <x v="7"/>
    <n v="1230"/>
    <n v="483"/>
    <n v="818"/>
    <n v="34"/>
    <s v="Consumer Non-Cyclicals"/>
    <n v="1.5465838509316769"/>
    <n v="4.1564792176039117E-2"/>
  </r>
  <r>
    <n v="104"/>
    <n v="114"/>
    <x v="103"/>
    <x v="0"/>
    <n v="1194"/>
    <n v="835"/>
    <n v="311"/>
    <n v="42"/>
    <s v="Finance"/>
    <n v="0.42994011976047902"/>
    <n v="0.13504823151125403"/>
  </r>
  <r>
    <n v="105"/>
    <s v="new"/>
    <x v="104"/>
    <x v="12"/>
    <n v="1124"/>
    <s v="n/a"/>
    <n v="505"/>
    <n v="87"/>
    <s v="Telecommunications"/>
    <e v="#VALUE!"/>
    <n v="0.17227722772277226"/>
  </r>
  <r>
    <n v="106"/>
    <n v="140"/>
    <x v="105"/>
    <x v="2"/>
    <n v="1115"/>
    <n v="635"/>
    <n v="229"/>
    <n v="31"/>
    <s v="Healthcare"/>
    <n v="0.75590551181102361"/>
    <n v="0.13537117903930132"/>
  </r>
  <r>
    <n v="107"/>
    <n v="93"/>
    <x v="106"/>
    <x v="0"/>
    <n v="1110"/>
    <n v="1298"/>
    <n v="299"/>
    <n v="115"/>
    <s v="Finance"/>
    <n v="-0.1448382126348228"/>
    <n v="0.38461538461538464"/>
  </r>
  <r>
    <n v="108"/>
    <n v="139"/>
    <x v="107"/>
    <x v="3"/>
    <n v="1070"/>
    <n v="636"/>
    <n v="1451"/>
    <n v="193"/>
    <s v="Finance"/>
    <n v="0.6823899371069182"/>
    <n v="0.13301171605789111"/>
  </r>
  <r>
    <n v="109"/>
    <n v="88"/>
    <x v="108"/>
    <x v="3"/>
    <n v="1064"/>
    <n v="1390"/>
    <n v="503"/>
    <n v="133"/>
    <s v="Finance"/>
    <n v="-0.23453237410071942"/>
    <n v="0.26441351888667991"/>
  </r>
  <r>
    <n v="110"/>
    <n v="103"/>
    <x v="109"/>
    <x v="1"/>
    <n v="1031"/>
    <n v="1143"/>
    <n v="791"/>
    <n v="40"/>
    <s v="Consumer Non-Cyclicals"/>
    <n v="-9.7987751531058612E-2"/>
    <n v="5.0568900126422248E-2"/>
  </r>
  <r>
    <n v="111"/>
    <n v="111"/>
    <x v="110"/>
    <x v="9"/>
    <n v="1016"/>
    <n v="927"/>
    <n v="1426"/>
    <n v="81"/>
    <s v="Energy"/>
    <n v="9.6008629989212516E-2"/>
    <n v="5.6802244039270686E-2"/>
  </r>
  <r>
    <n v="112"/>
    <n v="115"/>
    <x v="111"/>
    <x v="2"/>
    <n v="1009"/>
    <n v="829"/>
    <n v="533"/>
    <n v="67"/>
    <s v="Finance"/>
    <n v="0.21712907117008443"/>
    <n v="0.12570356472795496"/>
  </r>
  <r>
    <n v="113"/>
    <s v="new"/>
    <x v="112"/>
    <x v="0"/>
    <n v="1001"/>
    <n v="770"/>
    <n v="57"/>
    <n v="78"/>
    <s v="Finance"/>
    <n v="0.3"/>
    <n v="1.368421052631579"/>
  </r>
  <r>
    <n v="114"/>
    <n v="95"/>
    <x v="113"/>
    <x v="4"/>
    <n v="987"/>
    <n v="1253"/>
    <n v="2934"/>
    <n v="191"/>
    <s v="Industrials"/>
    <n v="-0.21229050279329609"/>
    <n v="6.50988411724608E-2"/>
  </r>
  <r>
    <n v="115"/>
    <n v="116"/>
    <x v="114"/>
    <x v="4"/>
    <n v="954"/>
    <n v="821"/>
    <n v="891"/>
    <n v="106"/>
    <s v="Finance"/>
    <n v="0.16199756394640683"/>
    <n v="0.11896745230078563"/>
  </r>
  <r>
    <n v="116"/>
    <n v="128"/>
    <x v="115"/>
    <x v="4"/>
    <n v="942"/>
    <n v="712"/>
    <n v="529"/>
    <n v="93"/>
    <s v="Finance"/>
    <n v="0.32303370786516855"/>
    <n v="0.17580340264650285"/>
  </r>
  <r>
    <n v="117"/>
    <n v="64"/>
    <x v="116"/>
    <x v="4"/>
    <n v="926"/>
    <n v="1911"/>
    <n v="78"/>
    <n v="10"/>
    <s v="Finance"/>
    <n v="-0.51543694400837259"/>
    <n v="0.12820512820512819"/>
  </r>
  <r>
    <n v="118"/>
    <m/>
    <x v="117"/>
    <x v="0"/>
    <n v="918"/>
    <m/>
    <m/>
    <m/>
    <s v="Technology"/>
    <e v="#DIV/0!"/>
    <m/>
  </r>
  <r>
    <n v="119"/>
    <n v="112"/>
    <x v="118"/>
    <x v="3"/>
    <n v="918"/>
    <n v="869"/>
    <n v="715"/>
    <n v="124"/>
    <s v="Non-Energy Materials"/>
    <n v="5.6386651323360182E-2"/>
    <n v="0.17342657342657342"/>
  </r>
  <r>
    <n v="120"/>
    <n v="246"/>
    <x v="119"/>
    <x v="7"/>
    <n v="875"/>
    <n v="265"/>
    <n v="230"/>
    <n v="26"/>
    <s v="Consumer Services"/>
    <n v="2.3018867924528301"/>
    <n v="0.11304347826086956"/>
  </r>
  <r>
    <n v="121"/>
    <n v="148"/>
    <x v="120"/>
    <x v="0"/>
    <n v="870"/>
    <n v="561"/>
    <n v="1087"/>
    <n v="40"/>
    <s v="Non-Energy Materials"/>
    <n v="0.55080213903743314"/>
    <n v="3.6798528058877643E-2"/>
  </r>
  <r>
    <n v="122"/>
    <n v="170"/>
    <x v="121"/>
    <x v="0"/>
    <n v="865"/>
    <n v="462"/>
    <n v="347"/>
    <n v="1"/>
    <s v="Consumer Services"/>
    <n v="0.87229437229437234"/>
    <n v="2.881844380403458E-3"/>
  </r>
  <r>
    <n v="123"/>
    <s v="new"/>
    <x v="122"/>
    <x v="7"/>
    <n v="864"/>
    <n v="256"/>
    <n v="406"/>
    <n v="1"/>
    <s v="Consumer Non-Cyclicals"/>
    <n v="2.375"/>
    <n v="2.4630541871921183E-3"/>
  </r>
  <r>
    <n v="124"/>
    <n v="134"/>
    <x v="123"/>
    <x v="4"/>
    <n v="848"/>
    <n v="661"/>
    <n v="161"/>
    <n v="93"/>
    <s v="Industrials"/>
    <n v="0.28290468986384265"/>
    <n v="0.57763975155279501"/>
  </r>
  <r>
    <n v="125"/>
    <n v="127"/>
    <x v="124"/>
    <x v="0"/>
    <n v="847"/>
    <n v="718"/>
    <n v="1554"/>
    <n v="73"/>
    <s v="Non-Energy Materials"/>
    <n v="0.1796657381615599"/>
    <n v="4.6975546975546977E-2"/>
  </r>
  <r>
    <n v="126"/>
    <n v="121"/>
    <x v="125"/>
    <x v="0"/>
    <n v="841"/>
    <n v="770"/>
    <n v="1761"/>
    <n v="80"/>
    <s v="Non-Energy Materials"/>
    <n v="9.2207792207792211E-2"/>
    <n v="4.5428733674048836E-2"/>
  </r>
  <r>
    <n v="127"/>
    <n v="119"/>
    <x v="126"/>
    <x v="4"/>
    <n v="833"/>
    <n v="790"/>
    <n v="91"/>
    <n v="6"/>
    <s v="Finance"/>
    <n v="5.4430379746835442E-2"/>
    <n v="6.5934065934065936E-2"/>
  </r>
  <r>
    <n v="128"/>
    <n v="132"/>
    <x v="127"/>
    <x v="3"/>
    <n v="833"/>
    <n v="694"/>
    <n v="2523"/>
    <n v="386"/>
    <s v="Finance"/>
    <n v="0.20028818443804033"/>
    <n v="0.15299246928260007"/>
  </r>
  <r>
    <n v="129"/>
    <n v="124"/>
    <x v="128"/>
    <x v="6"/>
    <n v="831"/>
    <n v="742"/>
    <n v="895"/>
    <n v="2"/>
    <s v="Finance"/>
    <n v="0.11994609164420485"/>
    <n v="2.2346368715083797E-3"/>
  </r>
  <r>
    <n v="130"/>
    <n v="126"/>
    <x v="129"/>
    <x v="2"/>
    <n v="821"/>
    <n v="720"/>
    <n v="300"/>
    <n v="37"/>
    <s v="Consumer Non-Cyclicals"/>
    <n v="0.14027777777777778"/>
    <n v="0.12333333333333334"/>
  </r>
  <r>
    <n v="131"/>
    <n v="118"/>
    <x v="130"/>
    <x v="0"/>
    <n v="817"/>
    <n v="792"/>
    <n v="342"/>
    <n v="93"/>
    <s v="Non-Energy Materials"/>
    <n v="3.1565656565656568E-2"/>
    <n v="0.27192982456140352"/>
  </r>
  <r>
    <n v="132"/>
    <n v="107"/>
    <x v="131"/>
    <x v="2"/>
    <n v="812"/>
    <n v="1041"/>
    <n v="439"/>
    <n v="22"/>
    <s v="Finance"/>
    <n v="-0.21998078770413065"/>
    <n v="5.011389521640091E-2"/>
  </r>
  <r>
    <n v="133"/>
    <n v="144"/>
    <x v="132"/>
    <x v="2"/>
    <n v="788"/>
    <n v="612"/>
    <n v="626"/>
    <n v="46"/>
    <s v="Finance"/>
    <n v="0.28758169934640521"/>
    <n v="7.3482428115015971E-2"/>
  </r>
  <r>
    <n v="134"/>
    <n v="133"/>
    <x v="133"/>
    <x v="10"/>
    <n v="787"/>
    <n v="683"/>
    <n v="636"/>
    <n v="102"/>
    <s v="Finance"/>
    <n v="0.15226939970717424"/>
    <n v="0.16037735849056603"/>
  </r>
  <r>
    <n v="135"/>
    <n v="110"/>
    <x v="134"/>
    <x v="3"/>
    <n v="785"/>
    <n v="947"/>
    <n v="1067"/>
    <n v="31"/>
    <s v="Consumer Non-Cyclicals"/>
    <n v="-0.17106652587117213"/>
    <n v="2.9053420805998126E-2"/>
  </r>
  <r>
    <n v="136"/>
    <n v="142"/>
    <x v="135"/>
    <x v="0"/>
    <n v="767"/>
    <n v="629"/>
    <n v="2056"/>
    <n v="64"/>
    <s v="Consumer Non-Cyclicals"/>
    <n v="0.21939586645468998"/>
    <n v="3.1128404669260701E-2"/>
  </r>
  <r>
    <n v="137"/>
    <s v="new"/>
    <x v="136"/>
    <x v="0"/>
    <n v="759"/>
    <n v="202"/>
    <n v="2685"/>
    <n v="448"/>
    <s v="Non-Energy Materials"/>
    <n v="2.7574257425742572"/>
    <n v="0.16685288640595902"/>
  </r>
  <r>
    <n v="138"/>
    <n v="122"/>
    <x v="137"/>
    <x v="0"/>
    <n v="747"/>
    <n v="747"/>
    <n v="2564"/>
    <n v="66"/>
    <s v="Industrials"/>
    <n v="0"/>
    <n v="2.5741029641185648E-2"/>
  </r>
  <r>
    <n v="139"/>
    <n v="123"/>
    <x v="138"/>
    <x v="11"/>
    <n v="743"/>
    <n v="744"/>
    <n v="420"/>
    <n v="13"/>
    <s v="Telecommunications"/>
    <n v="-1.3440860215053765E-3"/>
    <n v="3.0952380952380953E-2"/>
  </r>
  <r>
    <n v="140"/>
    <n v="125"/>
    <x v="139"/>
    <x v="11"/>
    <n v="733"/>
    <n v="733"/>
    <n v="121"/>
    <n v="16"/>
    <s v="Consumer Non-Cyclicals"/>
    <n v="0"/>
    <n v="0.13223140495867769"/>
  </r>
  <r>
    <n v="141"/>
    <n v="151"/>
    <x v="140"/>
    <x v="2"/>
    <n v="702"/>
    <n v="541"/>
    <n v="322"/>
    <n v="70"/>
    <s v="Finance"/>
    <n v="0.29759704251386321"/>
    <n v="0.21739130434782608"/>
  </r>
  <r>
    <n v="142"/>
    <n v="135"/>
    <x v="141"/>
    <x v="4"/>
    <n v="699"/>
    <n v="657"/>
    <n v="337"/>
    <n v="94"/>
    <s v="Finance"/>
    <n v="6.3926940639269403E-2"/>
    <n v="0.27893175074183979"/>
  </r>
  <r>
    <n v="143"/>
    <n v="172"/>
    <x v="142"/>
    <x v="0"/>
    <n v="696"/>
    <n v="453"/>
    <n v="224"/>
    <n v="36"/>
    <s v="Non-Energy Materials"/>
    <n v="0.53642384105960261"/>
    <n v="0.16071428571428573"/>
  </r>
  <r>
    <n v="144"/>
    <n v="202"/>
    <x v="143"/>
    <x v="0"/>
    <n v="691"/>
    <n v="368"/>
    <n v="823"/>
    <n v="69"/>
    <s v="Consumer Services"/>
    <n v="0.87771739130434778"/>
    <n v="8.3839611178614826E-2"/>
  </r>
  <r>
    <n v="145"/>
    <n v="117"/>
    <x v="144"/>
    <x v="0"/>
    <n v="688"/>
    <n v="816"/>
    <n v="5248"/>
    <n v="108"/>
    <s v="Consumer Non-Cyclicals"/>
    <n v="-0.15686274509803921"/>
    <n v="2.0579268292682928E-2"/>
  </r>
  <r>
    <n v="146"/>
    <n v="177"/>
    <x v="145"/>
    <x v="8"/>
    <n v="686"/>
    <n v="443"/>
    <n v="420"/>
    <n v="122"/>
    <s v="Finance"/>
    <n v="0.54853273137697522"/>
    <n v="0.2904761904761905"/>
  </r>
  <r>
    <n v="147"/>
    <s v="new"/>
    <x v="146"/>
    <x v="6"/>
    <n v="683"/>
    <m/>
    <m/>
    <m/>
    <s v="Industrials"/>
    <e v="#DIV/0!"/>
    <m/>
  </r>
  <r>
    <n v="148"/>
    <n v="160"/>
    <x v="147"/>
    <x v="0"/>
    <n v="680"/>
    <n v="493"/>
    <n v="400"/>
    <n v="45"/>
    <s v="Consumer Non-Cyclicals"/>
    <n v="0.37931034482758619"/>
    <n v="0.1125"/>
  </r>
  <r>
    <n v="149"/>
    <n v="136"/>
    <x v="148"/>
    <x v="0"/>
    <n v="664"/>
    <n v="657"/>
    <n v="173"/>
    <n v="49"/>
    <s v="Finance"/>
    <n v="1.06544901065449E-2"/>
    <n v="0.2832369942196532"/>
  </r>
  <r>
    <n v="150"/>
    <n v="129"/>
    <x v="149"/>
    <x v="1"/>
    <n v="656"/>
    <n v="708"/>
    <n v="625"/>
    <n v="109"/>
    <s v="Finance"/>
    <n v="-7.3446327683615822E-2"/>
    <n v="0.1744"/>
  </r>
  <r>
    <n v="151"/>
    <n v="183"/>
    <x v="150"/>
    <x v="5"/>
    <n v="636"/>
    <n v="434"/>
    <n v="172"/>
    <n v="24"/>
    <s v="Consumer Non-Cyclicals"/>
    <n v="0.46543778801843316"/>
    <n v="0.13953488372093023"/>
  </r>
  <r>
    <n v="152"/>
    <n v="145"/>
    <x v="151"/>
    <x v="3"/>
    <n v="633"/>
    <n v="589"/>
    <n v="1601"/>
    <n v="283"/>
    <s v="Finance"/>
    <n v="7.4702886247877756E-2"/>
    <n v="0.17676452217364147"/>
  </r>
  <r>
    <n v="153"/>
    <n v="153"/>
    <x v="152"/>
    <x v="0"/>
    <n v="630"/>
    <n v="525"/>
    <n v="505"/>
    <n v="43"/>
    <s v="Healthcare"/>
    <n v="0.2"/>
    <n v="8.5148514851485155E-2"/>
  </r>
  <r>
    <n v="154"/>
    <n v="149"/>
    <x v="153"/>
    <x v="2"/>
    <n v="618"/>
    <n v="555"/>
    <n v="683"/>
    <n v="67"/>
    <s v="Finance"/>
    <n v="0.11351351351351352"/>
    <n v="9.8096632503660325E-2"/>
  </r>
  <r>
    <n v="155"/>
    <n v="120"/>
    <x v="154"/>
    <x v="10"/>
    <n v="616"/>
    <n v="783"/>
    <n v="817"/>
    <n v="27"/>
    <s v="Consumer Non-Cyclicals"/>
    <n v="-0.21328224776500637"/>
    <n v="3.3047735618115054E-2"/>
  </r>
  <r>
    <n v="156"/>
    <n v="209"/>
    <x v="155"/>
    <x v="0"/>
    <n v="604"/>
    <n v="355"/>
    <n v="4109"/>
    <n v="3"/>
    <s v="Technology"/>
    <n v="0.70140845070422531"/>
    <n v="7.3010464833292768E-4"/>
  </r>
  <r>
    <n v="157"/>
    <n v="179"/>
    <x v="156"/>
    <x v="1"/>
    <n v="588"/>
    <n v="438"/>
    <n v="402"/>
    <n v="39"/>
    <s v="Finance"/>
    <n v="0.34246575342465752"/>
    <n v="9.7014925373134331E-2"/>
  </r>
  <r>
    <n v="158"/>
    <n v="156"/>
    <x v="157"/>
    <x v="11"/>
    <n v="582"/>
    <n v="505"/>
    <n v="485"/>
    <n v="125"/>
    <s v="Finance"/>
    <n v="0.15247524752475247"/>
    <n v="0.25773195876288657"/>
  </r>
  <r>
    <n v="159"/>
    <n v="176"/>
    <x v="158"/>
    <x v="4"/>
    <n v="578"/>
    <n v="447"/>
    <n v="2147"/>
    <n v="296"/>
    <s v="Non-Energy Materials"/>
    <n v="0.29306487695749439"/>
    <n v="0.13786679087098277"/>
  </r>
  <r>
    <n v="160"/>
    <n v="161"/>
    <x v="159"/>
    <x v="13"/>
    <n v="577"/>
    <n v="492"/>
    <n v="249"/>
    <n v="62"/>
    <s v="Finance"/>
    <n v="0.17276422764227642"/>
    <n v="0.24899598393574296"/>
  </r>
  <r>
    <n v="161"/>
    <n v="152"/>
    <x v="160"/>
    <x v="0"/>
    <n v="577"/>
    <n v="540"/>
    <n v="596"/>
    <n v="100"/>
    <s v="Non-Energy Materials"/>
    <n v="6.851851851851852E-2"/>
    <n v="0.16778523489932887"/>
  </r>
  <r>
    <n v="162"/>
    <n v="187"/>
    <x v="161"/>
    <x v="8"/>
    <n v="574"/>
    <n v="412"/>
    <n v="273"/>
    <n v="54"/>
    <s v="Telecommunications"/>
    <n v="0.39320388349514562"/>
    <n v="0.19780219780219779"/>
  </r>
  <r>
    <n v="163"/>
    <n v="141"/>
    <x v="162"/>
    <x v="0"/>
    <n v="569"/>
    <n v="633"/>
    <n v="646"/>
    <n v="52"/>
    <s v="Industrials"/>
    <n v="-0.10110584518167456"/>
    <n v="8.0495356037151702E-2"/>
  </r>
  <r>
    <n v="164"/>
    <n v="192"/>
    <x v="163"/>
    <x v="14"/>
    <n v="566"/>
    <n v="392"/>
    <n v="148"/>
    <n v="30"/>
    <s v="Telecommunications"/>
    <n v="0.44387755102040816"/>
    <n v="0.20270270270270271"/>
  </r>
  <r>
    <n v="165"/>
    <n v="215"/>
    <x v="164"/>
    <x v="4"/>
    <n v="548"/>
    <n v="339"/>
    <n v="405"/>
    <n v="82"/>
    <s v="Finance"/>
    <n v="0.61651917404129797"/>
    <n v="0.20246913580246914"/>
  </r>
  <r>
    <n v="166"/>
    <n v="180"/>
    <x v="165"/>
    <x v="8"/>
    <n v="543"/>
    <n v="436"/>
    <n v="205"/>
    <n v="60"/>
    <s v="Finance"/>
    <n v="0.24541284403669725"/>
    <n v="0.29268292682926828"/>
  </r>
  <r>
    <n v="167"/>
    <n v="195"/>
    <x v="166"/>
    <x v="14"/>
    <n v="542"/>
    <n v="387"/>
    <n v="152"/>
    <n v="44"/>
    <s v="Finance"/>
    <n v="0.4005167958656331"/>
    <n v="0.28947368421052633"/>
  </r>
  <r>
    <n v="168"/>
    <s v="new"/>
    <x v="167"/>
    <x v="0"/>
    <n v="541"/>
    <n v="246"/>
    <n v="422"/>
    <n v="18"/>
    <s v="Consumer Services"/>
    <n v="1.1991869918699187"/>
    <n v="4.2654028436018961E-2"/>
  </r>
  <r>
    <n v="169"/>
    <n v="181"/>
    <x v="168"/>
    <x v="5"/>
    <n v="540"/>
    <n v="435"/>
    <n v="342"/>
    <n v="66"/>
    <s v="Finance"/>
    <n v="0.2413793103448276"/>
    <n v="0.19298245614035087"/>
  </r>
  <r>
    <n v="170"/>
    <n v="158"/>
    <x v="169"/>
    <x v="2"/>
    <n v="534"/>
    <n v="500"/>
    <n v="512"/>
    <m/>
    <s v="Consumer Non-Cyclicals"/>
    <n v="6.8000000000000005E-2"/>
    <n v="0"/>
  </r>
  <r>
    <n v="171"/>
    <s v="new"/>
    <x v="170"/>
    <x v="7"/>
    <n v="531"/>
    <n v="196"/>
    <n v="53"/>
    <n v="16"/>
    <s v="Consumer Non-Cyclicals"/>
    <n v="1.7091836734693877"/>
    <n v="0.30188679245283018"/>
  </r>
  <r>
    <n v="172"/>
    <n v="190"/>
    <x v="171"/>
    <x v="3"/>
    <n v="529"/>
    <n v="401"/>
    <n v="2319"/>
    <n v="261"/>
    <s v="Finance"/>
    <n v="0.31920199501246882"/>
    <n v="0.11254851228978008"/>
  </r>
  <r>
    <n v="173"/>
    <s v="new"/>
    <x v="172"/>
    <x v="2"/>
    <n v="522"/>
    <m/>
    <n v="410"/>
    <m/>
    <s v="Industrials"/>
    <e v="#DIV/0!"/>
    <n v="0"/>
  </r>
  <r>
    <n v="174"/>
    <n v="167"/>
    <x v="173"/>
    <x v="2"/>
    <n v="520"/>
    <n v="469"/>
    <n v="48"/>
    <n v="38"/>
    <s v="Finance"/>
    <n v="0.10874200426439233"/>
    <n v="0.79166666666666663"/>
  </r>
  <r>
    <n v="175"/>
    <s v="new"/>
    <x v="174"/>
    <x v="4"/>
    <n v="518"/>
    <n v="370"/>
    <n v="758"/>
    <n v="132"/>
    <s v="Finance"/>
    <n v="0.4"/>
    <n v="0.17414248021108181"/>
  </r>
  <r>
    <n v="176"/>
    <n v="171"/>
    <x v="175"/>
    <x v="4"/>
    <n v="509"/>
    <n v="455"/>
    <n v="394"/>
    <n v="87"/>
    <s v="Finance"/>
    <n v="0.11868131868131868"/>
    <n v="0.22081218274111675"/>
  </r>
  <r>
    <n v="177"/>
    <n v="146"/>
    <x v="176"/>
    <x v="0"/>
    <n v="509"/>
    <n v="583"/>
    <n v="515"/>
    <n v="46"/>
    <s v="Consumer Non-Cyclicals"/>
    <n v="-0.12692967409948541"/>
    <n v="8.9320388349514557E-2"/>
  </r>
  <r>
    <n v="178"/>
    <n v="228"/>
    <x v="177"/>
    <x v="4"/>
    <n v="500"/>
    <n v="305"/>
    <n v="451"/>
    <n v="93"/>
    <s v="Non-Energy Materials"/>
    <n v="0.63934426229508201"/>
    <n v="0.20620842572062084"/>
  </r>
  <r>
    <n v="179"/>
    <n v="169"/>
    <x v="178"/>
    <x v="5"/>
    <n v="497"/>
    <n v="466"/>
    <n v="361"/>
    <n v="59"/>
    <s v="Finance"/>
    <n v="6.652360515021459E-2"/>
    <n v="0.16343490304709141"/>
  </r>
  <r>
    <n v="180"/>
    <n v="211"/>
    <x v="179"/>
    <x v="0"/>
    <n v="491"/>
    <n v="350"/>
    <n v="536"/>
    <n v="10"/>
    <s v="Industrials"/>
    <n v="0.40285714285714286"/>
    <n v="1.8656716417910446E-2"/>
  </r>
  <r>
    <n v="181"/>
    <n v="154"/>
    <x v="180"/>
    <x v="2"/>
    <n v="490"/>
    <n v="525"/>
    <n v="541"/>
    <n v="16"/>
    <s v="Consumer Non-Cyclicals"/>
    <n v="-6.6666666666666666E-2"/>
    <n v="2.9574861367837338E-2"/>
  </r>
  <r>
    <n v="182"/>
    <n v="162"/>
    <x v="181"/>
    <x v="1"/>
    <n v="472"/>
    <n v="490"/>
    <n v="298"/>
    <n v="82"/>
    <s v="Finance"/>
    <n v="-3.6734693877551024E-2"/>
    <n v="0.27516778523489932"/>
  </r>
  <r>
    <n v="183"/>
    <n v="155"/>
    <x v="182"/>
    <x v="0"/>
    <n v="471"/>
    <n v="518"/>
    <n v="818"/>
    <n v="43"/>
    <s v="Consumer Cyclicals"/>
    <n v="-9.0733590733590733E-2"/>
    <n v="5.256723716381418E-2"/>
  </r>
  <r>
    <n v="184"/>
    <n v="175"/>
    <x v="183"/>
    <x v="2"/>
    <n v="469"/>
    <n v="448"/>
    <n v="565"/>
    <n v="29"/>
    <s v="Consumer Cyclicals"/>
    <n v="4.6875E-2"/>
    <n v="5.1327433628318583E-2"/>
  </r>
  <r>
    <n v="185"/>
    <n v="157"/>
    <x v="184"/>
    <x v="3"/>
    <n v="467"/>
    <n v="504"/>
    <n v="673"/>
    <n v="54"/>
    <s v="Consumer Non-Cyclicals"/>
    <n v="-7.3412698412698416E-2"/>
    <n v="8.0237741456166425E-2"/>
  </r>
  <r>
    <n v="186"/>
    <n v="178"/>
    <x v="185"/>
    <x v="0"/>
    <n v="467"/>
    <n v="441"/>
    <n v="240"/>
    <n v="18"/>
    <s v="Consumer Non-Cyclicals"/>
    <n v="5.8956916099773243E-2"/>
    <n v="7.4999999999999997E-2"/>
  </r>
  <r>
    <n v="187"/>
    <n v="150"/>
    <x v="186"/>
    <x v="10"/>
    <n v="462"/>
    <n v="550"/>
    <n v="222"/>
    <n v="55"/>
    <s v="Finance"/>
    <n v="-0.16"/>
    <n v="0.24774774774774774"/>
  </r>
  <r>
    <n v="188"/>
    <n v="165"/>
    <x v="187"/>
    <x v="8"/>
    <n v="459"/>
    <n v="482"/>
    <s v="n/a"/>
    <m/>
    <s v="Finance"/>
    <n v="-4.7717842323651449E-2"/>
    <m/>
  </r>
  <r>
    <n v="189"/>
    <s v="bew"/>
    <x v="188"/>
    <x v="8"/>
    <n v="458"/>
    <n v="165"/>
    <n v="399"/>
    <n v="30"/>
    <s v="Consumer Non-Cyclicals"/>
    <n v="1.7757575757575759"/>
    <n v="7.5187969924812026E-2"/>
  </r>
  <r>
    <n v="190"/>
    <s v="new"/>
    <x v="189"/>
    <x v="0"/>
    <n v="455"/>
    <n v="259"/>
    <n v="546"/>
    <n v="60"/>
    <s v="Non-Energy Materials"/>
    <n v="0.7567567567567568"/>
    <n v="0.10989010989010989"/>
  </r>
  <r>
    <n v="191"/>
    <s v="new"/>
    <x v="190"/>
    <x v="7"/>
    <n v="449"/>
    <n v="4"/>
    <n v="7"/>
    <n v="1"/>
    <s v="Consumer Non-Cyclicals"/>
    <n v="111.25"/>
    <n v="0.14285714285714285"/>
  </r>
  <r>
    <n v="192"/>
    <n v="184"/>
    <x v="191"/>
    <x v="0"/>
    <n v="446"/>
    <n v="426"/>
    <n v="1070"/>
    <n v="31"/>
    <s v="Consumer Non-Cyclicals"/>
    <n v="4.6948356807511735E-2"/>
    <n v="2.897196261682243E-2"/>
  </r>
  <r>
    <n v="193"/>
    <n v="173"/>
    <x v="192"/>
    <x v="2"/>
    <n v="445"/>
    <n v="451"/>
    <n v="92"/>
    <m/>
    <s v="Finance"/>
    <n v="-1.3303769401330377E-2"/>
    <n v="0"/>
  </r>
  <r>
    <n v="194"/>
    <n v="168"/>
    <x v="193"/>
    <x v="4"/>
    <n v="438"/>
    <n v="468"/>
    <n v="126"/>
    <n v="14"/>
    <s v="Healthcare"/>
    <n v="-6.4102564102564097E-2"/>
    <n v="0.1111111111111111"/>
  </r>
  <r>
    <n v="195"/>
    <n v="166"/>
    <x v="194"/>
    <x v="10"/>
    <n v="434"/>
    <n v="472"/>
    <n v="365"/>
    <n v="60"/>
    <s v="Finance"/>
    <n v="-8.050847457627118E-2"/>
    <n v="0.16438356164383561"/>
  </r>
  <r>
    <n v="196"/>
    <n v="204"/>
    <x v="195"/>
    <x v="0"/>
    <n v="433"/>
    <n v="360"/>
    <n v="284"/>
    <n v="8"/>
    <s v="Consumer Services"/>
    <n v="0.20277777777777778"/>
    <n v="2.8169014084507043E-2"/>
  </r>
  <r>
    <n v="197"/>
    <n v="250"/>
    <x v="196"/>
    <x v="11"/>
    <n v="433"/>
    <n v="259"/>
    <n v="488"/>
    <n v="116"/>
    <s v="Finance"/>
    <n v="0.6718146718146718"/>
    <n v="0.23770491803278687"/>
  </r>
  <r>
    <n v="198"/>
    <n v="174"/>
    <x v="197"/>
    <x v="13"/>
    <n v="433"/>
    <n v="448"/>
    <n v="322"/>
    <n v="46"/>
    <s v="Finance"/>
    <n v="-3.3482142857142856E-2"/>
    <n v="0.14285714285714285"/>
  </r>
  <r>
    <n v="199"/>
    <n v="182"/>
    <x v="198"/>
    <x v="1"/>
    <n v="432"/>
    <n v="434"/>
    <n v="238"/>
    <n v="52"/>
    <s v="Consumer Non-Cyclicals"/>
    <n v="-4.608294930875576E-3"/>
    <n v="0.21848739495798319"/>
  </r>
  <r>
    <n v="200"/>
    <n v="199"/>
    <x v="199"/>
    <x v="3"/>
    <n v="431"/>
    <n v="377"/>
    <n v="393"/>
    <n v="47"/>
    <s v="Finance"/>
    <n v="0.14323607427055704"/>
    <n v="0.11959287531806616"/>
  </r>
  <r>
    <n v="201"/>
    <n v="223"/>
    <x v="200"/>
    <x v="4"/>
    <n v="428"/>
    <n v="317"/>
    <n v="4320"/>
    <n v="224"/>
    <s v="Non-Energy Materials"/>
    <n v="0.35015772870662459"/>
    <n v="5.185185185185185E-2"/>
  </r>
  <r>
    <n v="202"/>
    <n v="194"/>
    <x v="201"/>
    <x v="0"/>
    <n v="428"/>
    <n v="389"/>
    <n v="251"/>
    <n v="26"/>
    <s v="Finance"/>
    <n v="0.10025706940874037"/>
    <n v="0.10358565737051793"/>
  </r>
  <r>
    <n v="203"/>
    <n v="188"/>
    <x v="202"/>
    <x v="4"/>
    <n v="426"/>
    <n v="407"/>
    <n v="61"/>
    <n v="21"/>
    <s v="Finance"/>
    <n v="4.6683046683046681E-2"/>
    <n v="0.34426229508196721"/>
  </r>
  <r>
    <n v="204"/>
    <s v="new"/>
    <x v="203"/>
    <x v="5"/>
    <n v="411"/>
    <s v="n/a"/>
    <n v="189"/>
    <n v="50"/>
    <s v="Telecommunications"/>
    <e v="#VALUE!"/>
    <n v="0.26455026455026454"/>
  </r>
  <r>
    <n v="205"/>
    <n v="229"/>
    <x v="204"/>
    <x v="0"/>
    <n v="409"/>
    <n v="304"/>
    <n v="853"/>
    <n v="46"/>
    <s v="Industrials"/>
    <n v="0.34539473684210525"/>
    <n v="5.3927315357561546E-2"/>
  </r>
  <r>
    <n v="206"/>
    <n v="218"/>
    <x v="205"/>
    <x v="7"/>
    <n v="407"/>
    <n v="335"/>
    <n v="248"/>
    <n v="17"/>
    <s v="Consumer Non-Cyclicals"/>
    <n v="0.21492537313432836"/>
    <n v="6.8548387096774188E-2"/>
  </r>
  <r>
    <n v="207"/>
    <n v="205"/>
    <x v="206"/>
    <x v="14"/>
    <n v="402"/>
    <n v="359"/>
    <n v="126"/>
    <n v="31"/>
    <s v="Finance"/>
    <n v="0.11977715877437325"/>
    <n v="0.24603174603174602"/>
  </r>
  <r>
    <n v="208"/>
    <n v="220"/>
    <x v="207"/>
    <x v="0"/>
    <n v="384"/>
    <n v="326"/>
    <n v="1420"/>
    <n v="5"/>
    <s v="Industrials"/>
    <n v="0.17791411042944785"/>
    <n v="3.5211267605633804E-3"/>
  </r>
  <r>
    <n v="209"/>
    <s v="new"/>
    <x v="208"/>
    <x v="0"/>
    <n v="381"/>
    <n v="233"/>
    <n v="0"/>
    <n v="3"/>
    <s v="Energy"/>
    <n v="0.63519313304721026"/>
    <m/>
  </r>
  <r>
    <n v="210"/>
    <s v="new"/>
    <x v="209"/>
    <x v="3"/>
    <n v="375"/>
    <n v="181"/>
    <n v="404"/>
    <n v="3"/>
    <s v="Consumer Non-Cyclicals"/>
    <n v="1.0718232044198894"/>
    <n v="7.4257425742574254E-3"/>
  </r>
  <r>
    <n v="211"/>
    <n v="213"/>
    <x v="210"/>
    <x v="4"/>
    <n v="374"/>
    <n v="340"/>
    <n v="483"/>
    <n v="27"/>
    <s v="Consumer Non-Cyclicals"/>
    <n v="0.1"/>
    <n v="5.5900621118012424E-2"/>
  </r>
  <r>
    <n v="212"/>
    <n v="197"/>
    <x v="211"/>
    <x v="1"/>
    <n v="370"/>
    <n v="379"/>
    <n v="610"/>
    <n v="44"/>
    <s v="Finance"/>
    <n v="-2.3746701846965697E-2"/>
    <n v="7.2131147540983612E-2"/>
  </r>
  <r>
    <n v="213"/>
    <s v="new"/>
    <x v="212"/>
    <x v="8"/>
    <n v="370"/>
    <n v="246"/>
    <n v="163"/>
    <n v="53"/>
    <s v="Finance"/>
    <n v="0.50406504065040647"/>
    <n v="0.32515337423312884"/>
  </r>
  <r>
    <n v="214"/>
    <n v="185"/>
    <x v="213"/>
    <x v="9"/>
    <n v="362"/>
    <n v="423"/>
    <n v="213"/>
    <n v="74"/>
    <s v="Finance"/>
    <n v="-0.14420803782505912"/>
    <n v="0.34741784037558687"/>
  </r>
  <r>
    <n v="215"/>
    <n v="201"/>
    <x v="214"/>
    <x v="12"/>
    <n v="357"/>
    <n v="370"/>
    <n v="238"/>
    <n v="65"/>
    <s v="Finance"/>
    <n v="-3.5135135135135137E-2"/>
    <n v="0.27310924369747897"/>
  </r>
  <r>
    <n v="216"/>
    <n v="232"/>
    <x v="215"/>
    <x v="1"/>
    <n v="354"/>
    <n v="294"/>
    <n v="228"/>
    <n v="66"/>
    <s v="Finance"/>
    <n v="0.20408163265306123"/>
    <n v="0.28947368421052633"/>
  </r>
  <r>
    <n v="217"/>
    <s v="new"/>
    <x v="216"/>
    <x v="8"/>
    <n v="354"/>
    <n v="136"/>
    <n v="172"/>
    <n v="7"/>
    <s v="Consumer Cyclicals"/>
    <n v="1.6029411764705883"/>
    <n v="4.0697674418604654E-2"/>
  </r>
  <r>
    <n v="218"/>
    <n v="214"/>
    <x v="217"/>
    <x v="13"/>
    <n v="350"/>
    <n v="339"/>
    <n v="187"/>
    <n v="45"/>
    <s v="Finance"/>
    <n v="3.2448377581120944E-2"/>
    <n v="0.24064171122994651"/>
  </r>
  <r>
    <n v="219"/>
    <s v="new"/>
    <x v="218"/>
    <x v="3"/>
    <n v="343"/>
    <n v="210"/>
    <n v="91"/>
    <n v="34"/>
    <s v="Consumer Non-Cyclicals"/>
    <n v="0.6333333333333333"/>
    <n v="0.37362637362637363"/>
  </r>
  <r>
    <n v="220"/>
    <n v="236"/>
    <x v="219"/>
    <x v="4"/>
    <n v="343"/>
    <n v="281"/>
    <n v="475"/>
    <n v="130"/>
    <s v="Finance"/>
    <n v="0.2206405693950178"/>
    <n v="0.27368421052631581"/>
  </r>
  <r>
    <n v="221"/>
    <s v="new"/>
    <x v="220"/>
    <x v="0"/>
    <n v="342"/>
    <n v="212"/>
    <n v="71"/>
    <n v="55"/>
    <s v="Consumer Services"/>
    <n v="0.6132075471698113"/>
    <n v="0.77464788732394363"/>
  </r>
  <r>
    <n v="222"/>
    <n v="249"/>
    <x v="221"/>
    <x v="6"/>
    <n v="337"/>
    <n v="261"/>
    <n v="367"/>
    <n v="42"/>
    <s v="Finance"/>
    <n v="0.29118773946360155"/>
    <n v="0.11444141689373297"/>
  </r>
  <r>
    <n v="223"/>
    <s v="new"/>
    <x v="222"/>
    <x v="13"/>
    <n v="337"/>
    <n v="134"/>
    <n v="312"/>
    <n v="61"/>
    <s v="Finance"/>
    <n v="1.5149253731343284"/>
    <n v="0.19551282051282051"/>
  </r>
  <r>
    <n v="224"/>
    <s v="new"/>
    <x v="223"/>
    <x v="0"/>
    <n v="335"/>
    <n v="201"/>
    <n v="781"/>
    <n v="35"/>
    <s v="Non-Energy Materials"/>
    <n v="0.66666666666666663"/>
    <n v="4.4814340588988477E-2"/>
  </r>
  <r>
    <n v="225"/>
    <n v="147"/>
    <x v="224"/>
    <x v="7"/>
    <n v="333"/>
    <n v="570"/>
    <n v="257"/>
    <n v="98"/>
    <s v="Finance"/>
    <n v="-0.41578947368421054"/>
    <n v="0.38132295719844356"/>
  </r>
  <r>
    <n v="226"/>
    <n v="191"/>
    <x v="225"/>
    <x v="0"/>
    <n v="332"/>
    <n v="397"/>
    <n v="2487"/>
    <n v="21"/>
    <s v="Industrials"/>
    <n v="-0.16372795969773299"/>
    <n v="8.4439083232810616E-3"/>
  </r>
  <r>
    <n v="227"/>
    <s v="new"/>
    <x v="226"/>
    <x v="0"/>
    <n v="332"/>
    <n v="219"/>
    <n v="494"/>
    <n v="34"/>
    <s v="Industrials"/>
    <n v="0.51598173515981738"/>
    <n v="6.8825910931174086E-2"/>
  </r>
  <r>
    <n v="228"/>
    <n v="163"/>
    <x v="227"/>
    <x v="4"/>
    <n v="328"/>
    <n v="488"/>
    <n v="89"/>
    <n v="17"/>
    <s v="Consumer Non-Cyclicals"/>
    <n v="-0.32786885245901637"/>
    <n v="0.19101123595505617"/>
  </r>
  <r>
    <n v="229"/>
    <n v="225"/>
    <x v="228"/>
    <x v="4"/>
    <n v="324"/>
    <n v="308"/>
    <n v="603"/>
    <n v="46"/>
    <s v="Consumer Non-Cyclicals"/>
    <n v="5.1948051948051951E-2"/>
    <n v="7.6285240464344942E-2"/>
  </r>
  <r>
    <n v="230"/>
    <s v="new"/>
    <x v="229"/>
    <x v="0"/>
    <n v="323"/>
    <n v="227"/>
    <n v="228"/>
    <n v="22"/>
    <s v="Industrials"/>
    <n v="0.42290748898678415"/>
    <n v="9.6491228070175433E-2"/>
  </r>
  <r>
    <n v="231"/>
    <s v="new"/>
    <x v="230"/>
    <x v="3"/>
    <n v="320"/>
    <n v="176"/>
    <n v="115"/>
    <n v="46"/>
    <s v="Consumer Non-Cyclicals"/>
    <n v="0.81818181818181823"/>
    <n v="0.4"/>
  </r>
  <r>
    <n v="232"/>
    <s v="new"/>
    <x v="231"/>
    <x v="11"/>
    <n v="318"/>
    <n v="194"/>
    <n v="170"/>
    <n v="32"/>
    <s v="Non-Energy Materials"/>
    <n v="0.63917525773195871"/>
    <n v="0.18823529411764706"/>
  </r>
  <r>
    <n v="233"/>
    <n v="224"/>
    <x v="232"/>
    <x v="2"/>
    <n v="314"/>
    <n v="313"/>
    <n v="45"/>
    <n v="5"/>
    <s v="Non-Energy Materials"/>
    <n v="3.1948881789137379E-3"/>
    <n v="0.1111111111111111"/>
  </r>
  <r>
    <n v="234"/>
    <s v="new"/>
    <x v="233"/>
    <x v="0"/>
    <n v="313"/>
    <n v="131"/>
    <n v="545"/>
    <n v="113"/>
    <s v="Non-Energy Materials"/>
    <n v="1.3893129770992367"/>
    <n v="0.20733944954128442"/>
  </r>
  <r>
    <n v="235"/>
    <s v="new"/>
    <x v="234"/>
    <x v="7"/>
    <n v="312"/>
    <n v="63"/>
    <n v="87"/>
    <n v="12"/>
    <s v="Consumer Non-Cyclicals"/>
    <n v="3.9523809523809526"/>
    <n v="0.13793103448275862"/>
  </r>
  <r>
    <n v="236"/>
    <s v="new"/>
    <x v="235"/>
    <x v="15"/>
    <n v="310"/>
    <n v="93"/>
    <n v="343"/>
    <n v="51"/>
    <s v="Utilities"/>
    <n v="2.3333333333333335"/>
    <n v="0.14868804664723032"/>
  </r>
  <r>
    <n v="237"/>
    <s v="new"/>
    <x v="236"/>
    <x v="15"/>
    <n v="308"/>
    <n v="37"/>
    <n v="236"/>
    <n v="51"/>
    <s v="Consumer Non-Cyclicals"/>
    <n v="7.3243243243243246"/>
    <n v="0.21610169491525424"/>
  </r>
  <r>
    <n v="238"/>
    <s v="new"/>
    <x v="237"/>
    <x v="2"/>
    <n v="307"/>
    <n v="230"/>
    <n v="193"/>
    <n v="5"/>
    <s v="Consumer Non-Cyclicals"/>
    <n v="0.33478260869565218"/>
    <n v="2.5906735751295335E-2"/>
  </r>
  <r>
    <n v="239"/>
    <n v="227"/>
    <x v="238"/>
    <x v="0"/>
    <n v="303"/>
    <n v="306"/>
    <n v="676"/>
    <n v="21"/>
    <s v="Consumer Non-Cyclicals"/>
    <n v="-9.8039215686274508E-3"/>
    <n v="3.1065088757396449E-2"/>
  </r>
  <r>
    <n v="240"/>
    <n v="240"/>
    <x v="239"/>
    <x v="2"/>
    <n v="302"/>
    <n v="275"/>
    <n v="133"/>
    <n v="10"/>
    <s v="Finance"/>
    <n v="9.8181818181818176E-2"/>
    <n v="7.5187969924812026E-2"/>
  </r>
  <r>
    <n v="241"/>
    <s v="new"/>
    <x v="240"/>
    <x v="4"/>
    <n v="301"/>
    <n v="350"/>
    <n v="206"/>
    <n v="2"/>
    <s v="Consumer Services"/>
    <n v="-0.14000000000000001"/>
    <n v="9.7087378640776691E-3"/>
  </r>
  <r>
    <n v="242"/>
    <n v="198"/>
    <x v="241"/>
    <x v="1"/>
    <n v="301"/>
    <n v="378"/>
    <n v="342"/>
    <n v="76"/>
    <s v="Finance"/>
    <n v="-0.20370370370370369"/>
    <n v="0.22222222222222221"/>
  </r>
  <r>
    <n v="243"/>
    <n v="216"/>
    <x v="242"/>
    <x v="4"/>
    <n v="300"/>
    <n v="338"/>
    <n v="219"/>
    <n v="2"/>
    <s v="Non-Energy Materials"/>
    <n v="-0.11242603550295859"/>
    <n v="9.1324200913242004E-3"/>
  </r>
  <r>
    <n v="244"/>
    <s v="new"/>
    <x v="243"/>
    <x v="2"/>
    <n v="300"/>
    <n v="155"/>
    <n v="500"/>
    <n v="12"/>
    <s v="Non-Energy Materials"/>
    <n v="0.93548387096774188"/>
    <n v="2.4E-2"/>
  </r>
  <r>
    <n v="245"/>
    <s v="new"/>
    <x v="244"/>
    <x v="6"/>
    <n v="299"/>
    <n v="299"/>
    <s v="n/a"/>
    <m/>
    <s v="Industrials"/>
    <n v="0"/>
    <m/>
  </r>
  <r>
    <n v="246"/>
    <s v="new"/>
    <x v="245"/>
    <x v="5"/>
    <n v="298"/>
    <n v="155"/>
    <s v="n/a"/>
    <m/>
    <s v="Energy"/>
    <n v="0.92258064516129035"/>
    <m/>
  </r>
  <r>
    <n v="247"/>
    <n v="193"/>
    <x v="246"/>
    <x v="4"/>
    <n v="297"/>
    <n v="392"/>
    <n v="335"/>
    <n v="30"/>
    <s v="Consumer Non-Cyclicals"/>
    <n v="-0.2423469387755102"/>
    <n v="8.9552238805970144E-2"/>
  </r>
  <r>
    <n v="248"/>
    <s v="new"/>
    <x v="247"/>
    <x v="0"/>
    <n v="292"/>
    <n v="171"/>
    <n v="217"/>
    <n v="14"/>
    <s v="Consumer Cyclicals"/>
    <n v="0.70760233918128657"/>
    <n v="6.4516129032258063E-2"/>
  </r>
  <r>
    <n v="249"/>
    <n v="234"/>
    <x v="248"/>
    <x v="10"/>
    <n v="289"/>
    <n v="285"/>
    <n v="425"/>
    <m/>
    <s v="Consumer Non-Cyclicals"/>
    <n v="1.4035087719298246E-2"/>
    <n v="0"/>
  </r>
  <r>
    <n v="250"/>
    <n v="231"/>
    <x v="249"/>
    <x v="0"/>
    <n v="286"/>
    <n v="299"/>
    <n v="266"/>
    <n v="26"/>
    <s v="Consumer Non-Cyclicals"/>
    <n v="-4.3478260869565216E-2"/>
    <n v="9.7744360902255634E-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n v="27"/>
    <x v="0"/>
    <s v="789 27th Street"/>
    <x v="0"/>
    <x v="0"/>
    <n v="99999"/>
    <x v="0"/>
    <x v="0"/>
    <x v="0"/>
    <d v="2014-01-29T00:00:00"/>
    <s v="Shipping Company B"/>
    <s v="Karen Toh"/>
    <s v="789 27th Street"/>
    <x v="0"/>
    <s v="NV"/>
    <n v="99999"/>
    <s v="USA"/>
    <s v="Check"/>
    <x v="0"/>
    <x v="0"/>
    <n v="14"/>
    <n v="49"/>
    <x v="0"/>
    <n v="66.542000000000002"/>
  </r>
  <r>
    <n v="1002"/>
    <x v="0"/>
    <n v="27"/>
    <x v="0"/>
    <s v="789 27th Street"/>
    <x v="0"/>
    <x v="0"/>
    <n v="99999"/>
    <x v="0"/>
    <x v="0"/>
    <x v="0"/>
    <d v="2014-01-29T00:00:00"/>
    <s v="Shipping Company B"/>
    <s v="Karen Toh"/>
    <s v="789 27th Street"/>
    <x v="0"/>
    <s v="NV"/>
    <n v="99999"/>
    <s v="USA"/>
    <s v="Check"/>
    <x v="1"/>
    <x v="1"/>
    <n v="3.5"/>
    <n v="47"/>
    <x v="1"/>
    <n v="16.6145"/>
  </r>
  <r>
    <n v="1003"/>
    <x v="1"/>
    <n v="4"/>
    <x v="1"/>
    <s v="123 4th Street"/>
    <x v="1"/>
    <x v="1"/>
    <n v="99999"/>
    <x v="0"/>
    <x v="1"/>
    <x v="1"/>
    <d v="2014-01-06T00:00:00"/>
    <s v="Shipping Company A"/>
    <s v="Christina Lee"/>
    <s v="123 4th Street"/>
    <x v="1"/>
    <s v="NY"/>
    <n v="99999"/>
    <s v="USA"/>
    <s v="Credit Card"/>
    <x v="2"/>
    <x v="1"/>
    <n v="30"/>
    <n v="69"/>
    <x v="2"/>
    <n v="198.72"/>
  </r>
  <r>
    <n v="1004"/>
    <x v="1"/>
    <n v="4"/>
    <x v="1"/>
    <s v="123 4th Street"/>
    <x v="1"/>
    <x v="1"/>
    <n v="99999"/>
    <x v="0"/>
    <x v="1"/>
    <x v="1"/>
    <d v="2014-01-06T00:00:00"/>
    <s v="Shipping Company A"/>
    <s v="Christina Lee"/>
    <s v="123 4th Street"/>
    <x v="1"/>
    <s v="NY"/>
    <n v="99999"/>
    <s v="USA"/>
    <s v="Credit Card"/>
    <x v="3"/>
    <x v="1"/>
    <n v="53"/>
    <n v="89"/>
    <x v="3"/>
    <n v="448.11500000000001"/>
  </r>
  <r>
    <n v="1005"/>
    <x v="1"/>
    <n v="4"/>
    <x v="1"/>
    <s v="123 4th Street"/>
    <x v="1"/>
    <x v="1"/>
    <n v="99999"/>
    <x v="0"/>
    <x v="1"/>
    <x v="1"/>
    <d v="2014-01-06T00:00:00"/>
    <s v="Shipping Company A"/>
    <s v="Christina Lee"/>
    <s v="123 4th Street"/>
    <x v="1"/>
    <s v="NY"/>
    <n v="99999"/>
    <s v="USA"/>
    <s v="Credit Card"/>
    <x v="1"/>
    <x v="1"/>
    <n v="3.5"/>
    <n v="11"/>
    <x v="4"/>
    <n v="3.7345000000000002"/>
  </r>
  <r>
    <n v="1006"/>
    <x v="2"/>
    <n v="12"/>
    <x v="2"/>
    <s v="123 12th Street"/>
    <x v="0"/>
    <x v="0"/>
    <n v="99999"/>
    <x v="0"/>
    <x v="0"/>
    <x v="0"/>
    <d v="2014-01-14T00:00:00"/>
    <s v="Shipping Company B"/>
    <s v="John Edwards"/>
    <s v="123 12th Street"/>
    <x v="0"/>
    <s v="NV"/>
    <n v="99999"/>
    <s v="USA"/>
    <s v="Credit Card"/>
    <x v="4"/>
    <x v="0"/>
    <n v="18"/>
    <n v="81"/>
    <x v="5"/>
    <n v="141.42600000000002"/>
  </r>
  <r>
    <n v="1007"/>
    <x v="2"/>
    <n v="12"/>
    <x v="2"/>
    <s v="123 12th Street"/>
    <x v="0"/>
    <x v="0"/>
    <n v="99999"/>
    <x v="0"/>
    <x v="0"/>
    <x v="0"/>
    <d v="2014-01-14T00:00:00"/>
    <s v="Shipping Company B"/>
    <s v="John Edwards"/>
    <s v="123 12th Street"/>
    <x v="0"/>
    <s v="NV"/>
    <n v="99999"/>
    <s v="USA"/>
    <s v="Credit Card"/>
    <x v="5"/>
    <x v="0"/>
    <n v="46"/>
    <n v="44"/>
    <x v="6"/>
    <n v="198.352"/>
  </r>
  <r>
    <n v="1008"/>
    <x v="3"/>
    <n v="8"/>
    <x v="3"/>
    <s v="123 8th Street"/>
    <x v="2"/>
    <x v="2"/>
    <n v="99999"/>
    <x v="0"/>
    <x v="2"/>
    <x v="2"/>
    <d v="2014-01-10T00:00:00"/>
    <s v="Shipping Company C"/>
    <s v="Elizabeth Andersen"/>
    <s v="123 8th Street"/>
    <x v="2"/>
    <s v="OR"/>
    <n v="99999"/>
    <s v="USA"/>
    <s v="Credit Card"/>
    <x v="6"/>
    <x v="2"/>
    <n v="9.1999999999999993"/>
    <n v="38"/>
    <x v="7"/>
    <n v="36.008800000000001"/>
  </r>
  <r>
    <n v="1009"/>
    <x v="1"/>
    <n v="4"/>
    <x v="1"/>
    <s v="123 4th Street"/>
    <x v="1"/>
    <x v="1"/>
    <n v="99999"/>
    <x v="0"/>
    <x v="1"/>
    <x v="1"/>
    <d v="2014-01-06T00:00:00"/>
    <s v="Shipping Company C"/>
    <s v="Christina Lee"/>
    <s v="123 4th Street"/>
    <x v="1"/>
    <s v="NY"/>
    <n v="99999"/>
    <s v="USA"/>
    <s v="Check"/>
    <x v="6"/>
    <x v="2"/>
    <n v="9.1999999999999993"/>
    <n v="88"/>
    <x v="8"/>
    <n v="79.340799999999987"/>
  </r>
  <r>
    <n v="1010"/>
    <x v="4"/>
    <n v="29"/>
    <x v="4"/>
    <s v="789 29th Street"/>
    <x v="3"/>
    <x v="3"/>
    <n v="99999"/>
    <x v="0"/>
    <x v="3"/>
    <x v="0"/>
    <d v="2014-01-31T00:00:00"/>
    <s v="Shipping Company B"/>
    <s v="Soo Jung Lee"/>
    <s v="789 29th Street"/>
    <x v="3"/>
    <s v="CO"/>
    <n v="99999"/>
    <s v="USA"/>
    <s v="Check"/>
    <x v="7"/>
    <x v="3"/>
    <n v="12.75"/>
    <n v="94"/>
    <x v="9"/>
    <n v="122.24700000000001"/>
  </r>
  <r>
    <n v="1011"/>
    <x v="5"/>
    <n v="3"/>
    <x v="5"/>
    <s v="123 3rd Street"/>
    <x v="4"/>
    <x v="4"/>
    <n v="99999"/>
    <x v="0"/>
    <x v="0"/>
    <x v="0"/>
    <d v="2014-01-05T00:00:00"/>
    <s v="Shipping Company B"/>
    <s v="Thomas Axerr"/>
    <s v="123 3rd Street"/>
    <x v="4"/>
    <s v="CA"/>
    <n v="99999"/>
    <s v="USA"/>
    <s v="Cash"/>
    <x v="8"/>
    <x v="4"/>
    <n v="9.65"/>
    <n v="91"/>
    <x v="10"/>
    <n v="92.205749999999995"/>
  </r>
  <r>
    <n v="1012"/>
    <x v="6"/>
    <n v="6"/>
    <x v="6"/>
    <s v="123 6th Street"/>
    <x v="5"/>
    <x v="5"/>
    <n v="99999"/>
    <x v="0"/>
    <x v="4"/>
    <x v="2"/>
    <d v="2014-01-08T00:00:00"/>
    <s v="Shipping Company B"/>
    <s v="Francisco Pérez-Olaeta"/>
    <s v="123 6th Street"/>
    <x v="5"/>
    <s v="WI"/>
    <n v="99999"/>
    <s v="USA"/>
    <s v="Credit Card"/>
    <x v="9"/>
    <x v="5"/>
    <n v="40"/>
    <n v="32"/>
    <x v="11"/>
    <n v="133.12"/>
  </r>
  <r>
    <n v="1013"/>
    <x v="7"/>
    <n v="28"/>
    <x v="7"/>
    <s v="789 28th Street"/>
    <x v="6"/>
    <x v="6"/>
    <n v="99999"/>
    <x v="0"/>
    <x v="5"/>
    <x v="3"/>
    <d v="2014-01-30T00:00:00"/>
    <s v="Shipping Company C"/>
    <s v="Amritansh Raghav"/>
    <s v="789 28th Street"/>
    <x v="6"/>
    <s v="TN"/>
    <n v="99999"/>
    <s v="USA"/>
    <s v="Check"/>
    <x v="5"/>
    <x v="0"/>
    <n v="46"/>
    <n v="55"/>
    <x v="12"/>
    <n v="253"/>
  </r>
  <r>
    <n v="1014"/>
    <x v="3"/>
    <n v="8"/>
    <x v="3"/>
    <s v="123 8th Street"/>
    <x v="2"/>
    <x v="2"/>
    <n v="99999"/>
    <x v="0"/>
    <x v="2"/>
    <x v="2"/>
    <d v="2014-01-10T00:00:00"/>
    <s v="Shipping Company C"/>
    <s v="Elizabeth Andersen"/>
    <s v="123 8th Street"/>
    <x v="2"/>
    <s v="OR"/>
    <n v="99999"/>
    <s v="USA"/>
    <s v="Check"/>
    <x v="7"/>
    <x v="3"/>
    <n v="12.75"/>
    <n v="47"/>
    <x v="13"/>
    <n v="61.722750000000005"/>
  </r>
  <r>
    <n v="1015"/>
    <x v="8"/>
    <n v="10"/>
    <x v="8"/>
    <s v="123 10th Street"/>
    <x v="7"/>
    <x v="7"/>
    <n v="99999"/>
    <x v="0"/>
    <x v="6"/>
    <x v="1"/>
    <d v="2014-01-12T00:00:00"/>
    <s v="Shipping Company B"/>
    <s v="Roland Wacker"/>
    <s v="123 10th Street"/>
    <x v="7"/>
    <s v="IL"/>
    <n v="99999"/>
    <s v="USA"/>
    <s v="Credit Card"/>
    <x v="10"/>
    <x v="0"/>
    <n v="2.99"/>
    <n v="90"/>
    <x v="14"/>
    <n v="27.717300000000005"/>
  </r>
  <r>
    <n v="1016"/>
    <x v="9"/>
    <n v="7"/>
    <x v="9"/>
    <s v="123 7th Street"/>
    <x v="8"/>
    <x v="8"/>
    <n v="99999"/>
    <x v="0"/>
    <x v="2"/>
    <x v="2"/>
    <m/>
    <m/>
    <s v="Ming-Yang Xie"/>
    <s v="123 7th Street"/>
    <x v="8"/>
    <s v="ID"/>
    <n v="99999"/>
    <s v="USA"/>
    <m/>
    <x v="5"/>
    <x v="0"/>
    <n v="46"/>
    <n v="24"/>
    <x v="15"/>
    <n v="110.4"/>
  </r>
  <r>
    <n v="1017"/>
    <x v="8"/>
    <n v="10"/>
    <x v="8"/>
    <s v="123 10th Street"/>
    <x v="7"/>
    <x v="7"/>
    <n v="99999"/>
    <x v="0"/>
    <x v="6"/>
    <x v="1"/>
    <d v="2014-01-12T00:00:00"/>
    <s v="Shipping Company A"/>
    <s v="Roland Wacker"/>
    <s v="123 10th Street"/>
    <x v="7"/>
    <s v="IL"/>
    <n v="99999"/>
    <s v="USA"/>
    <m/>
    <x v="11"/>
    <x v="6"/>
    <n v="25"/>
    <n v="34"/>
    <x v="16"/>
    <n v="80.75"/>
  </r>
  <r>
    <n v="1018"/>
    <x v="8"/>
    <n v="10"/>
    <x v="8"/>
    <s v="123 10th Street"/>
    <x v="7"/>
    <x v="7"/>
    <n v="99999"/>
    <x v="0"/>
    <x v="6"/>
    <x v="1"/>
    <d v="2014-01-12T00:00:00"/>
    <s v="Shipping Company A"/>
    <s v="Roland Wacker"/>
    <s v="123 10th Street"/>
    <x v="7"/>
    <s v="IL"/>
    <n v="99999"/>
    <s v="USA"/>
    <m/>
    <x v="12"/>
    <x v="7"/>
    <n v="22"/>
    <n v="17"/>
    <x v="17"/>
    <n v="35.903999999999996"/>
  </r>
  <r>
    <n v="1019"/>
    <x v="8"/>
    <n v="10"/>
    <x v="8"/>
    <s v="123 10th Street"/>
    <x v="7"/>
    <x v="7"/>
    <n v="99999"/>
    <x v="0"/>
    <x v="6"/>
    <x v="1"/>
    <d v="2014-01-12T00:00:00"/>
    <s v="Shipping Company A"/>
    <s v="Roland Wacker"/>
    <s v="123 10th Street"/>
    <x v="7"/>
    <s v="IL"/>
    <n v="99999"/>
    <s v="USA"/>
    <m/>
    <x v="6"/>
    <x v="2"/>
    <n v="9.1999999999999993"/>
    <n v="44"/>
    <x v="18"/>
    <n v="42.099199999999996"/>
  </r>
  <r>
    <n v="1020"/>
    <x v="10"/>
    <n v="11"/>
    <x v="10"/>
    <s v="123 11th Street"/>
    <x v="9"/>
    <x v="9"/>
    <n v="99999"/>
    <x v="0"/>
    <x v="5"/>
    <x v="3"/>
    <m/>
    <s v="Shipping Company C"/>
    <s v="Peter Krschne"/>
    <s v="123 11th Street"/>
    <x v="9"/>
    <s v="FL"/>
    <n v="99999"/>
    <s v="USA"/>
    <m/>
    <x v="1"/>
    <x v="1"/>
    <n v="3.5"/>
    <n v="81"/>
    <x v="19"/>
    <n v="27.499500000000001"/>
  </r>
  <r>
    <n v="1021"/>
    <x v="10"/>
    <n v="11"/>
    <x v="10"/>
    <s v="123 11th Street"/>
    <x v="9"/>
    <x v="9"/>
    <n v="99999"/>
    <x v="0"/>
    <x v="5"/>
    <x v="3"/>
    <m/>
    <s v="Shipping Company C"/>
    <s v="Peter Krschne"/>
    <s v="123 11th Street"/>
    <x v="9"/>
    <s v="FL"/>
    <n v="99999"/>
    <s v="USA"/>
    <m/>
    <x v="10"/>
    <x v="0"/>
    <n v="2.99"/>
    <n v="49"/>
    <x v="20"/>
    <n v="15.090530000000005"/>
  </r>
  <r>
    <n v="1022"/>
    <x v="11"/>
    <n v="1"/>
    <x v="11"/>
    <s v="123 1st Street"/>
    <x v="10"/>
    <x v="10"/>
    <n v="99999"/>
    <x v="0"/>
    <x v="2"/>
    <x v="2"/>
    <m/>
    <m/>
    <s v="Anna Bedecs"/>
    <s v="123 1st Street"/>
    <x v="10"/>
    <s v="WA"/>
    <n v="99999"/>
    <s v="USA"/>
    <m/>
    <x v="4"/>
    <x v="0"/>
    <n v="18"/>
    <n v="42"/>
    <x v="21"/>
    <n v="75.600000000000009"/>
  </r>
  <r>
    <n v="1023"/>
    <x v="11"/>
    <n v="1"/>
    <x v="11"/>
    <s v="123 1st Street"/>
    <x v="10"/>
    <x v="10"/>
    <n v="99999"/>
    <x v="0"/>
    <x v="2"/>
    <x v="2"/>
    <m/>
    <m/>
    <s v="Anna Bedecs"/>
    <s v="123 1st Street"/>
    <x v="10"/>
    <s v="WA"/>
    <n v="99999"/>
    <s v="USA"/>
    <m/>
    <x v="5"/>
    <x v="0"/>
    <n v="46"/>
    <n v="58"/>
    <x v="22"/>
    <n v="269.46800000000002"/>
  </r>
  <r>
    <n v="1024"/>
    <x v="11"/>
    <n v="1"/>
    <x v="11"/>
    <s v="123 1st Street"/>
    <x v="10"/>
    <x v="10"/>
    <n v="99999"/>
    <x v="0"/>
    <x v="2"/>
    <x v="2"/>
    <m/>
    <m/>
    <s v="Anna Bedecs"/>
    <s v="123 1st Street"/>
    <x v="10"/>
    <s v="WA"/>
    <n v="99999"/>
    <s v="USA"/>
    <m/>
    <x v="10"/>
    <x v="0"/>
    <n v="2.99"/>
    <n v="67"/>
    <x v="23"/>
    <n v="20.033000000000001"/>
  </r>
  <r>
    <n v="1025"/>
    <x v="7"/>
    <n v="28"/>
    <x v="7"/>
    <s v="789 28th Street"/>
    <x v="6"/>
    <x v="6"/>
    <n v="99999"/>
    <x v="0"/>
    <x v="5"/>
    <x v="3"/>
    <d v="2014-01-30T00:00:00"/>
    <s v="Shipping Company C"/>
    <s v="Amritansh Raghav"/>
    <s v="789 28th Street"/>
    <x v="6"/>
    <s v="TN"/>
    <n v="99999"/>
    <s v="USA"/>
    <s v="Credit Card"/>
    <x v="8"/>
    <x v="4"/>
    <n v="9.65"/>
    <n v="100"/>
    <x v="24"/>
    <n v="93.605000000000004"/>
  </r>
  <r>
    <n v="1026"/>
    <x v="7"/>
    <n v="28"/>
    <x v="7"/>
    <s v="789 28th Street"/>
    <x v="6"/>
    <x v="6"/>
    <n v="99999"/>
    <x v="0"/>
    <x v="5"/>
    <x v="3"/>
    <d v="2014-01-30T00:00:00"/>
    <s v="Shipping Company C"/>
    <s v="Amritansh Raghav"/>
    <s v="789 28th Street"/>
    <x v="6"/>
    <s v="TN"/>
    <n v="99999"/>
    <s v="USA"/>
    <s v="Credit Card"/>
    <x v="13"/>
    <x v="8"/>
    <n v="18.399999999999999"/>
    <n v="63"/>
    <x v="25"/>
    <n v="114.76079999999999"/>
  </r>
  <r>
    <n v="1027"/>
    <x v="12"/>
    <n v="9"/>
    <x v="12"/>
    <s v="123 9th Street"/>
    <x v="11"/>
    <x v="11"/>
    <n v="99999"/>
    <x v="0"/>
    <x v="7"/>
    <x v="0"/>
    <d v="2014-01-11T00:00:00"/>
    <s v="Shipping Company A"/>
    <s v="Sven Mortensen"/>
    <s v="123 9th Street"/>
    <x v="11"/>
    <s v="UT"/>
    <n v="99999"/>
    <s v="USA"/>
    <s v="Check"/>
    <x v="14"/>
    <x v="9"/>
    <n v="19.5"/>
    <n v="57"/>
    <x v="26"/>
    <n v="110.0385"/>
  </r>
  <r>
    <n v="1028"/>
    <x v="12"/>
    <n v="9"/>
    <x v="12"/>
    <s v="123 9th Street"/>
    <x v="11"/>
    <x v="11"/>
    <n v="99999"/>
    <x v="0"/>
    <x v="7"/>
    <x v="0"/>
    <d v="2014-01-11T00:00:00"/>
    <s v="Shipping Company A"/>
    <s v="Sven Mortensen"/>
    <s v="123 9th Street"/>
    <x v="11"/>
    <s v="UT"/>
    <n v="99999"/>
    <s v="USA"/>
    <s v="Check"/>
    <x v="15"/>
    <x v="10"/>
    <n v="34.799999999999997"/>
    <n v="81"/>
    <x v="27"/>
    <n v="295.97399999999999"/>
  </r>
  <r>
    <n v="1029"/>
    <x v="6"/>
    <n v="6"/>
    <x v="6"/>
    <s v="123 6th Street"/>
    <x v="5"/>
    <x v="5"/>
    <n v="99999"/>
    <x v="0"/>
    <x v="4"/>
    <x v="2"/>
    <d v="2014-01-08T00:00:00"/>
    <s v="Shipping Company B"/>
    <s v="Francisco Pérez-Olaeta"/>
    <s v="123 6th Street"/>
    <x v="5"/>
    <s v="WI"/>
    <n v="99999"/>
    <s v="USA"/>
    <s v="Credit Card"/>
    <x v="0"/>
    <x v="0"/>
    <n v="14"/>
    <n v="71"/>
    <x v="28"/>
    <n v="95.424000000000007"/>
  </r>
  <r>
    <n v="1030"/>
    <x v="13"/>
    <n v="8"/>
    <x v="3"/>
    <s v="123 8th Street"/>
    <x v="2"/>
    <x v="2"/>
    <n v="99999"/>
    <x v="0"/>
    <x v="2"/>
    <x v="2"/>
    <d v="2014-02-10T00:00:00"/>
    <s v="Shipping Company B"/>
    <s v="Elizabeth Andersen"/>
    <s v="123 8th Street"/>
    <x v="2"/>
    <s v="OR"/>
    <n v="99999"/>
    <s v="USA"/>
    <s v="Check"/>
    <x v="9"/>
    <x v="5"/>
    <n v="40"/>
    <n v="32"/>
    <x v="11"/>
    <n v="129.28"/>
  </r>
  <r>
    <n v="1031"/>
    <x v="14"/>
    <n v="3"/>
    <x v="5"/>
    <s v="123 3rd Street"/>
    <x v="4"/>
    <x v="4"/>
    <n v="99999"/>
    <x v="0"/>
    <x v="0"/>
    <x v="0"/>
    <d v="2014-02-05T00:00:00"/>
    <s v="Shipping Company B"/>
    <s v="Thomas Axerr"/>
    <s v="123 3rd Street"/>
    <x v="4"/>
    <s v="CA"/>
    <n v="99999"/>
    <s v="USA"/>
    <s v="Cash"/>
    <x v="16"/>
    <x v="7"/>
    <n v="10"/>
    <n v="63"/>
    <x v="29"/>
    <n v="65.52"/>
  </r>
  <r>
    <n v="1032"/>
    <x v="14"/>
    <n v="3"/>
    <x v="5"/>
    <s v="123 3rd Street"/>
    <x v="4"/>
    <x v="4"/>
    <n v="99999"/>
    <x v="0"/>
    <x v="0"/>
    <x v="0"/>
    <d v="2014-02-05T00:00:00"/>
    <s v="Shipping Company B"/>
    <s v="Thomas Axerr"/>
    <s v="123 3rd Street"/>
    <x v="4"/>
    <s v="CA"/>
    <n v="99999"/>
    <s v="USA"/>
    <s v="Cash"/>
    <x v="9"/>
    <x v="5"/>
    <n v="40"/>
    <n v="30"/>
    <x v="30"/>
    <n v="120"/>
  </r>
  <r>
    <n v="1033"/>
    <x v="15"/>
    <n v="6"/>
    <x v="6"/>
    <s v="123 6th Street"/>
    <x v="5"/>
    <x v="5"/>
    <n v="99999"/>
    <x v="0"/>
    <x v="4"/>
    <x v="2"/>
    <d v="2014-02-08T00:00:00"/>
    <s v="Shipping Company B"/>
    <s v="Francisco Pérez-Olaeta"/>
    <s v="123 6th Street"/>
    <x v="5"/>
    <s v="WI"/>
    <n v="99999"/>
    <s v="USA"/>
    <s v="Credit Card"/>
    <x v="17"/>
    <x v="11"/>
    <m/>
    <m/>
    <x v="31"/>
    <n v="43"/>
  </r>
  <r>
    <n v="1034"/>
    <x v="16"/>
    <n v="28"/>
    <x v="7"/>
    <s v="789 28th Street"/>
    <x v="6"/>
    <x v="6"/>
    <n v="99999"/>
    <x v="0"/>
    <x v="5"/>
    <x v="3"/>
    <d v="2014-03-02T00:00:00"/>
    <s v="Shipping Company C"/>
    <s v="Amritansh Raghav"/>
    <s v="789 28th Street"/>
    <x v="6"/>
    <s v="TN"/>
    <n v="99999"/>
    <s v="USA"/>
    <s v="Check"/>
    <x v="17"/>
    <x v="11"/>
    <m/>
    <m/>
    <x v="31"/>
    <n v="31"/>
  </r>
  <r>
    <n v="1035"/>
    <x v="13"/>
    <n v="8"/>
    <x v="3"/>
    <s v="123 8th Street"/>
    <x v="2"/>
    <x v="2"/>
    <n v="99999"/>
    <x v="0"/>
    <x v="2"/>
    <x v="2"/>
    <d v="2014-02-10T00:00:00"/>
    <s v="Shipping Company C"/>
    <s v="Elizabeth Andersen"/>
    <s v="123 8th Street"/>
    <x v="2"/>
    <s v="OR"/>
    <n v="99999"/>
    <s v="USA"/>
    <s v="Check"/>
    <x v="17"/>
    <x v="11"/>
    <m/>
    <m/>
    <x v="31"/>
    <n v="46"/>
  </r>
  <r>
    <n v="1036"/>
    <x v="17"/>
    <n v="10"/>
    <x v="8"/>
    <s v="123 10th Street"/>
    <x v="7"/>
    <x v="7"/>
    <n v="99999"/>
    <x v="0"/>
    <x v="6"/>
    <x v="1"/>
    <d v="2014-02-12T00:00:00"/>
    <s v="Shipping Company B"/>
    <s v="Roland Wacker"/>
    <s v="123 10th Street"/>
    <x v="7"/>
    <s v="IL"/>
    <n v="99999"/>
    <s v="USA"/>
    <s v="Credit Card"/>
    <x v="18"/>
    <x v="1"/>
    <n v="10"/>
    <n v="47"/>
    <x v="32"/>
    <n v="48.88"/>
  </r>
  <r>
    <n v="1038"/>
    <x v="17"/>
    <n v="10"/>
    <x v="8"/>
    <s v="123 10th Street"/>
    <x v="7"/>
    <x v="7"/>
    <n v="99999"/>
    <x v="0"/>
    <x v="6"/>
    <x v="1"/>
    <m/>
    <s v="Shipping Company A"/>
    <s v="Roland Wacker"/>
    <s v="123 10th Street"/>
    <x v="7"/>
    <s v="IL"/>
    <n v="99999"/>
    <s v="USA"/>
    <m/>
    <x v="1"/>
    <x v="1"/>
    <n v="3.5"/>
    <n v="49"/>
    <x v="33"/>
    <n v="16.464000000000002"/>
  </r>
  <r>
    <n v="1039"/>
    <x v="18"/>
    <n v="11"/>
    <x v="10"/>
    <s v="123 11th Street"/>
    <x v="9"/>
    <x v="9"/>
    <n v="99999"/>
    <x v="0"/>
    <x v="5"/>
    <x v="3"/>
    <m/>
    <s v="Shipping Company C"/>
    <s v="Peter Krschne"/>
    <s v="123 11th Street"/>
    <x v="9"/>
    <s v="FL"/>
    <n v="99999"/>
    <s v="USA"/>
    <m/>
    <x v="9"/>
    <x v="5"/>
    <n v="40"/>
    <n v="72"/>
    <x v="34"/>
    <n v="285.12"/>
  </r>
  <r>
    <n v="1040"/>
    <x v="19"/>
    <n v="1"/>
    <x v="11"/>
    <s v="123 1st Street"/>
    <x v="10"/>
    <x v="10"/>
    <n v="99999"/>
    <x v="0"/>
    <x v="2"/>
    <x v="2"/>
    <m/>
    <s v="Shipping Company C"/>
    <s v="Anna Bedecs"/>
    <s v="123 1st Street"/>
    <x v="10"/>
    <s v="WA"/>
    <n v="99999"/>
    <s v="USA"/>
    <m/>
    <x v="13"/>
    <x v="8"/>
    <n v="18.399999999999999"/>
    <n v="13"/>
    <x v="35"/>
    <n v="23.680800000000001"/>
  </r>
  <r>
    <n v="1041"/>
    <x v="16"/>
    <n v="28"/>
    <x v="7"/>
    <s v="789 28th Street"/>
    <x v="6"/>
    <x v="6"/>
    <n v="99999"/>
    <x v="0"/>
    <x v="5"/>
    <x v="3"/>
    <n v="41700"/>
    <s v="Shipping Company C"/>
    <s v="Amritansh Raghav"/>
    <s v="789 28th Street"/>
    <x v="6"/>
    <s v="TN"/>
    <n v="99999"/>
    <s v="USA"/>
    <s v="Credit Card"/>
    <x v="5"/>
    <x v="0"/>
    <n v="46"/>
    <n v="32"/>
    <x v="36"/>
    <n v="148.67200000000003"/>
  </r>
  <r>
    <n v="1042"/>
    <x v="20"/>
    <n v="9"/>
    <x v="12"/>
    <s v="123 9th Street"/>
    <x v="11"/>
    <x v="11"/>
    <n v="99999"/>
    <x v="0"/>
    <x v="7"/>
    <x v="0"/>
    <d v="2014-02-11T00:00:00"/>
    <s v="Shipping Company A"/>
    <s v="Sven Mortensen"/>
    <s v="123 9th Street"/>
    <x v="11"/>
    <s v="UT"/>
    <n v="99999"/>
    <s v="USA"/>
    <s v="Check"/>
    <x v="8"/>
    <x v="4"/>
    <n v="9.65"/>
    <n v="27"/>
    <x v="37"/>
    <n v="24.752250000000004"/>
  </r>
  <r>
    <n v="1043"/>
    <x v="15"/>
    <n v="6"/>
    <x v="6"/>
    <s v="123 6th Street"/>
    <x v="5"/>
    <x v="5"/>
    <n v="99999"/>
    <x v="0"/>
    <x v="4"/>
    <x v="2"/>
    <d v="2014-02-08T00:00:00"/>
    <s v="Shipping Company B"/>
    <s v="Francisco Pérez-Olaeta"/>
    <s v="123 6th Street"/>
    <x v="5"/>
    <s v="WI"/>
    <n v="99999"/>
    <s v="USA"/>
    <s v="Credit Card"/>
    <x v="7"/>
    <x v="3"/>
    <n v="12.75"/>
    <n v="71"/>
    <x v="38"/>
    <n v="91.430250000000001"/>
  </r>
  <r>
    <n v="1044"/>
    <x v="13"/>
    <n v="8"/>
    <x v="3"/>
    <s v="123 8th Street"/>
    <x v="2"/>
    <x v="2"/>
    <n v="99999"/>
    <x v="0"/>
    <x v="2"/>
    <x v="2"/>
    <d v="2014-02-10T00:00:00"/>
    <s v="Shipping Company B"/>
    <s v="Elizabeth Andersen"/>
    <s v="123 8th Street"/>
    <x v="2"/>
    <s v="OR"/>
    <n v="99999"/>
    <s v="USA"/>
    <s v="Check"/>
    <x v="7"/>
    <x v="3"/>
    <n v="12.75"/>
    <n v="13"/>
    <x v="39"/>
    <n v="15.746249999999998"/>
  </r>
  <r>
    <n v="1045"/>
    <x v="21"/>
    <n v="25"/>
    <x v="13"/>
    <s v="789 25th Street"/>
    <x v="7"/>
    <x v="7"/>
    <n v="99999"/>
    <x v="0"/>
    <x v="6"/>
    <x v="1"/>
    <d v="2014-02-27T00:00:00"/>
    <s v="Shipping Company A"/>
    <s v="John Rodman"/>
    <s v="789 25th Street"/>
    <x v="7"/>
    <s v="IL"/>
    <n v="99999"/>
    <s v="USA"/>
    <s v="Cash"/>
    <x v="12"/>
    <x v="7"/>
    <n v="22"/>
    <n v="98"/>
    <x v="40"/>
    <n v="204.82000000000002"/>
  </r>
  <r>
    <n v="1046"/>
    <x v="22"/>
    <n v="26"/>
    <x v="14"/>
    <s v="789 26th Street"/>
    <x v="9"/>
    <x v="9"/>
    <n v="99999"/>
    <x v="0"/>
    <x v="5"/>
    <x v="3"/>
    <d v="2014-02-28T00:00:00"/>
    <s v="Shipping Company C"/>
    <s v="Run Liu"/>
    <s v="789 26th Street"/>
    <x v="9"/>
    <s v="FL"/>
    <n v="99999"/>
    <s v="USA"/>
    <s v="Credit Card"/>
    <x v="11"/>
    <x v="6"/>
    <n v="25"/>
    <n v="21"/>
    <x v="41"/>
    <n v="53.550000000000004"/>
  </r>
  <r>
    <n v="1047"/>
    <x v="23"/>
    <n v="29"/>
    <x v="4"/>
    <s v="789 29th Street"/>
    <x v="3"/>
    <x v="3"/>
    <n v="99999"/>
    <x v="0"/>
    <x v="3"/>
    <x v="0"/>
    <d v="2014-03-03T00:00:00"/>
    <s v="Shipping Company B"/>
    <s v="Soo Jung Lee"/>
    <s v="789 29th Street"/>
    <x v="3"/>
    <s v="CO"/>
    <n v="99999"/>
    <s v="USA"/>
    <s v="Check"/>
    <x v="19"/>
    <x v="12"/>
    <n v="39"/>
    <n v="26"/>
    <x v="42"/>
    <n v="106.47000000000001"/>
  </r>
  <r>
    <n v="1048"/>
    <x v="15"/>
    <n v="6"/>
    <x v="6"/>
    <s v="123 6th Street"/>
    <x v="5"/>
    <x v="5"/>
    <n v="99999"/>
    <x v="0"/>
    <x v="4"/>
    <x v="2"/>
    <d v="2014-02-08T00:00:00"/>
    <s v="Shipping Company C"/>
    <s v="Francisco Pérez-Olaeta"/>
    <s v="123 6th Street"/>
    <x v="5"/>
    <s v="WI"/>
    <n v="99999"/>
    <s v="USA"/>
    <s v="Check"/>
    <x v="2"/>
    <x v="1"/>
    <n v="30"/>
    <n v="96"/>
    <x v="34"/>
    <n v="296.64"/>
  </r>
  <r>
    <n v="1049"/>
    <x v="15"/>
    <n v="6"/>
    <x v="6"/>
    <s v="123 6th Street"/>
    <x v="5"/>
    <x v="5"/>
    <n v="99999"/>
    <x v="0"/>
    <x v="4"/>
    <x v="2"/>
    <d v="2014-02-08T00:00:00"/>
    <s v="Shipping Company C"/>
    <s v="Francisco Pérez-Olaeta"/>
    <s v="123 6th Street"/>
    <x v="5"/>
    <s v="WI"/>
    <n v="99999"/>
    <s v="USA"/>
    <s v="Check"/>
    <x v="3"/>
    <x v="1"/>
    <n v="53"/>
    <n v="16"/>
    <x v="43"/>
    <n v="88.192000000000021"/>
  </r>
  <r>
    <n v="1050"/>
    <x v="24"/>
    <n v="4"/>
    <x v="1"/>
    <s v="123 4th Street"/>
    <x v="1"/>
    <x v="1"/>
    <n v="99999"/>
    <x v="0"/>
    <x v="1"/>
    <x v="1"/>
    <m/>
    <m/>
    <s v="Christina Lee"/>
    <s v="123 4th Street"/>
    <x v="1"/>
    <s v="NY"/>
    <n v="99999"/>
    <s v="USA"/>
    <m/>
    <x v="20"/>
    <x v="9"/>
    <n v="38"/>
    <n v="96"/>
    <x v="44"/>
    <n v="346.56"/>
  </r>
  <r>
    <n v="1051"/>
    <x v="14"/>
    <n v="3"/>
    <x v="5"/>
    <s v="123 3rd Street"/>
    <x v="4"/>
    <x v="4"/>
    <n v="99999"/>
    <x v="0"/>
    <x v="0"/>
    <x v="0"/>
    <m/>
    <m/>
    <s v="Thomas Axerr"/>
    <s v="123 3rd Street"/>
    <x v="4"/>
    <s v="CA"/>
    <n v="99999"/>
    <s v="USA"/>
    <m/>
    <x v="10"/>
    <x v="0"/>
    <n v="2.99"/>
    <n v="75"/>
    <x v="45"/>
    <n v="23.097750000000005"/>
  </r>
  <r>
    <n v="1052"/>
    <x v="25"/>
    <n v="9"/>
    <x v="12"/>
    <s v="123 9th Street"/>
    <x v="11"/>
    <x v="11"/>
    <n v="99999"/>
    <x v="0"/>
    <x v="7"/>
    <x v="0"/>
    <n v="41709"/>
    <s v="Shipping Company A"/>
    <s v="Sven Mortensen"/>
    <s v="123 9th Street"/>
    <x v="11"/>
    <s v="UT"/>
    <n v="99999"/>
    <s v="USA"/>
    <s v="Check"/>
    <x v="14"/>
    <x v="9"/>
    <n v="19.5"/>
    <n v="55"/>
    <x v="46"/>
    <n v="108.32250000000001"/>
  </r>
  <r>
    <n v="1053"/>
    <x v="25"/>
    <n v="9"/>
    <x v="12"/>
    <s v="123 9th Street"/>
    <x v="11"/>
    <x v="11"/>
    <n v="99999"/>
    <x v="0"/>
    <x v="7"/>
    <x v="0"/>
    <d v="2014-03-11T00:00:00"/>
    <s v="Shipping Company A"/>
    <s v="Sven Mortensen"/>
    <s v="123 9th Street"/>
    <x v="11"/>
    <s v="UT"/>
    <n v="99999"/>
    <s v="USA"/>
    <s v="Check"/>
    <x v="15"/>
    <x v="10"/>
    <n v="34.799999999999997"/>
    <n v="11"/>
    <x v="47"/>
    <n v="36.748799999999996"/>
  </r>
  <r>
    <n v="1054"/>
    <x v="26"/>
    <n v="6"/>
    <x v="6"/>
    <s v="123 6th Street"/>
    <x v="5"/>
    <x v="5"/>
    <n v="99999"/>
    <x v="0"/>
    <x v="4"/>
    <x v="2"/>
    <d v="2014-03-08T00:00:00"/>
    <s v="Shipping Company B"/>
    <s v="Francisco Pérez-Olaeta"/>
    <s v="123 6th Street"/>
    <x v="5"/>
    <s v="WI"/>
    <n v="99999"/>
    <s v="USA"/>
    <s v="Credit Card"/>
    <x v="0"/>
    <x v="0"/>
    <n v="14"/>
    <n v="53"/>
    <x v="48"/>
    <n v="71.974000000000004"/>
  </r>
  <r>
    <n v="1055"/>
    <x v="27"/>
    <n v="8"/>
    <x v="3"/>
    <s v="123 8th Street"/>
    <x v="2"/>
    <x v="2"/>
    <n v="99999"/>
    <x v="0"/>
    <x v="2"/>
    <x v="2"/>
    <d v="2014-03-10T00:00:00"/>
    <s v="Shipping Company B"/>
    <s v="Elizabeth Andersen"/>
    <s v="123 8th Street"/>
    <x v="2"/>
    <s v="OR"/>
    <n v="99999"/>
    <s v="USA"/>
    <s v="Check"/>
    <x v="9"/>
    <x v="5"/>
    <n v="40"/>
    <n v="85"/>
    <x v="49"/>
    <n v="357"/>
  </r>
  <r>
    <n v="1056"/>
    <x v="27"/>
    <n v="8"/>
    <x v="3"/>
    <s v="123 8th Street"/>
    <x v="2"/>
    <x v="2"/>
    <n v="99999"/>
    <x v="0"/>
    <x v="2"/>
    <x v="2"/>
    <d v="2014-03-10T00:00:00"/>
    <s v="Shipping Company B"/>
    <s v="Elizabeth Andersen"/>
    <s v="123 8th Street"/>
    <x v="2"/>
    <s v="OR"/>
    <n v="99999"/>
    <s v="USA"/>
    <s v="Check"/>
    <x v="6"/>
    <x v="2"/>
    <n v="9.1999999999999993"/>
    <n v="97"/>
    <x v="50"/>
    <n v="91.024800000000013"/>
  </r>
  <r>
    <n v="1057"/>
    <x v="28"/>
    <n v="25"/>
    <x v="13"/>
    <s v="789 25th Street"/>
    <x v="7"/>
    <x v="7"/>
    <n v="99999"/>
    <x v="0"/>
    <x v="6"/>
    <x v="1"/>
    <d v="2014-03-27T00:00:00"/>
    <s v="Shipping Company A"/>
    <s v="John Rodman"/>
    <s v="789 25th Street"/>
    <x v="7"/>
    <s v="IL"/>
    <n v="99999"/>
    <s v="USA"/>
    <s v="Cash"/>
    <x v="21"/>
    <x v="2"/>
    <n v="10"/>
    <n v="46"/>
    <x v="51"/>
    <n v="46.46"/>
  </r>
  <r>
    <n v="1058"/>
    <x v="29"/>
    <n v="26"/>
    <x v="14"/>
    <s v="789 26th Street"/>
    <x v="9"/>
    <x v="9"/>
    <n v="99999"/>
    <x v="0"/>
    <x v="5"/>
    <x v="3"/>
    <d v="2014-03-28T00:00:00"/>
    <s v="Shipping Company C"/>
    <s v="Run Liu"/>
    <s v="789 26th Street"/>
    <x v="9"/>
    <s v="FL"/>
    <n v="99999"/>
    <s v="USA"/>
    <s v="Credit Card"/>
    <x v="22"/>
    <x v="13"/>
    <n v="21.35"/>
    <n v="97"/>
    <x v="52"/>
    <n v="196.74025"/>
  </r>
  <r>
    <n v="1059"/>
    <x v="29"/>
    <n v="26"/>
    <x v="14"/>
    <s v="789 26th Street"/>
    <x v="9"/>
    <x v="9"/>
    <n v="99999"/>
    <x v="0"/>
    <x v="5"/>
    <x v="3"/>
    <d v="2014-03-28T00:00:00"/>
    <s v="Shipping Company C"/>
    <s v="Run Liu"/>
    <s v="789 26th Street"/>
    <x v="9"/>
    <s v="FL"/>
    <n v="99999"/>
    <s v="USA"/>
    <s v="Credit Card"/>
    <x v="8"/>
    <x v="4"/>
    <n v="9.65"/>
    <n v="97"/>
    <x v="53"/>
    <n v="95.477100000000021"/>
  </r>
  <r>
    <n v="1060"/>
    <x v="29"/>
    <n v="26"/>
    <x v="14"/>
    <s v="789 26th Street"/>
    <x v="9"/>
    <x v="9"/>
    <n v="99999"/>
    <x v="0"/>
    <x v="5"/>
    <x v="3"/>
    <d v="2014-03-28T00:00:00"/>
    <s v="Shipping Company C"/>
    <s v="Run Liu"/>
    <s v="789 26th Street"/>
    <x v="9"/>
    <s v="FL"/>
    <n v="99999"/>
    <s v="USA"/>
    <s v="Credit Card"/>
    <x v="13"/>
    <x v="8"/>
    <n v="18.399999999999999"/>
    <n v="65"/>
    <x v="54"/>
    <n v="123.18800000000002"/>
  </r>
  <r>
    <n v="1061"/>
    <x v="30"/>
    <n v="29"/>
    <x v="4"/>
    <s v="789 29th Street"/>
    <x v="3"/>
    <x v="3"/>
    <n v="99999"/>
    <x v="0"/>
    <x v="3"/>
    <x v="0"/>
    <d v="2014-03-31T00:00:00"/>
    <s v="Shipping Company B"/>
    <s v="Soo Jung Lee"/>
    <s v="789 29th Street"/>
    <x v="3"/>
    <s v="CO"/>
    <n v="99999"/>
    <s v="USA"/>
    <s v="Check"/>
    <x v="0"/>
    <x v="0"/>
    <n v="14"/>
    <n v="72"/>
    <x v="55"/>
    <n v="100.80000000000001"/>
  </r>
  <r>
    <n v="1062"/>
    <x v="26"/>
    <n v="6"/>
    <x v="6"/>
    <s v="123 6th Street"/>
    <x v="5"/>
    <x v="5"/>
    <n v="99999"/>
    <x v="0"/>
    <x v="4"/>
    <x v="2"/>
    <d v="2014-03-08T00:00:00"/>
    <s v="Shipping Company C"/>
    <s v="Francisco Pérez-Olaeta"/>
    <s v="123 6th Street"/>
    <x v="5"/>
    <s v="WI"/>
    <n v="99999"/>
    <s v="USA"/>
    <s v="Check"/>
    <x v="7"/>
    <x v="3"/>
    <n v="12.75"/>
    <n v="16"/>
    <x v="56"/>
    <n v="20.196000000000002"/>
  </r>
  <r>
    <n v="1064"/>
    <x v="31"/>
    <n v="4"/>
    <x v="1"/>
    <s v="123 4th Street"/>
    <x v="1"/>
    <x v="1"/>
    <n v="99999"/>
    <x v="0"/>
    <x v="1"/>
    <x v="1"/>
    <d v="2014-03-06T00:00:00"/>
    <s v="Shipping Company A"/>
    <s v="Christina Lee"/>
    <s v="123 4th Street"/>
    <x v="1"/>
    <s v="NY"/>
    <n v="99999"/>
    <s v="USA"/>
    <s v="Credit Card"/>
    <x v="23"/>
    <x v="6"/>
    <n v="81"/>
    <n v="77"/>
    <x v="57"/>
    <n v="642.41100000000006"/>
  </r>
  <r>
    <n v="1065"/>
    <x v="31"/>
    <n v="4"/>
    <x v="1"/>
    <s v="123 4th Street"/>
    <x v="1"/>
    <x v="1"/>
    <n v="99999"/>
    <x v="0"/>
    <x v="1"/>
    <x v="1"/>
    <d v="2014-03-06T00:00:00"/>
    <s v="Shipping Company A"/>
    <s v="Christina Lee"/>
    <s v="123 4th Street"/>
    <x v="1"/>
    <s v="NY"/>
    <n v="99999"/>
    <s v="USA"/>
    <s v="Credit Card"/>
    <x v="24"/>
    <x v="14"/>
    <n v="7"/>
    <n v="37"/>
    <x v="58"/>
    <n v="24.605"/>
  </r>
  <r>
    <n v="1067"/>
    <x v="27"/>
    <n v="8"/>
    <x v="3"/>
    <s v="123 8th Street"/>
    <x v="2"/>
    <x v="2"/>
    <n v="99999"/>
    <x v="0"/>
    <x v="2"/>
    <x v="2"/>
    <d v="2014-03-10T00:00:00"/>
    <s v="Shipping Company C"/>
    <s v="Elizabeth Andersen"/>
    <s v="123 8th Street"/>
    <x v="2"/>
    <s v="OR"/>
    <n v="99999"/>
    <s v="USA"/>
    <s v="Credit Card"/>
    <x v="15"/>
    <x v="10"/>
    <n v="34.799999999999997"/>
    <n v="63"/>
    <x v="59"/>
    <n v="217.04759999999999"/>
  </r>
  <r>
    <n v="1070"/>
    <x v="32"/>
    <n v="3"/>
    <x v="5"/>
    <s v="123 3rd Street"/>
    <x v="4"/>
    <x v="4"/>
    <n v="99999"/>
    <x v="0"/>
    <x v="0"/>
    <x v="0"/>
    <d v="2014-03-05T00:00:00"/>
    <s v="Shipping Company B"/>
    <s v="Thomas Axerr"/>
    <s v="123 3rd Street"/>
    <x v="4"/>
    <s v="CA"/>
    <n v="99999"/>
    <s v="USA"/>
    <s v="Cash"/>
    <x v="16"/>
    <x v="7"/>
    <n v="10"/>
    <n v="48"/>
    <x v="60"/>
    <n v="48"/>
  </r>
  <r>
    <n v="1071"/>
    <x v="32"/>
    <n v="3"/>
    <x v="5"/>
    <s v="123 3rd Street"/>
    <x v="4"/>
    <x v="4"/>
    <n v="99999"/>
    <x v="0"/>
    <x v="0"/>
    <x v="0"/>
    <d v="2014-03-05T00:00:00"/>
    <s v="Shipping Company B"/>
    <s v="Thomas Axerr"/>
    <s v="123 3rd Street"/>
    <x v="4"/>
    <s v="CA"/>
    <n v="99999"/>
    <s v="USA"/>
    <s v="Cash"/>
    <x v="9"/>
    <x v="5"/>
    <n v="40"/>
    <n v="71"/>
    <x v="61"/>
    <n v="295.36"/>
  </r>
  <r>
    <n v="1075"/>
    <x v="33"/>
    <n v="10"/>
    <x v="8"/>
    <s v="123 10th Street"/>
    <x v="7"/>
    <x v="7"/>
    <n v="99999"/>
    <x v="0"/>
    <x v="6"/>
    <x v="1"/>
    <d v="2014-03-12T00:00:00"/>
    <s v="Shipping Company B"/>
    <s v="Roland Wacker"/>
    <s v="123 10th Street"/>
    <x v="7"/>
    <s v="IL"/>
    <n v="99999"/>
    <s v="USA"/>
    <s v="Credit Card"/>
    <x v="18"/>
    <x v="1"/>
    <n v="10"/>
    <n v="55"/>
    <x v="62"/>
    <n v="55"/>
  </r>
  <r>
    <n v="1077"/>
    <x v="33"/>
    <n v="10"/>
    <x v="8"/>
    <s v="123 10th Street"/>
    <x v="7"/>
    <x v="7"/>
    <n v="99999"/>
    <x v="0"/>
    <x v="6"/>
    <x v="1"/>
    <m/>
    <s v="Shipping Company A"/>
    <s v="Roland Wacker"/>
    <s v="123 10th Street"/>
    <x v="7"/>
    <s v="IL"/>
    <n v="99999"/>
    <s v="USA"/>
    <m/>
    <x v="1"/>
    <x v="1"/>
    <n v="3.5"/>
    <n v="21"/>
    <x v="63"/>
    <n v="7.3500000000000005"/>
  </r>
  <r>
    <n v="1078"/>
    <x v="34"/>
    <n v="11"/>
    <x v="10"/>
    <s v="123 11th Street"/>
    <x v="9"/>
    <x v="9"/>
    <n v="99999"/>
    <x v="0"/>
    <x v="5"/>
    <x v="3"/>
    <m/>
    <s v="Shipping Company C"/>
    <s v="Peter Krschne"/>
    <s v="123 11th Street"/>
    <x v="9"/>
    <s v="FL"/>
    <n v="99999"/>
    <s v="USA"/>
    <m/>
    <x v="9"/>
    <x v="5"/>
    <n v="40"/>
    <n v="67"/>
    <x v="64"/>
    <n v="270.68"/>
  </r>
  <r>
    <n v="1079"/>
    <x v="23"/>
    <n v="1"/>
    <x v="11"/>
    <s v="123 1st Street"/>
    <x v="10"/>
    <x v="10"/>
    <n v="99999"/>
    <x v="0"/>
    <x v="2"/>
    <x v="2"/>
    <m/>
    <s v="Shipping Company C"/>
    <s v="Anna Bedecs"/>
    <s v="123 1st Street"/>
    <x v="10"/>
    <s v="WA"/>
    <n v="99999"/>
    <s v="USA"/>
    <m/>
    <x v="13"/>
    <x v="8"/>
    <n v="18.399999999999999"/>
    <n v="75"/>
    <x v="65"/>
    <n v="138"/>
  </r>
  <r>
    <n v="1080"/>
    <x v="35"/>
    <n v="28"/>
    <x v="7"/>
    <s v="789 28th Street"/>
    <x v="6"/>
    <x v="6"/>
    <n v="99999"/>
    <x v="0"/>
    <x v="5"/>
    <x v="3"/>
    <d v="2014-03-30T00:00:00"/>
    <s v="Shipping Company C"/>
    <s v="Amritansh Raghav"/>
    <s v="789 28th Street"/>
    <x v="6"/>
    <s v="TN"/>
    <n v="99999"/>
    <s v="USA"/>
    <s v="Credit Card"/>
    <x v="5"/>
    <x v="0"/>
    <n v="46"/>
    <n v="17"/>
    <x v="66"/>
    <n v="80.546000000000006"/>
  </r>
  <r>
    <n v="1081"/>
    <x v="36"/>
    <n v="4"/>
    <x v="1"/>
    <s v="123 4th Street"/>
    <x v="1"/>
    <x v="1"/>
    <n v="99999"/>
    <x v="0"/>
    <x v="1"/>
    <x v="1"/>
    <d v="2014-04-06T00:00:00"/>
    <s v="Shipping Company A"/>
    <s v="Christina Lee"/>
    <s v="123 4th Street"/>
    <x v="1"/>
    <s v="NY"/>
    <n v="99999"/>
    <s v="USA"/>
    <s v="Credit Card"/>
    <x v="1"/>
    <x v="1"/>
    <n v="3.5"/>
    <n v="48"/>
    <x v="67"/>
    <n v="16.295999999999999"/>
  </r>
  <r>
    <n v="1082"/>
    <x v="37"/>
    <n v="12"/>
    <x v="2"/>
    <s v="123 12th Street"/>
    <x v="0"/>
    <x v="0"/>
    <n v="99999"/>
    <x v="0"/>
    <x v="0"/>
    <x v="0"/>
    <d v="2014-04-14T00:00:00"/>
    <s v="Shipping Company B"/>
    <s v="John Edwards"/>
    <s v="123 12th Street"/>
    <x v="0"/>
    <s v="NV"/>
    <n v="99999"/>
    <s v="USA"/>
    <s v="Credit Card"/>
    <x v="4"/>
    <x v="0"/>
    <n v="18"/>
    <n v="74"/>
    <x v="68"/>
    <n v="137.19600000000003"/>
  </r>
  <r>
    <n v="1083"/>
    <x v="37"/>
    <n v="12"/>
    <x v="2"/>
    <s v="123 12th Street"/>
    <x v="0"/>
    <x v="0"/>
    <n v="99999"/>
    <x v="0"/>
    <x v="0"/>
    <x v="0"/>
    <d v="2014-04-14T00:00:00"/>
    <s v="Shipping Company B"/>
    <s v="John Edwards"/>
    <s v="123 12th Street"/>
    <x v="0"/>
    <s v="NV"/>
    <n v="99999"/>
    <s v="USA"/>
    <s v="Credit Card"/>
    <x v="5"/>
    <x v="0"/>
    <n v="46"/>
    <n v="96"/>
    <x v="69"/>
    <n v="428.35200000000003"/>
  </r>
  <r>
    <n v="1084"/>
    <x v="38"/>
    <n v="8"/>
    <x v="3"/>
    <s v="123 8th Street"/>
    <x v="2"/>
    <x v="2"/>
    <n v="99999"/>
    <x v="0"/>
    <x v="2"/>
    <x v="2"/>
    <d v="2014-04-10T00:00:00"/>
    <s v="Shipping Company C"/>
    <s v="Elizabeth Andersen"/>
    <s v="123 8th Street"/>
    <x v="2"/>
    <s v="OR"/>
    <n v="99999"/>
    <s v="USA"/>
    <s v="Credit Card"/>
    <x v="6"/>
    <x v="2"/>
    <n v="9.1999999999999993"/>
    <n v="12"/>
    <x v="70"/>
    <n v="11.3712"/>
  </r>
  <r>
    <n v="1085"/>
    <x v="36"/>
    <n v="4"/>
    <x v="1"/>
    <s v="123 4th Street"/>
    <x v="1"/>
    <x v="1"/>
    <n v="99999"/>
    <x v="0"/>
    <x v="1"/>
    <x v="1"/>
    <n v="41735"/>
    <s v="Shipping Company C"/>
    <s v="Christina Lee"/>
    <s v="123 4th Street"/>
    <x v="1"/>
    <s v="NY"/>
    <n v="99999"/>
    <s v="USA"/>
    <s v="Check"/>
    <x v="6"/>
    <x v="2"/>
    <n v="9.1999999999999993"/>
    <n v="62"/>
    <x v="71"/>
    <n v="58.751199999999997"/>
  </r>
  <r>
    <n v="1086"/>
    <x v="39"/>
    <n v="29"/>
    <x v="4"/>
    <s v="789 29th Street"/>
    <x v="3"/>
    <x v="3"/>
    <n v="99999"/>
    <x v="0"/>
    <x v="3"/>
    <x v="0"/>
    <n v="41760"/>
    <s v="Shipping Company B"/>
    <s v="Soo Jung Lee"/>
    <s v="789 29th Street"/>
    <x v="3"/>
    <s v="CO"/>
    <n v="99999"/>
    <s v="USA"/>
    <s v="Check"/>
    <x v="7"/>
    <x v="3"/>
    <n v="12.75"/>
    <n v="35"/>
    <x v="72"/>
    <n v="45.963750000000005"/>
  </r>
  <r>
    <n v="1087"/>
    <x v="40"/>
    <n v="3"/>
    <x v="5"/>
    <s v="123 3rd Street"/>
    <x v="4"/>
    <x v="4"/>
    <n v="99999"/>
    <x v="0"/>
    <x v="0"/>
    <x v="0"/>
    <n v="41734"/>
    <s v="Shipping Company B"/>
    <s v="Thomas Axerr"/>
    <s v="123 3rd Street"/>
    <x v="4"/>
    <s v="CA"/>
    <n v="99999"/>
    <s v="USA"/>
    <s v="Cash"/>
    <x v="8"/>
    <x v="4"/>
    <n v="9.65"/>
    <n v="95"/>
    <x v="73"/>
    <n v="91.675000000000011"/>
  </r>
  <r>
    <n v="1088"/>
    <x v="41"/>
    <n v="6"/>
    <x v="6"/>
    <s v="123 6th Street"/>
    <x v="5"/>
    <x v="5"/>
    <n v="99999"/>
    <x v="0"/>
    <x v="4"/>
    <x v="2"/>
    <n v="41737"/>
    <s v="Shipping Company B"/>
    <s v="Francisco Pérez-Olaeta"/>
    <s v="123 6th Street"/>
    <x v="5"/>
    <s v="WI"/>
    <n v="99999"/>
    <s v="USA"/>
    <s v="Credit Card"/>
    <x v="9"/>
    <x v="5"/>
    <n v="40"/>
    <n v="17"/>
    <x v="74"/>
    <n v="68.680000000000007"/>
  </r>
  <r>
    <n v="1089"/>
    <x v="42"/>
    <n v="28"/>
    <x v="7"/>
    <s v="789 28th Street"/>
    <x v="6"/>
    <x v="6"/>
    <n v="99999"/>
    <x v="0"/>
    <x v="5"/>
    <x v="3"/>
    <d v="2014-04-30T00:00:00"/>
    <s v="Shipping Company C"/>
    <s v="Amritansh Raghav"/>
    <s v="789 28th Street"/>
    <x v="6"/>
    <s v="TN"/>
    <n v="99999"/>
    <s v="USA"/>
    <s v="Check"/>
    <x v="5"/>
    <x v="0"/>
    <n v="46"/>
    <n v="96"/>
    <x v="69"/>
    <n v="463.68000000000006"/>
  </r>
  <r>
    <n v="1090"/>
    <x v="38"/>
    <n v="8"/>
    <x v="3"/>
    <s v="123 8th Street"/>
    <x v="2"/>
    <x v="2"/>
    <n v="99999"/>
    <x v="0"/>
    <x v="2"/>
    <x v="2"/>
    <d v="2014-04-10T00:00:00"/>
    <s v="Shipping Company C"/>
    <s v="Elizabeth Andersen"/>
    <s v="123 8th Street"/>
    <x v="2"/>
    <s v="OR"/>
    <n v="99999"/>
    <s v="USA"/>
    <s v="Check"/>
    <x v="7"/>
    <x v="3"/>
    <n v="12.75"/>
    <n v="83"/>
    <x v="75"/>
    <n v="102.65025"/>
  </r>
  <r>
    <n v="1091"/>
    <x v="43"/>
    <n v="10"/>
    <x v="8"/>
    <s v="123 10th Street"/>
    <x v="7"/>
    <x v="7"/>
    <n v="99999"/>
    <x v="0"/>
    <x v="6"/>
    <x v="1"/>
    <d v="2014-04-12T00:00:00"/>
    <s v="Shipping Company B"/>
    <s v="Roland Wacker"/>
    <s v="123 10th Street"/>
    <x v="7"/>
    <s v="IL"/>
    <n v="99999"/>
    <s v="USA"/>
    <s v="Credit Card"/>
    <x v="10"/>
    <x v="0"/>
    <n v="2.99"/>
    <n v="88"/>
    <x v="76"/>
    <n v="26.04888"/>
  </r>
  <r>
    <n v="1092"/>
    <x v="44"/>
    <n v="7"/>
    <x v="9"/>
    <s v="123 7th Street"/>
    <x v="8"/>
    <x v="8"/>
    <n v="99999"/>
    <x v="0"/>
    <x v="2"/>
    <x v="2"/>
    <m/>
    <m/>
    <s v="Ming-Yang Xie"/>
    <s v="123 7th Street"/>
    <x v="8"/>
    <s v="ID"/>
    <n v="99999"/>
    <s v="USA"/>
    <m/>
    <x v="5"/>
    <x v="0"/>
    <n v="46"/>
    <n v="59"/>
    <x v="77"/>
    <n v="284.97000000000003"/>
  </r>
  <r>
    <n v="1093"/>
    <x v="43"/>
    <n v="10"/>
    <x v="8"/>
    <s v="123 10th Street"/>
    <x v="7"/>
    <x v="7"/>
    <n v="99999"/>
    <x v="0"/>
    <x v="6"/>
    <x v="1"/>
    <d v="2014-04-12T00:00:00"/>
    <s v="Shipping Company A"/>
    <s v="Roland Wacker"/>
    <s v="123 10th Street"/>
    <x v="7"/>
    <s v="IL"/>
    <n v="99999"/>
    <s v="USA"/>
    <m/>
    <x v="11"/>
    <x v="6"/>
    <n v="25"/>
    <n v="27"/>
    <x v="78"/>
    <n v="68.849999999999994"/>
  </r>
  <r>
    <n v="1094"/>
    <x v="43"/>
    <n v="10"/>
    <x v="8"/>
    <s v="123 10th Street"/>
    <x v="7"/>
    <x v="7"/>
    <n v="99999"/>
    <x v="0"/>
    <x v="6"/>
    <x v="1"/>
    <d v="2014-04-12T00:00:00"/>
    <s v="Shipping Company A"/>
    <s v="Roland Wacker"/>
    <s v="123 10th Street"/>
    <x v="7"/>
    <s v="IL"/>
    <n v="99999"/>
    <s v="USA"/>
    <m/>
    <x v="12"/>
    <x v="7"/>
    <n v="22"/>
    <n v="37"/>
    <x v="79"/>
    <n v="85.470000000000013"/>
  </r>
  <r>
    <n v="1095"/>
    <x v="43"/>
    <n v="10"/>
    <x v="8"/>
    <s v="123 10th Street"/>
    <x v="7"/>
    <x v="7"/>
    <n v="99999"/>
    <x v="0"/>
    <x v="6"/>
    <x v="1"/>
    <d v="2014-04-12T00:00:00"/>
    <s v="Shipping Company A"/>
    <s v="Roland Wacker"/>
    <s v="123 10th Street"/>
    <x v="7"/>
    <s v="IL"/>
    <n v="99999"/>
    <s v="USA"/>
    <m/>
    <x v="6"/>
    <x v="2"/>
    <n v="9.1999999999999993"/>
    <n v="75"/>
    <x v="80"/>
    <n v="69"/>
  </r>
  <r>
    <n v="1096"/>
    <x v="45"/>
    <n v="11"/>
    <x v="10"/>
    <s v="123 11th Street"/>
    <x v="9"/>
    <x v="9"/>
    <n v="99999"/>
    <x v="0"/>
    <x v="5"/>
    <x v="3"/>
    <m/>
    <s v="Shipping Company C"/>
    <s v="Peter Krschne"/>
    <s v="123 11th Street"/>
    <x v="9"/>
    <s v="FL"/>
    <n v="99999"/>
    <s v="USA"/>
    <m/>
    <x v="1"/>
    <x v="1"/>
    <n v="3.5"/>
    <n v="71"/>
    <x v="81"/>
    <n v="24.104500000000002"/>
  </r>
  <r>
    <n v="1097"/>
    <x v="45"/>
    <n v="11"/>
    <x v="10"/>
    <s v="123 11th Street"/>
    <x v="9"/>
    <x v="9"/>
    <n v="99999"/>
    <x v="0"/>
    <x v="5"/>
    <x v="3"/>
    <m/>
    <s v="Shipping Company C"/>
    <s v="Peter Krschne"/>
    <s v="123 11th Street"/>
    <x v="9"/>
    <s v="FL"/>
    <n v="99999"/>
    <s v="USA"/>
    <m/>
    <x v="10"/>
    <x v="0"/>
    <n v="2.99"/>
    <n v="88"/>
    <x v="76"/>
    <n v="26.04888"/>
  </r>
  <r>
    <n v="1098"/>
    <x v="46"/>
    <n v="1"/>
    <x v="11"/>
    <s v="123 1st Street"/>
    <x v="10"/>
    <x v="10"/>
    <n v="99999"/>
    <x v="0"/>
    <x v="2"/>
    <x v="2"/>
    <m/>
    <m/>
    <s v="Anna Bedecs"/>
    <s v="123 1st Street"/>
    <x v="10"/>
    <s v="WA"/>
    <n v="99999"/>
    <s v="USA"/>
    <m/>
    <x v="4"/>
    <x v="0"/>
    <n v="18"/>
    <n v="55"/>
    <x v="82"/>
    <n v="97.02"/>
  </r>
  <r>
    <n v="1099"/>
    <x v="47"/>
    <n v="29"/>
    <x v="4"/>
    <s v="789 29th Street"/>
    <x v="3"/>
    <x v="3"/>
    <n v="99999"/>
    <x v="0"/>
    <x v="3"/>
    <x v="0"/>
    <d v="2014-05-31T00:00:00"/>
    <s v="Shipping Company B"/>
    <s v="Soo Jung Lee"/>
    <s v="789 29th Street"/>
    <x v="3"/>
    <s v="CO"/>
    <n v="99999"/>
    <s v="USA"/>
    <s v="Check"/>
    <x v="7"/>
    <x v="3"/>
    <n v="12.75"/>
    <n v="14"/>
    <x v="83"/>
    <n v="16.9575"/>
  </r>
  <r>
    <n v="1100"/>
    <x v="48"/>
    <n v="3"/>
    <x v="5"/>
    <s v="123 3rd Street"/>
    <x v="4"/>
    <x v="4"/>
    <n v="99999"/>
    <x v="0"/>
    <x v="0"/>
    <x v="0"/>
    <d v="2014-05-05T00:00:00"/>
    <s v="Shipping Company B"/>
    <s v="Thomas Axerr"/>
    <s v="123 3rd Street"/>
    <x v="4"/>
    <s v="CA"/>
    <n v="99999"/>
    <s v="USA"/>
    <s v="Cash"/>
    <x v="8"/>
    <x v="4"/>
    <n v="9.65"/>
    <n v="43"/>
    <x v="84"/>
    <n v="42.324900000000007"/>
  </r>
  <r>
    <n v="1101"/>
    <x v="49"/>
    <n v="6"/>
    <x v="6"/>
    <s v="123 6th Street"/>
    <x v="5"/>
    <x v="5"/>
    <n v="99999"/>
    <x v="0"/>
    <x v="4"/>
    <x v="2"/>
    <n v="41767"/>
    <s v="Shipping Company B"/>
    <s v="Francisco Pérez-Olaeta"/>
    <s v="123 6th Street"/>
    <x v="5"/>
    <s v="WI"/>
    <n v="99999"/>
    <s v="USA"/>
    <s v="Credit Card"/>
    <x v="9"/>
    <x v="5"/>
    <n v="40"/>
    <n v="63"/>
    <x v="85"/>
    <n v="254.52"/>
  </r>
  <r>
    <n v="1102"/>
    <x v="50"/>
    <n v="28"/>
    <x v="7"/>
    <s v="789 28th Street"/>
    <x v="6"/>
    <x v="6"/>
    <n v="99999"/>
    <x v="0"/>
    <x v="5"/>
    <x v="3"/>
    <d v="2014-05-30T00:00:00"/>
    <s v="Shipping Company C"/>
    <s v="Amritansh Raghav"/>
    <s v="789 28th Street"/>
    <x v="6"/>
    <s v="TN"/>
    <n v="99999"/>
    <s v="USA"/>
    <s v="Check"/>
    <x v="5"/>
    <x v="0"/>
    <n v="46"/>
    <n v="36"/>
    <x v="86"/>
    <n v="165.60000000000002"/>
  </r>
  <r>
    <n v="1103"/>
    <x v="51"/>
    <n v="8"/>
    <x v="3"/>
    <s v="123 8th Street"/>
    <x v="2"/>
    <x v="2"/>
    <n v="99999"/>
    <x v="0"/>
    <x v="2"/>
    <x v="2"/>
    <d v="2014-05-10T00:00:00"/>
    <s v="Shipping Company C"/>
    <s v="Elizabeth Andersen"/>
    <s v="123 8th Street"/>
    <x v="2"/>
    <s v="OR"/>
    <n v="99999"/>
    <s v="USA"/>
    <s v="Check"/>
    <x v="7"/>
    <x v="3"/>
    <n v="12.75"/>
    <n v="41"/>
    <x v="87"/>
    <n v="54.366000000000007"/>
  </r>
  <r>
    <n v="1104"/>
    <x v="52"/>
    <n v="10"/>
    <x v="8"/>
    <s v="123 10th Street"/>
    <x v="7"/>
    <x v="7"/>
    <n v="99999"/>
    <x v="0"/>
    <x v="6"/>
    <x v="1"/>
    <d v="2014-05-12T00:00:00"/>
    <s v="Shipping Company B"/>
    <s v="Roland Wacker"/>
    <s v="123 10th Street"/>
    <x v="7"/>
    <s v="IL"/>
    <n v="99999"/>
    <s v="USA"/>
    <s v="Credit Card"/>
    <x v="10"/>
    <x v="0"/>
    <n v="2.99"/>
    <n v="35"/>
    <x v="88"/>
    <n v="10.255700000000001"/>
  </r>
  <r>
    <n v="1105"/>
    <x v="53"/>
    <n v="7"/>
    <x v="9"/>
    <s v="123 7th Street"/>
    <x v="8"/>
    <x v="8"/>
    <n v="99999"/>
    <x v="0"/>
    <x v="2"/>
    <x v="2"/>
    <m/>
    <m/>
    <s v="Ming-Yang Xie"/>
    <s v="123 7th Street"/>
    <x v="8"/>
    <s v="ID"/>
    <n v="99999"/>
    <s v="USA"/>
    <m/>
    <x v="5"/>
    <x v="0"/>
    <n v="46"/>
    <n v="31"/>
    <x v="89"/>
    <n v="136.89599999999999"/>
  </r>
  <r>
    <n v="1106"/>
    <x v="52"/>
    <n v="10"/>
    <x v="8"/>
    <s v="123 10th Street"/>
    <x v="7"/>
    <x v="7"/>
    <n v="99999"/>
    <x v="0"/>
    <x v="6"/>
    <x v="1"/>
    <n v="41771"/>
    <s v="Shipping Company A"/>
    <s v="Roland Wacker"/>
    <s v="123 10th Street"/>
    <x v="7"/>
    <s v="IL"/>
    <n v="99999"/>
    <s v="USA"/>
    <m/>
    <x v="11"/>
    <x v="6"/>
    <n v="25"/>
    <n v="52"/>
    <x v="90"/>
    <n v="123.5"/>
  </r>
  <r>
    <n v="1107"/>
    <x v="52"/>
    <n v="10"/>
    <x v="8"/>
    <s v="123 10th Street"/>
    <x v="7"/>
    <x v="7"/>
    <n v="99999"/>
    <x v="0"/>
    <x v="6"/>
    <x v="1"/>
    <n v="41771"/>
    <s v="Shipping Company A"/>
    <s v="Roland Wacker"/>
    <s v="123 10th Street"/>
    <x v="7"/>
    <s v="IL"/>
    <n v="99999"/>
    <s v="USA"/>
    <m/>
    <x v="12"/>
    <x v="7"/>
    <n v="22"/>
    <n v="30"/>
    <x v="91"/>
    <n v="67.320000000000007"/>
  </r>
  <r>
    <n v="1108"/>
    <x v="52"/>
    <n v="10"/>
    <x v="8"/>
    <s v="123 10th Street"/>
    <x v="7"/>
    <x v="7"/>
    <n v="99999"/>
    <x v="0"/>
    <x v="6"/>
    <x v="1"/>
    <d v="2014-05-12T00:00:00"/>
    <s v="Shipping Company A"/>
    <s v="Roland Wacker"/>
    <s v="123 10th Street"/>
    <x v="7"/>
    <s v="IL"/>
    <n v="99999"/>
    <s v="USA"/>
    <m/>
    <x v="6"/>
    <x v="2"/>
    <n v="9.1999999999999993"/>
    <n v="41"/>
    <x v="92"/>
    <n v="38.474400000000003"/>
  </r>
  <r>
    <n v="1109"/>
    <x v="54"/>
    <n v="11"/>
    <x v="10"/>
    <s v="123 11th Street"/>
    <x v="9"/>
    <x v="9"/>
    <n v="99999"/>
    <x v="0"/>
    <x v="5"/>
    <x v="3"/>
    <m/>
    <s v="Shipping Company C"/>
    <s v="Peter Krschne"/>
    <s v="123 11th Street"/>
    <x v="9"/>
    <s v="FL"/>
    <n v="99999"/>
    <s v="USA"/>
    <m/>
    <x v="1"/>
    <x v="1"/>
    <n v="3.5"/>
    <n v="44"/>
    <x v="93"/>
    <n v="15.246"/>
  </r>
  <r>
    <n v="1110"/>
    <x v="54"/>
    <n v="11"/>
    <x v="10"/>
    <s v="123 11th Street"/>
    <x v="9"/>
    <x v="9"/>
    <n v="99999"/>
    <x v="0"/>
    <x v="5"/>
    <x v="3"/>
    <m/>
    <s v="Shipping Company C"/>
    <s v="Peter Krschne"/>
    <s v="123 11th Street"/>
    <x v="9"/>
    <s v="FL"/>
    <n v="99999"/>
    <s v="USA"/>
    <m/>
    <x v="10"/>
    <x v="0"/>
    <n v="2.99"/>
    <n v="77"/>
    <x v="94"/>
    <n v="23.023000000000003"/>
  </r>
  <r>
    <n v="1111"/>
    <x v="55"/>
    <n v="1"/>
    <x v="11"/>
    <s v="123 1st Street"/>
    <x v="10"/>
    <x v="10"/>
    <n v="99999"/>
    <x v="0"/>
    <x v="2"/>
    <x v="2"/>
    <m/>
    <m/>
    <s v="Anna Bedecs"/>
    <s v="123 1st Street"/>
    <x v="10"/>
    <s v="WA"/>
    <n v="99999"/>
    <s v="USA"/>
    <m/>
    <x v="4"/>
    <x v="0"/>
    <n v="18"/>
    <n v="29"/>
    <x v="95"/>
    <n v="52.722000000000001"/>
  </r>
  <r>
    <n v="1112"/>
    <x v="55"/>
    <n v="1"/>
    <x v="11"/>
    <s v="123 1st Street"/>
    <x v="10"/>
    <x v="10"/>
    <n v="99999"/>
    <x v="0"/>
    <x v="2"/>
    <x v="2"/>
    <m/>
    <m/>
    <s v="Anna Bedecs"/>
    <s v="123 1st Street"/>
    <x v="10"/>
    <s v="WA"/>
    <n v="99999"/>
    <s v="USA"/>
    <m/>
    <x v="5"/>
    <x v="0"/>
    <n v="46"/>
    <n v="77"/>
    <x v="96"/>
    <n v="368.36800000000005"/>
  </r>
  <r>
    <n v="1113"/>
    <x v="55"/>
    <n v="1"/>
    <x v="11"/>
    <s v="123 1st Street"/>
    <x v="10"/>
    <x v="10"/>
    <n v="99999"/>
    <x v="0"/>
    <x v="2"/>
    <x v="2"/>
    <m/>
    <m/>
    <s v="Anna Bedecs"/>
    <s v="123 1st Street"/>
    <x v="10"/>
    <s v="WA"/>
    <n v="99999"/>
    <s v="USA"/>
    <m/>
    <x v="10"/>
    <x v="0"/>
    <n v="2.99"/>
    <n v="73"/>
    <x v="97"/>
    <n v="21.827000000000002"/>
  </r>
  <r>
    <n v="1114"/>
    <x v="50"/>
    <n v="28"/>
    <x v="7"/>
    <s v="789 28th Street"/>
    <x v="6"/>
    <x v="6"/>
    <n v="99999"/>
    <x v="0"/>
    <x v="5"/>
    <x v="3"/>
    <n v="41789"/>
    <s v="Shipping Company C"/>
    <s v="Amritansh Raghav"/>
    <s v="789 28th Street"/>
    <x v="6"/>
    <s v="TN"/>
    <n v="99999"/>
    <s v="USA"/>
    <s v="Credit Card"/>
    <x v="8"/>
    <x v="4"/>
    <n v="9.65"/>
    <n v="74"/>
    <x v="98"/>
    <n v="67.839500000000001"/>
  </r>
  <r>
    <n v="1115"/>
    <x v="50"/>
    <n v="28"/>
    <x v="7"/>
    <s v="789 28th Street"/>
    <x v="6"/>
    <x v="6"/>
    <n v="99999"/>
    <x v="0"/>
    <x v="5"/>
    <x v="3"/>
    <d v="2014-05-30T00:00:00"/>
    <s v="Shipping Company C"/>
    <s v="Amritansh Raghav"/>
    <s v="789 28th Street"/>
    <x v="6"/>
    <s v="TN"/>
    <n v="99999"/>
    <s v="USA"/>
    <s v="Credit Card"/>
    <x v="13"/>
    <x v="8"/>
    <n v="18.399999999999999"/>
    <n v="25"/>
    <x v="99"/>
    <n v="46.46"/>
  </r>
  <r>
    <n v="1116"/>
    <x v="56"/>
    <n v="9"/>
    <x v="12"/>
    <s v="123 9th Street"/>
    <x v="11"/>
    <x v="11"/>
    <n v="99999"/>
    <x v="0"/>
    <x v="7"/>
    <x v="0"/>
    <d v="2014-05-11T00:00:00"/>
    <s v="Shipping Company A"/>
    <s v="Sven Mortensen"/>
    <s v="123 9th Street"/>
    <x v="11"/>
    <s v="UT"/>
    <n v="99999"/>
    <s v="USA"/>
    <s v="Check"/>
    <x v="14"/>
    <x v="9"/>
    <n v="19.5"/>
    <n v="82"/>
    <x v="100"/>
    <n v="153.50399999999999"/>
  </r>
  <r>
    <n v="1117"/>
    <x v="56"/>
    <n v="9"/>
    <x v="12"/>
    <s v="123 9th Street"/>
    <x v="11"/>
    <x v="11"/>
    <n v="99999"/>
    <x v="0"/>
    <x v="7"/>
    <x v="0"/>
    <d v="2014-05-11T00:00:00"/>
    <s v="Shipping Company A"/>
    <s v="Sven Mortensen"/>
    <s v="123 9th Street"/>
    <x v="11"/>
    <s v="UT"/>
    <n v="99999"/>
    <s v="USA"/>
    <s v="Check"/>
    <x v="15"/>
    <x v="10"/>
    <n v="34.799999999999997"/>
    <n v="37"/>
    <x v="101"/>
    <n v="132.62279999999998"/>
  </r>
  <r>
    <n v="1118"/>
    <x v="49"/>
    <n v="6"/>
    <x v="6"/>
    <s v="123 6th Street"/>
    <x v="5"/>
    <x v="5"/>
    <n v="99999"/>
    <x v="0"/>
    <x v="4"/>
    <x v="2"/>
    <n v="41767"/>
    <s v="Shipping Company B"/>
    <s v="Francisco Pérez-Olaeta"/>
    <s v="123 6th Street"/>
    <x v="5"/>
    <s v="WI"/>
    <n v="99999"/>
    <s v="USA"/>
    <s v="Credit Card"/>
    <x v="0"/>
    <x v="0"/>
    <n v="14"/>
    <n v="84"/>
    <x v="102"/>
    <n v="112.896"/>
  </r>
  <r>
    <n v="1119"/>
    <x v="51"/>
    <n v="8"/>
    <x v="3"/>
    <s v="123 8th Street"/>
    <x v="2"/>
    <x v="2"/>
    <n v="99999"/>
    <x v="0"/>
    <x v="2"/>
    <x v="2"/>
    <n v="41769"/>
    <s v="Shipping Company B"/>
    <s v="Elizabeth Andersen"/>
    <s v="123 8th Street"/>
    <x v="2"/>
    <s v="OR"/>
    <n v="99999"/>
    <s v="USA"/>
    <s v="Check"/>
    <x v="9"/>
    <x v="5"/>
    <n v="40"/>
    <n v="73"/>
    <x v="103"/>
    <n v="283.24"/>
  </r>
  <r>
    <n v="1120"/>
    <x v="51"/>
    <n v="8"/>
    <x v="3"/>
    <s v="123 8th Street"/>
    <x v="2"/>
    <x v="2"/>
    <n v="99999"/>
    <x v="0"/>
    <x v="2"/>
    <x v="2"/>
    <n v="41769"/>
    <s v="Shipping Company B"/>
    <s v="Elizabeth Andersen"/>
    <s v="123 8th Street"/>
    <x v="2"/>
    <s v="OR"/>
    <n v="99999"/>
    <s v="USA"/>
    <s v="Check"/>
    <x v="6"/>
    <x v="2"/>
    <n v="9.1999999999999993"/>
    <n v="51"/>
    <x v="104"/>
    <n v="44.573999999999998"/>
  </r>
  <r>
    <n v="1121"/>
    <x v="57"/>
    <n v="25"/>
    <x v="13"/>
    <s v="789 25th Street"/>
    <x v="7"/>
    <x v="7"/>
    <n v="99999"/>
    <x v="0"/>
    <x v="6"/>
    <x v="1"/>
    <n v="41786"/>
    <s v="Shipping Company A"/>
    <s v="John Rodman"/>
    <s v="789 25th Street"/>
    <x v="7"/>
    <s v="IL"/>
    <n v="99999"/>
    <s v="USA"/>
    <s v="Cash"/>
    <x v="21"/>
    <x v="2"/>
    <n v="10"/>
    <n v="66"/>
    <x v="91"/>
    <n v="68.64"/>
  </r>
  <r>
    <n v="1122"/>
    <x v="58"/>
    <n v="26"/>
    <x v="14"/>
    <s v="789 26th Street"/>
    <x v="9"/>
    <x v="9"/>
    <n v="99999"/>
    <x v="0"/>
    <x v="5"/>
    <x v="3"/>
    <n v="41787"/>
    <s v="Shipping Company C"/>
    <s v="Run Liu"/>
    <s v="789 26th Street"/>
    <x v="9"/>
    <s v="FL"/>
    <n v="99999"/>
    <s v="USA"/>
    <s v="Credit Card"/>
    <x v="22"/>
    <x v="13"/>
    <n v="21.35"/>
    <n v="36"/>
    <x v="105"/>
    <n v="74.554200000000009"/>
  </r>
  <r>
    <n v="1123"/>
    <x v="58"/>
    <n v="26"/>
    <x v="14"/>
    <s v="789 26th Street"/>
    <x v="9"/>
    <x v="9"/>
    <n v="99999"/>
    <x v="0"/>
    <x v="5"/>
    <x v="3"/>
    <d v="2014-05-28T00:00:00"/>
    <s v="Shipping Company C"/>
    <s v="Run Liu"/>
    <s v="789 26th Street"/>
    <x v="9"/>
    <s v="FL"/>
    <n v="99999"/>
    <s v="USA"/>
    <s v="Credit Card"/>
    <x v="8"/>
    <x v="4"/>
    <n v="9.65"/>
    <n v="87"/>
    <x v="106"/>
    <n v="87.313200000000009"/>
  </r>
  <r>
    <n v="1124"/>
    <x v="58"/>
    <n v="26"/>
    <x v="14"/>
    <s v="789 26th Street"/>
    <x v="9"/>
    <x v="9"/>
    <n v="99999"/>
    <x v="0"/>
    <x v="5"/>
    <x v="3"/>
    <d v="2014-05-28T00:00:00"/>
    <s v="Shipping Company C"/>
    <s v="Run Liu"/>
    <s v="789 26th Street"/>
    <x v="9"/>
    <s v="FL"/>
    <n v="99999"/>
    <s v="USA"/>
    <s v="Credit Card"/>
    <x v="13"/>
    <x v="8"/>
    <n v="18.399999999999999"/>
    <n v="64"/>
    <x v="107"/>
    <n v="115.40479999999999"/>
  </r>
  <r>
    <n v="1125"/>
    <x v="47"/>
    <n v="29"/>
    <x v="4"/>
    <s v="789 29th Street"/>
    <x v="3"/>
    <x v="3"/>
    <n v="99999"/>
    <x v="0"/>
    <x v="3"/>
    <x v="0"/>
    <d v="2014-05-31T00:00:00"/>
    <s v="Shipping Company B"/>
    <s v="Soo Jung Lee"/>
    <s v="789 29th Street"/>
    <x v="3"/>
    <s v="CO"/>
    <n v="99999"/>
    <s v="USA"/>
    <s v="Check"/>
    <x v="0"/>
    <x v="0"/>
    <n v="14"/>
    <n v="21"/>
    <x v="108"/>
    <n v="30.870000000000005"/>
  </r>
  <r>
    <n v="1126"/>
    <x v="49"/>
    <n v="6"/>
    <x v="6"/>
    <s v="123 6th Street"/>
    <x v="5"/>
    <x v="5"/>
    <n v="99999"/>
    <x v="0"/>
    <x v="4"/>
    <x v="2"/>
    <d v="2014-05-08T00:00:00"/>
    <s v="Shipping Company C"/>
    <s v="Francisco Pérez-Olaeta"/>
    <s v="123 6th Street"/>
    <x v="5"/>
    <s v="WI"/>
    <n v="99999"/>
    <s v="USA"/>
    <s v="Check"/>
    <x v="7"/>
    <x v="3"/>
    <n v="12.75"/>
    <n v="19"/>
    <x v="109"/>
    <n v="24.46725"/>
  </r>
  <r>
    <n v="1128"/>
    <x v="59"/>
    <n v="4"/>
    <x v="1"/>
    <s v="123 4th Street"/>
    <x v="1"/>
    <x v="1"/>
    <n v="99999"/>
    <x v="0"/>
    <x v="1"/>
    <x v="1"/>
    <d v="2014-05-06T00:00:00"/>
    <s v="Shipping Company A"/>
    <s v="Christina Lee"/>
    <s v="123 4th Street"/>
    <x v="1"/>
    <s v="NY"/>
    <n v="99999"/>
    <s v="USA"/>
    <s v="Credit Card"/>
    <x v="23"/>
    <x v="6"/>
    <n v="81"/>
    <n v="23"/>
    <x v="110"/>
    <n v="195.61500000000001"/>
  </r>
  <r>
    <n v="1129"/>
    <x v="59"/>
    <n v="4"/>
    <x v="1"/>
    <s v="123 4th Street"/>
    <x v="1"/>
    <x v="1"/>
    <n v="99999"/>
    <x v="0"/>
    <x v="1"/>
    <x v="1"/>
    <d v="2014-05-06T00:00:00"/>
    <s v="Shipping Company A"/>
    <s v="Christina Lee"/>
    <s v="123 4th Street"/>
    <x v="1"/>
    <s v="NY"/>
    <n v="99999"/>
    <s v="USA"/>
    <s v="Credit Card"/>
    <x v="24"/>
    <x v="14"/>
    <n v="7"/>
    <n v="72"/>
    <x v="111"/>
    <n v="51.912000000000006"/>
  </r>
  <r>
    <n v="1131"/>
    <x v="51"/>
    <n v="8"/>
    <x v="3"/>
    <s v="123 8th Street"/>
    <x v="2"/>
    <x v="2"/>
    <n v="99999"/>
    <x v="0"/>
    <x v="2"/>
    <x v="2"/>
    <d v="2014-05-10T00:00:00"/>
    <s v="Shipping Company C"/>
    <s v="Elizabeth Andersen"/>
    <s v="123 8th Street"/>
    <x v="2"/>
    <s v="OR"/>
    <n v="99999"/>
    <s v="USA"/>
    <s v="Credit Card"/>
    <x v="15"/>
    <x v="10"/>
    <n v="34.799999999999997"/>
    <n v="22"/>
    <x v="112"/>
    <n v="75.02879999999999"/>
  </r>
  <r>
    <n v="1134"/>
    <x v="48"/>
    <n v="3"/>
    <x v="5"/>
    <s v="123 3rd Street"/>
    <x v="4"/>
    <x v="4"/>
    <n v="99999"/>
    <x v="0"/>
    <x v="0"/>
    <x v="0"/>
    <d v="2014-05-05T00:00:00"/>
    <s v="Shipping Company B"/>
    <s v="Thomas Axerr"/>
    <s v="123 3rd Street"/>
    <x v="4"/>
    <s v="CA"/>
    <n v="99999"/>
    <s v="USA"/>
    <s v="Cash"/>
    <x v="16"/>
    <x v="7"/>
    <n v="10"/>
    <n v="82"/>
    <x v="113"/>
    <n v="85.28"/>
  </r>
  <r>
    <n v="1135"/>
    <x v="48"/>
    <n v="3"/>
    <x v="5"/>
    <s v="123 3rd Street"/>
    <x v="4"/>
    <x v="4"/>
    <n v="99999"/>
    <x v="0"/>
    <x v="0"/>
    <x v="0"/>
    <d v="2014-05-05T00:00:00"/>
    <s v="Shipping Company B"/>
    <s v="Thomas Axerr"/>
    <s v="123 3rd Street"/>
    <x v="4"/>
    <s v="CA"/>
    <n v="99999"/>
    <s v="USA"/>
    <s v="Cash"/>
    <x v="9"/>
    <x v="5"/>
    <n v="40"/>
    <n v="98"/>
    <x v="114"/>
    <n v="411.6"/>
  </r>
  <r>
    <n v="1138"/>
    <x v="60"/>
    <n v="7"/>
    <x v="9"/>
    <s v="123 7th Street"/>
    <x v="8"/>
    <x v="8"/>
    <n v="99999"/>
    <x v="0"/>
    <x v="2"/>
    <x v="2"/>
    <m/>
    <m/>
    <s v="Ming-Yang Xie"/>
    <s v="123 7th Street"/>
    <x v="8"/>
    <s v="ID"/>
    <n v="99999"/>
    <s v="USA"/>
    <m/>
    <x v="5"/>
    <x v="0"/>
    <n v="46"/>
    <n v="71"/>
    <x v="115"/>
    <n v="310.27"/>
  </r>
  <r>
    <n v="1139"/>
    <x v="61"/>
    <n v="10"/>
    <x v="8"/>
    <s v="123 10th Street"/>
    <x v="7"/>
    <x v="7"/>
    <n v="99999"/>
    <x v="0"/>
    <x v="6"/>
    <x v="1"/>
    <d v="2014-06-12T00:00:00"/>
    <s v="Shipping Company A"/>
    <s v="Roland Wacker"/>
    <s v="123 10th Street"/>
    <x v="7"/>
    <s v="IL"/>
    <n v="99999"/>
    <s v="USA"/>
    <m/>
    <x v="11"/>
    <x v="6"/>
    <n v="25"/>
    <n v="40"/>
    <x v="116"/>
    <n v="105"/>
  </r>
  <r>
    <n v="1140"/>
    <x v="61"/>
    <n v="10"/>
    <x v="8"/>
    <s v="123 10th Street"/>
    <x v="7"/>
    <x v="7"/>
    <n v="99999"/>
    <x v="0"/>
    <x v="6"/>
    <x v="1"/>
    <d v="2014-06-12T00:00:00"/>
    <s v="Shipping Company A"/>
    <s v="Roland Wacker"/>
    <s v="123 10th Street"/>
    <x v="7"/>
    <s v="IL"/>
    <n v="99999"/>
    <s v="USA"/>
    <m/>
    <x v="12"/>
    <x v="7"/>
    <n v="22"/>
    <n v="80"/>
    <x v="117"/>
    <n v="172.48"/>
  </r>
  <r>
    <n v="1141"/>
    <x v="61"/>
    <n v="10"/>
    <x v="8"/>
    <s v="123 10th Street"/>
    <x v="7"/>
    <x v="7"/>
    <n v="99999"/>
    <x v="0"/>
    <x v="6"/>
    <x v="1"/>
    <d v="2014-06-12T00:00:00"/>
    <s v="Shipping Company A"/>
    <s v="Roland Wacker"/>
    <s v="123 10th Street"/>
    <x v="7"/>
    <s v="IL"/>
    <n v="99999"/>
    <s v="USA"/>
    <m/>
    <x v="6"/>
    <x v="2"/>
    <n v="9.1999999999999993"/>
    <n v="38"/>
    <x v="7"/>
    <n v="33.211999999999996"/>
  </r>
  <r>
    <n v="1142"/>
    <x v="62"/>
    <n v="11"/>
    <x v="10"/>
    <s v="123 11th Street"/>
    <x v="9"/>
    <x v="9"/>
    <n v="99999"/>
    <x v="0"/>
    <x v="5"/>
    <x v="3"/>
    <m/>
    <s v="Shipping Company C"/>
    <s v="Peter Krschne"/>
    <s v="123 11th Street"/>
    <x v="9"/>
    <s v="FL"/>
    <n v="99999"/>
    <s v="USA"/>
    <m/>
    <x v="1"/>
    <x v="1"/>
    <n v="3.5"/>
    <n v="28"/>
    <x v="118"/>
    <n v="10.290000000000001"/>
  </r>
  <r>
    <n v="1143"/>
    <x v="62"/>
    <n v="11"/>
    <x v="10"/>
    <s v="123 11th Street"/>
    <x v="9"/>
    <x v="9"/>
    <n v="99999"/>
    <x v="0"/>
    <x v="5"/>
    <x v="3"/>
    <m/>
    <s v="Shipping Company C"/>
    <s v="Peter Krschne"/>
    <s v="123 11th Street"/>
    <x v="9"/>
    <s v="FL"/>
    <n v="99999"/>
    <s v="USA"/>
    <m/>
    <x v="10"/>
    <x v="0"/>
    <n v="2.99"/>
    <n v="60"/>
    <x v="119"/>
    <n v="17.581200000000003"/>
  </r>
  <r>
    <n v="1144"/>
    <x v="63"/>
    <n v="1"/>
    <x v="11"/>
    <s v="123 1st Street"/>
    <x v="10"/>
    <x v="10"/>
    <n v="99999"/>
    <x v="0"/>
    <x v="2"/>
    <x v="2"/>
    <m/>
    <m/>
    <s v="Anna Bedecs"/>
    <s v="123 1st Street"/>
    <x v="10"/>
    <s v="WA"/>
    <n v="99999"/>
    <s v="USA"/>
    <m/>
    <x v="4"/>
    <x v="0"/>
    <n v="18"/>
    <n v="33"/>
    <x v="120"/>
    <n v="58.212000000000003"/>
  </r>
  <r>
    <n v="1145"/>
    <x v="63"/>
    <n v="1"/>
    <x v="11"/>
    <s v="123 1st Street"/>
    <x v="10"/>
    <x v="10"/>
    <n v="99999"/>
    <x v="0"/>
    <x v="2"/>
    <x v="2"/>
    <m/>
    <m/>
    <s v="Anna Bedecs"/>
    <s v="123 1st Street"/>
    <x v="10"/>
    <s v="WA"/>
    <n v="99999"/>
    <s v="USA"/>
    <m/>
    <x v="5"/>
    <x v="0"/>
    <n v="46"/>
    <n v="22"/>
    <x v="121"/>
    <n v="101.2"/>
  </r>
  <r>
    <n v="1146"/>
    <x v="63"/>
    <n v="1"/>
    <x v="11"/>
    <s v="123 1st Street"/>
    <x v="10"/>
    <x v="10"/>
    <n v="99999"/>
    <x v="0"/>
    <x v="2"/>
    <x v="2"/>
    <m/>
    <m/>
    <s v="Anna Bedecs"/>
    <s v="123 1st Street"/>
    <x v="10"/>
    <s v="WA"/>
    <n v="99999"/>
    <s v="USA"/>
    <m/>
    <x v="10"/>
    <x v="0"/>
    <n v="2.99"/>
    <n v="51"/>
    <x v="122"/>
    <n v="14.944020000000002"/>
  </r>
  <r>
    <n v="1147"/>
    <x v="64"/>
    <n v="28"/>
    <x v="7"/>
    <s v="789 28th Street"/>
    <x v="6"/>
    <x v="6"/>
    <n v="99999"/>
    <x v="0"/>
    <x v="5"/>
    <x v="3"/>
    <d v="2014-06-30T00:00:00"/>
    <s v="Shipping Company C"/>
    <s v="Amritansh Raghav"/>
    <s v="789 28th Street"/>
    <x v="6"/>
    <s v="TN"/>
    <n v="99999"/>
    <s v="USA"/>
    <s v="Credit Card"/>
    <x v="8"/>
    <x v="4"/>
    <n v="9.65"/>
    <n v="60"/>
    <x v="123"/>
    <n v="57.321000000000005"/>
  </r>
  <r>
    <n v="1148"/>
    <x v="64"/>
    <n v="28"/>
    <x v="7"/>
    <s v="789 28th Street"/>
    <x v="6"/>
    <x v="6"/>
    <n v="99999"/>
    <x v="0"/>
    <x v="5"/>
    <x v="3"/>
    <d v="2014-06-30T00:00:00"/>
    <s v="Shipping Company C"/>
    <s v="Amritansh Raghav"/>
    <s v="789 28th Street"/>
    <x v="6"/>
    <s v="TN"/>
    <n v="99999"/>
    <s v="USA"/>
    <s v="Credit Card"/>
    <x v="13"/>
    <x v="8"/>
    <n v="18.399999999999999"/>
    <n v="98"/>
    <x v="124"/>
    <n v="183.9264"/>
  </r>
  <r>
    <n v="1149"/>
    <x v="65"/>
    <n v="9"/>
    <x v="12"/>
    <s v="123 9th Street"/>
    <x v="11"/>
    <x v="11"/>
    <n v="99999"/>
    <x v="0"/>
    <x v="7"/>
    <x v="0"/>
    <d v="2014-06-11T00:00:00"/>
    <s v="Shipping Company A"/>
    <s v="Sven Mortensen"/>
    <s v="123 9th Street"/>
    <x v="11"/>
    <s v="UT"/>
    <n v="99999"/>
    <s v="USA"/>
    <s v="Check"/>
    <x v="14"/>
    <x v="9"/>
    <n v="19.5"/>
    <n v="27"/>
    <x v="125"/>
    <n v="51.070500000000003"/>
  </r>
  <r>
    <n v="1150"/>
    <x v="65"/>
    <n v="9"/>
    <x v="12"/>
    <s v="123 9th Street"/>
    <x v="11"/>
    <x v="11"/>
    <n v="99999"/>
    <x v="0"/>
    <x v="7"/>
    <x v="0"/>
    <d v="2014-06-11T00:00:00"/>
    <s v="Shipping Company A"/>
    <s v="Sven Mortensen"/>
    <s v="123 9th Street"/>
    <x v="11"/>
    <s v="UT"/>
    <n v="99999"/>
    <s v="USA"/>
    <s v="Check"/>
    <x v="15"/>
    <x v="10"/>
    <n v="34.799999999999997"/>
    <n v="88"/>
    <x v="126"/>
    <n v="303.17759999999993"/>
  </r>
  <r>
    <n v="1151"/>
    <x v="66"/>
    <n v="6"/>
    <x v="6"/>
    <s v="123 6th Street"/>
    <x v="5"/>
    <x v="5"/>
    <n v="99999"/>
    <x v="0"/>
    <x v="4"/>
    <x v="2"/>
    <d v="2014-06-08T00:00:00"/>
    <s v="Shipping Company B"/>
    <s v="Francisco Pérez-Olaeta"/>
    <s v="123 6th Street"/>
    <x v="5"/>
    <s v="WI"/>
    <n v="99999"/>
    <s v="USA"/>
    <s v="Credit Card"/>
    <x v="0"/>
    <x v="0"/>
    <n v="14"/>
    <n v="65"/>
    <x v="127"/>
    <n v="95.55"/>
  </r>
  <r>
    <n v="1152"/>
    <x v="67"/>
    <n v="8"/>
    <x v="3"/>
    <s v="123 8th Street"/>
    <x v="2"/>
    <x v="2"/>
    <n v="99999"/>
    <x v="0"/>
    <x v="2"/>
    <x v="2"/>
    <d v="2014-06-10T00:00:00"/>
    <s v="Shipping Company B"/>
    <s v="Elizabeth Andersen"/>
    <s v="123 8th Street"/>
    <x v="2"/>
    <s v="OR"/>
    <n v="99999"/>
    <s v="USA"/>
    <s v="Check"/>
    <x v="9"/>
    <x v="5"/>
    <n v="40"/>
    <n v="38"/>
    <x v="128"/>
    <n v="148.96"/>
  </r>
  <r>
    <n v="1153"/>
    <x v="67"/>
    <n v="8"/>
    <x v="3"/>
    <s v="123 8th Street"/>
    <x v="2"/>
    <x v="2"/>
    <n v="99999"/>
    <x v="0"/>
    <x v="2"/>
    <x v="2"/>
    <n v="41800"/>
    <s v="Shipping Company B"/>
    <s v="Elizabeth Andersen"/>
    <s v="123 8th Street"/>
    <x v="2"/>
    <s v="OR"/>
    <n v="99999"/>
    <s v="USA"/>
    <s v="Check"/>
    <x v="6"/>
    <x v="2"/>
    <n v="9.1999999999999993"/>
    <n v="80"/>
    <x v="129"/>
    <n v="70.656000000000006"/>
  </r>
  <r>
    <n v="1154"/>
    <x v="68"/>
    <n v="25"/>
    <x v="13"/>
    <s v="789 25th Street"/>
    <x v="7"/>
    <x v="7"/>
    <n v="99999"/>
    <x v="0"/>
    <x v="6"/>
    <x v="1"/>
    <d v="2014-06-27T00:00:00"/>
    <s v="Shipping Company A"/>
    <s v="John Rodman"/>
    <s v="789 25th Street"/>
    <x v="7"/>
    <s v="IL"/>
    <n v="99999"/>
    <s v="USA"/>
    <s v="Cash"/>
    <x v="21"/>
    <x v="2"/>
    <n v="10"/>
    <n v="49"/>
    <x v="130"/>
    <n v="47.04"/>
  </r>
  <r>
    <n v="1155"/>
    <x v="69"/>
    <n v="26"/>
    <x v="14"/>
    <s v="789 26th Street"/>
    <x v="9"/>
    <x v="9"/>
    <n v="99999"/>
    <x v="0"/>
    <x v="5"/>
    <x v="3"/>
    <d v="2014-06-28T00:00:00"/>
    <s v="Shipping Company C"/>
    <s v="Run Liu"/>
    <s v="789 26th Street"/>
    <x v="9"/>
    <s v="FL"/>
    <n v="99999"/>
    <s v="USA"/>
    <s v="Credit Card"/>
    <x v="22"/>
    <x v="13"/>
    <n v="21.35"/>
    <n v="90"/>
    <x v="131"/>
    <n v="186.38550000000004"/>
  </r>
  <r>
    <n v="1156"/>
    <x v="69"/>
    <n v="26"/>
    <x v="14"/>
    <s v="789 26th Street"/>
    <x v="9"/>
    <x v="9"/>
    <n v="99999"/>
    <x v="0"/>
    <x v="5"/>
    <x v="3"/>
    <d v="2014-06-28T00:00:00"/>
    <s v="Shipping Company C"/>
    <s v="Run Liu"/>
    <s v="789 26th Street"/>
    <x v="9"/>
    <s v="FL"/>
    <n v="99999"/>
    <s v="USA"/>
    <s v="Credit Card"/>
    <x v="8"/>
    <x v="4"/>
    <n v="9.65"/>
    <n v="60"/>
    <x v="123"/>
    <n v="59.637000000000008"/>
  </r>
  <r>
    <n v="1157"/>
    <x v="69"/>
    <n v="26"/>
    <x v="14"/>
    <s v="789 26th Street"/>
    <x v="9"/>
    <x v="9"/>
    <n v="99999"/>
    <x v="0"/>
    <x v="5"/>
    <x v="3"/>
    <n v="41818"/>
    <s v="Shipping Company C"/>
    <s v="Run Liu"/>
    <s v="789 26th Street"/>
    <x v="9"/>
    <s v="FL"/>
    <n v="99999"/>
    <s v="USA"/>
    <s v="Credit Card"/>
    <x v="13"/>
    <x v="8"/>
    <n v="18.399999999999999"/>
    <n v="39"/>
    <x v="132"/>
    <n v="71.759999999999991"/>
  </r>
  <r>
    <n v="1158"/>
    <x v="70"/>
    <n v="29"/>
    <x v="4"/>
    <s v="789 29th Street"/>
    <x v="3"/>
    <x v="3"/>
    <n v="99999"/>
    <x v="0"/>
    <x v="3"/>
    <x v="0"/>
    <n v="41821"/>
    <s v="Shipping Company B"/>
    <s v="Soo Jung Lee"/>
    <s v="789 29th Street"/>
    <x v="3"/>
    <s v="CO"/>
    <n v="99999"/>
    <s v="USA"/>
    <s v="Check"/>
    <x v="0"/>
    <x v="0"/>
    <n v="14"/>
    <n v="79"/>
    <x v="133"/>
    <n v="113.91800000000001"/>
  </r>
  <r>
    <n v="1159"/>
    <x v="66"/>
    <n v="6"/>
    <x v="6"/>
    <s v="123 6th Street"/>
    <x v="5"/>
    <x v="5"/>
    <n v="99999"/>
    <x v="0"/>
    <x v="4"/>
    <x v="2"/>
    <n v="41798"/>
    <s v="Shipping Company C"/>
    <s v="Francisco Pérez-Olaeta"/>
    <s v="123 6th Street"/>
    <x v="5"/>
    <s v="WI"/>
    <n v="99999"/>
    <s v="USA"/>
    <s v="Check"/>
    <x v="7"/>
    <x v="3"/>
    <n v="12.75"/>
    <n v="44"/>
    <x v="134"/>
    <n v="57.222000000000001"/>
  </r>
  <r>
    <n v="1161"/>
    <x v="71"/>
    <n v="4"/>
    <x v="1"/>
    <s v="123 4th Street"/>
    <x v="1"/>
    <x v="1"/>
    <n v="99999"/>
    <x v="0"/>
    <x v="1"/>
    <x v="1"/>
    <n v="41796"/>
    <s v="Shipping Company A"/>
    <s v="Christina Lee"/>
    <s v="123 4th Street"/>
    <x v="1"/>
    <s v="NY"/>
    <n v="99999"/>
    <s v="USA"/>
    <s v="Credit Card"/>
    <x v="23"/>
    <x v="6"/>
    <n v="81"/>
    <n v="98"/>
    <x v="135"/>
    <n v="769.98599999999999"/>
  </r>
  <r>
    <n v="1162"/>
    <x v="71"/>
    <n v="4"/>
    <x v="1"/>
    <s v="123 4th Street"/>
    <x v="1"/>
    <x v="1"/>
    <n v="99999"/>
    <x v="0"/>
    <x v="1"/>
    <x v="1"/>
    <n v="41796"/>
    <s v="Shipping Company A"/>
    <s v="Christina Lee"/>
    <s v="123 4th Street"/>
    <x v="1"/>
    <s v="NY"/>
    <n v="99999"/>
    <s v="USA"/>
    <s v="Credit Card"/>
    <x v="24"/>
    <x v="14"/>
    <n v="7"/>
    <n v="61"/>
    <x v="136"/>
    <n v="42.273000000000003"/>
  </r>
  <r>
    <n v="1164"/>
    <x v="67"/>
    <n v="8"/>
    <x v="3"/>
    <s v="123 8th Street"/>
    <x v="2"/>
    <x v="2"/>
    <n v="99999"/>
    <x v="0"/>
    <x v="2"/>
    <x v="2"/>
    <d v="2014-06-10T00:00:00"/>
    <s v="Shipping Company C"/>
    <s v="Elizabeth Andersen"/>
    <s v="123 8th Street"/>
    <x v="2"/>
    <s v="OR"/>
    <n v="99999"/>
    <s v="USA"/>
    <s v="Credit Card"/>
    <x v="15"/>
    <x v="10"/>
    <n v="34.799999999999997"/>
    <n v="30"/>
    <x v="137"/>
    <n v="109.62"/>
  </r>
  <r>
    <n v="1167"/>
    <x v="72"/>
    <n v="3"/>
    <x v="5"/>
    <s v="123 3rd Street"/>
    <x v="4"/>
    <x v="4"/>
    <n v="99999"/>
    <x v="0"/>
    <x v="0"/>
    <x v="0"/>
    <d v="2014-06-05T00:00:00"/>
    <s v="Shipping Company B"/>
    <s v="Thomas Axerr"/>
    <s v="123 3rd Street"/>
    <x v="4"/>
    <s v="CA"/>
    <n v="99999"/>
    <s v="USA"/>
    <s v="Cash"/>
    <x v="16"/>
    <x v="7"/>
    <n v="10"/>
    <n v="24"/>
    <x v="138"/>
    <n v="25.200000000000003"/>
  </r>
  <r>
    <n v="1168"/>
    <x v="72"/>
    <n v="3"/>
    <x v="5"/>
    <s v="123 3rd Street"/>
    <x v="4"/>
    <x v="4"/>
    <n v="99999"/>
    <x v="0"/>
    <x v="0"/>
    <x v="0"/>
    <d v="2014-06-05T00:00:00"/>
    <s v="Shipping Company B"/>
    <s v="Thomas Axerr"/>
    <s v="123 3rd Street"/>
    <x v="4"/>
    <s v="CA"/>
    <n v="99999"/>
    <s v="USA"/>
    <s v="Cash"/>
    <x v="9"/>
    <x v="5"/>
    <n v="40"/>
    <n v="28"/>
    <x v="139"/>
    <n v="109.75999999999999"/>
  </r>
  <r>
    <n v="1172"/>
    <x v="61"/>
    <n v="10"/>
    <x v="8"/>
    <s v="123 10th Street"/>
    <x v="7"/>
    <x v="7"/>
    <n v="99999"/>
    <x v="0"/>
    <x v="6"/>
    <x v="1"/>
    <d v="2014-06-12T00:00:00"/>
    <s v="Shipping Company B"/>
    <s v="Roland Wacker"/>
    <s v="123 10th Street"/>
    <x v="7"/>
    <s v="IL"/>
    <n v="99999"/>
    <s v="USA"/>
    <s v="Credit Card"/>
    <x v="18"/>
    <x v="1"/>
    <n v="10"/>
    <n v="74"/>
    <x v="140"/>
    <n v="71.78"/>
  </r>
  <r>
    <n v="1174"/>
    <x v="61"/>
    <n v="10"/>
    <x v="8"/>
    <s v="123 10th Street"/>
    <x v="7"/>
    <x v="7"/>
    <n v="99999"/>
    <x v="0"/>
    <x v="6"/>
    <x v="1"/>
    <m/>
    <s v="Shipping Company A"/>
    <s v="Roland Wacker"/>
    <s v="123 10th Street"/>
    <x v="7"/>
    <s v="IL"/>
    <n v="99999"/>
    <s v="USA"/>
    <m/>
    <x v="1"/>
    <x v="1"/>
    <n v="3.5"/>
    <n v="90"/>
    <x v="141"/>
    <n v="30.24"/>
  </r>
  <r>
    <n v="1175"/>
    <x v="62"/>
    <n v="11"/>
    <x v="10"/>
    <s v="123 11th Street"/>
    <x v="9"/>
    <x v="9"/>
    <n v="99999"/>
    <x v="0"/>
    <x v="5"/>
    <x v="3"/>
    <m/>
    <s v="Shipping Company C"/>
    <s v="Peter Krschne"/>
    <s v="123 11th Street"/>
    <x v="9"/>
    <s v="FL"/>
    <n v="99999"/>
    <s v="USA"/>
    <m/>
    <x v="9"/>
    <x v="5"/>
    <n v="40"/>
    <n v="27"/>
    <x v="142"/>
    <n v="111.24000000000001"/>
  </r>
  <r>
    <n v="1176"/>
    <x v="63"/>
    <n v="1"/>
    <x v="11"/>
    <s v="123 1st Street"/>
    <x v="10"/>
    <x v="10"/>
    <n v="99999"/>
    <x v="0"/>
    <x v="2"/>
    <x v="2"/>
    <m/>
    <s v="Shipping Company C"/>
    <s v="Anna Bedecs"/>
    <s v="123 1st Street"/>
    <x v="10"/>
    <s v="WA"/>
    <n v="99999"/>
    <s v="USA"/>
    <m/>
    <x v="13"/>
    <x v="8"/>
    <n v="18.399999999999999"/>
    <n v="71"/>
    <x v="143"/>
    <n v="137.172"/>
  </r>
  <r>
    <n v="1177"/>
    <x v="64"/>
    <n v="28"/>
    <x v="7"/>
    <s v="789 28th Street"/>
    <x v="6"/>
    <x v="6"/>
    <n v="99999"/>
    <x v="0"/>
    <x v="5"/>
    <x v="3"/>
    <d v="2014-06-30T00:00:00"/>
    <s v="Shipping Company C"/>
    <s v="Amritansh Raghav"/>
    <s v="789 28th Street"/>
    <x v="6"/>
    <s v="TN"/>
    <n v="99999"/>
    <s v="USA"/>
    <s v="Credit Card"/>
    <x v="5"/>
    <x v="0"/>
    <n v="46"/>
    <n v="74"/>
    <x v="144"/>
    <n v="340.40000000000003"/>
  </r>
  <r>
    <n v="1178"/>
    <x v="65"/>
    <n v="9"/>
    <x v="12"/>
    <s v="123 9th Street"/>
    <x v="11"/>
    <x v="11"/>
    <n v="99999"/>
    <x v="0"/>
    <x v="7"/>
    <x v="0"/>
    <d v="2014-06-11T00:00:00"/>
    <s v="Shipping Company A"/>
    <s v="Sven Mortensen"/>
    <s v="123 9th Street"/>
    <x v="11"/>
    <s v="UT"/>
    <n v="99999"/>
    <s v="USA"/>
    <s v="Check"/>
    <x v="8"/>
    <x v="4"/>
    <n v="9.65"/>
    <n v="76"/>
    <x v="145"/>
    <n v="72.6066"/>
  </r>
  <r>
    <n v="1179"/>
    <x v="66"/>
    <n v="6"/>
    <x v="6"/>
    <s v="123 6th Street"/>
    <x v="5"/>
    <x v="5"/>
    <n v="99999"/>
    <x v="0"/>
    <x v="4"/>
    <x v="2"/>
    <d v="2014-06-08T00:00:00"/>
    <s v="Shipping Company B"/>
    <s v="Francisco Pérez-Olaeta"/>
    <s v="123 6th Street"/>
    <x v="5"/>
    <s v="WI"/>
    <n v="99999"/>
    <s v="USA"/>
    <s v="Credit Card"/>
    <x v="7"/>
    <x v="3"/>
    <n v="12.75"/>
    <n v="96"/>
    <x v="146"/>
    <n v="123.62400000000001"/>
  </r>
  <r>
    <n v="1180"/>
    <x v="67"/>
    <n v="8"/>
    <x v="3"/>
    <s v="123 8th Street"/>
    <x v="2"/>
    <x v="2"/>
    <n v="99999"/>
    <x v="0"/>
    <x v="2"/>
    <x v="2"/>
    <d v="2014-06-10T00:00:00"/>
    <s v="Shipping Company B"/>
    <s v="Elizabeth Andersen"/>
    <s v="123 8th Street"/>
    <x v="2"/>
    <s v="OR"/>
    <n v="99999"/>
    <s v="USA"/>
    <s v="Check"/>
    <x v="7"/>
    <x v="3"/>
    <n v="12.75"/>
    <n v="92"/>
    <x v="147"/>
    <n v="116.12700000000001"/>
  </r>
  <r>
    <n v="1181"/>
    <x v="68"/>
    <n v="25"/>
    <x v="13"/>
    <s v="789 25th Street"/>
    <x v="7"/>
    <x v="7"/>
    <n v="99999"/>
    <x v="0"/>
    <x v="6"/>
    <x v="1"/>
    <d v="2014-06-27T00:00:00"/>
    <s v="Shipping Company A"/>
    <s v="John Rodman"/>
    <s v="789 25th Street"/>
    <x v="7"/>
    <s v="IL"/>
    <n v="99999"/>
    <s v="USA"/>
    <s v="Cash"/>
    <x v="12"/>
    <x v="7"/>
    <n v="22"/>
    <n v="93"/>
    <x v="148"/>
    <n v="200.50800000000001"/>
  </r>
  <r>
    <n v="1182"/>
    <x v="69"/>
    <n v="26"/>
    <x v="14"/>
    <s v="789 26th Street"/>
    <x v="9"/>
    <x v="9"/>
    <n v="99999"/>
    <x v="0"/>
    <x v="5"/>
    <x v="3"/>
    <d v="2014-06-28T00:00:00"/>
    <s v="Shipping Company C"/>
    <s v="Run Liu"/>
    <s v="789 26th Street"/>
    <x v="9"/>
    <s v="FL"/>
    <n v="99999"/>
    <s v="USA"/>
    <s v="Credit Card"/>
    <x v="11"/>
    <x v="6"/>
    <n v="25"/>
    <n v="18"/>
    <x v="149"/>
    <n v="42.75"/>
  </r>
  <r>
    <n v="1183"/>
    <x v="70"/>
    <n v="29"/>
    <x v="4"/>
    <s v="789 29th Street"/>
    <x v="3"/>
    <x v="3"/>
    <n v="99999"/>
    <x v="0"/>
    <x v="3"/>
    <x v="0"/>
    <d v="2014-07-01T00:00:00"/>
    <s v="Shipping Company B"/>
    <s v="Soo Jung Lee"/>
    <s v="789 29th Street"/>
    <x v="3"/>
    <s v="CO"/>
    <n v="99999"/>
    <s v="USA"/>
    <s v="Check"/>
    <x v="19"/>
    <x v="12"/>
    <n v="39"/>
    <n v="98"/>
    <x v="150"/>
    <n v="397.48800000000006"/>
  </r>
  <r>
    <n v="1184"/>
    <x v="66"/>
    <n v="6"/>
    <x v="6"/>
    <s v="123 6th Street"/>
    <x v="5"/>
    <x v="5"/>
    <n v="99999"/>
    <x v="0"/>
    <x v="4"/>
    <x v="2"/>
    <d v="2014-06-08T00:00:00"/>
    <s v="Shipping Company C"/>
    <s v="Francisco Pérez-Olaeta"/>
    <s v="123 6th Street"/>
    <x v="5"/>
    <s v="WI"/>
    <n v="99999"/>
    <s v="USA"/>
    <s v="Check"/>
    <x v="2"/>
    <x v="1"/>
    <n v="30"/>
    <n v="46"/>
    <x v="65"/>
    <n v="135.24"/>
  </r>
  <r>
    <n v="1185"/>
    <x v="66"/>
    <n v="6"/>
    <x v="6"/>
    <s v="123 6th Street"/>
    <x v="5"/>
    <x v="5"/>
    <n v="99999"/>
    <x v="0"/>
    <x v="4"/>
    <x v="2"/>
    <d v="2014-06-08T00:00:00"/>
    <s v="Shipping Company C"/>
    <s v="Francisco Pérez-Olaeta"/>
    <s v="123 6th Street"/>
    <x v="5"/>
    <s v="WI"/>
    <n v="99999"/>
    <s v="USA"/>
    <s v="Check"/>
    <x v="3"/>
    <x v="1"/>
    <n v="53"/>
    <n v="14"/>
    <x v="48"/>
    <n v="74.2"/>
  </r>
  <r>
    <n v="1186"/>
    <x v="71"/>
    <n v="4"/>
    <x v="1"/>
    <s v="123 4th Street"/>
    <x v="1"/>
    <x v="1"/>
    <n v="99999"/>
    <x v="0"/>
    <x v="1"/>
    <x v="1"/>
    <m/>
    <m/>
    <s v="Christina Lee"/>
    <s v="123 4th Street"/>
    <x v="1"/>
    <s v="NY"/>
    <n v="99999"/>
    <s v="USA"/>
    <m/>
    <x v="20"/>
    <x v="9"/>
    <n v="38"/>
    <n v="85"/>
    <x v="151"/>
    <n v="319.77"/>
  </r>
  <r>
    <n v="1187"/>
    <x v="72"/>
    <n v="3"/>
    <x v="5"/>
    <s v="123 3rd Street"/>
    <x v="4"/>
    <x v="4"/>
    <n v="99999"/>
    <x v="0"/>
    <x v="0"/>
    <x v="0"/>
    <m/>
    <m/>
    <s v="Thomas Axerr"/>
    <s v="123 3rd Street"/>
    <x v="4"/>
    <s v="CA"/>
    <n v="99999"/>
    <s v="USA"/>
    <m/>
    <x v="10"/>
    <x v="0"/>
    <n v="2.99"/>
    <n v="88"/>
    <x v="76"/>
    <n v="25.522639999999999"/>
  </r>
  <r>
    <n v="1188"/>
    <x v="73"/>
    <n v="1"/>
    <x v="11"/>
    <s v="123 1st Street"/>
    <x v="10"/>
    <x v="10"/>
    <n v="99999"/>
    <x v="0"/>
    <x v="2"/>
    <x v="2"/>
    <m/>
    <m/>
    <s v="Anna Bedecs"/>
    <s v="123 1st Street"/>
    <x v="10"/>
    <s v="WA"/>
    <n v="99999"/>
    <s v="USA"/>
    <m/>
    <x v="10"/>
    <x v="0"/>
    <n v="2.99"/>
    <n v="81"/>
    <x v="152"/>
    <n v="23.976810000000004"/>
  </r>
  <r>
    <n v="1189"/>
    <x v="74"/>
    <n v="28"/>
    <x v="7"/>
    <s v="789 28th Street"/>
    <x v="6"/>
    <x v="6"/>
    <n v="99999"/>
    <x v="0"/>
    <x v="5"/>
    <x v="3"/>
    <d v="2014-07-30T00:00:00"/>
    <s v="Shipping Company C"/>
    <s v="Amritansh Raghav"/>
    <s v="789 28th Street"/>
    <x v="6"/>
    <s v="TN"/>
    <n v="99999"/>
    <s v="USA"/>
    <s v="Credit Card"/>
    <x v="8"/>
    <x v="4"/>
    <n v="9.65"/>
    <n v="33"/>
    <x v="153"/>
    <n v="30.252749999999999"/>
  </r>
  <r>
    <n v="1190"/>
    <x v="74"/>
    <n v="28"/>
    <x v="7"/>
    <s v="789 28th Street"/>
    <x v="6"/>
    <x v="6"/>
    <n v="99999"/>
    <x v="0"/>
    <x v="5"/>
    <x v="3"/>
    <d v="2014-07-30T00:00:00"/>
    <s v="Shipping Company C"/>
    <s v="Amritansh Raghav"/>
    <s v="789 28th Street"/>
    <x v="6"/>
    <s v="TN"/>
    <n v="99999"/>
    <s v="USA"/>
    <s v="Credit Card"/>
    <x v="13"/>
    <x v="8"/>
    <n v="18.399999999999999"/>
    <n v="47"/>
    <x v="154"/>
    <n v="90.804000000000002"/>
  </r>
  <r>
    <n v="1191"/>
    <x v="75"/>
    <n v="9"/>
    <x v="12"/>
    <s v="123 9th Street"/>
    <x v="11"/>
    <x v="11"/>
    <n v="99999"/>
    <x v="0"/>
    <x v="7"/>
    <x v="0"/>
    <d v="2014-07-11T00:00:00"/>
    <s v="Shipping Company A"/>
    <s v="Sven Mortensen"/>
    <s v="123 9th Street"/>
    <x v="11"/>
    <s v="UT"/>
    <n v="99999"/>
    <s v="USA"/>
    <s v="Check"/>
    <x v="14"/>
    <x v="9"/>
    <n v="19.5"/>
    <n v="61"/>
    <x v="155"/>
    <n v="123.70800000000001"/>
  </r>
  <r>
    <n v="1192"/>
    <x v="75"/>
    <n v="9"/>
    <x v="12"/>
    <s v="123 9th Street"/>
    <x v="11"/>
    <x v="11"/>
    <n v="99999"/>
    <x v="0"/>
    <x v="7"/>
    <x v="0"/>
    <d v="2014-07-11T00:00:00"/>
    <s v="Shipping Company A"/>
    <s v="Sven Mortensen"/>
    <s v="123 9th Street"/>
    <x v="11"/>
    <s v="UT"/>
    <n v="99999"/>
    <s v="USA"/>
    <s v="Check"/>
    <x v="15"/>
    <x v="10"/>
    <n v="34.799999999999997"/>
    <n v="27"/>
    <x v="156"/>
    <n v="95.839199999999991"/>
  </r>
  <r>
    <n v="1193"/>
    <x v="76"/>
    <n v="6"/>
    <x v="6"/>
    <s v="123 6th Street"/>
    <x v="5"/>
    <x v="5"/>
    <n v="99999"/>
    <x v="0"/>
    <x v="4"/>
    <x v="2"/>
    <d v="2014-07-08T00:00:00"/>
    <s v="Shipping Company B"/>
    <s v="Francisco Pérez-Olaeta"/>
    <s v="123 6th Street"/>
    <x v="5"/>
    <s v="WI"/>
    <n v="99999"/>
    <s v="USA"/>
    <s v="Credit Card"/>
    <x v="0"/>
    <x v="0"/>
    <n v="14"/>
    <n v="84"/>
    <x v="102"/>
    <n v="118.77600000000001"/>
  </r>
  <r>
    <n v="1194"/>
    <x v="77"/>
    <n v="8"/>
    <x v="3"/>
    <s v="123 8th Street"/>
    <x v="2"/>
    <x v="2"/>
    <n v="99999"/>
    <x v="0"/>
    <x v="2"/>
    <x v="2"/>
    <d v="2014-07-10T00:00:00"/>
    <s v="Shipping Company B"/>
    <s v="Elizabeth Andersen"/>
    <s v="123 8th Street"/>
    <x v="2"/>
    <s v="OR"/>
    <n v="99999"/>
    <s v="USA"/>
    <s v="Check"/>
    <x v="9"/>
    <x v="5"/>
    <n v="40"/>
    <n v="91"/>
    <x v="157"/>
    <n v="360.36"/>
  </r>
  <r>
    <n v="1195"/>
    <x v="77"/>
    <n v="8"/>
    <x v="3"/>
    <s v="123 8th Street"/>
    <x v="2"/>
    <x v="2"/>
    <n v="99999"/>
    <x v="0"/>
    <x v="2"/>
    <x v="2"/>
    <d v="2014-07-10T00:00:00"/>
    <s v="Shipping Company B"/>
    <s v="Elizabeth Andersen"/>
    <s v="123 8th Street"/>
    <x v="2"/>
    <s v="OR"/>
    <n v="99999"/>
    <s v="USA"/>
    <s v="Check"/>
    <x v="6"/>
    <x v="2"/>
    <n v="9.1999999999999993"/>
    <n v="36"/>
    <x v="158"/>
    <n v="34.444800000000001"/>
  </r>
  <r>
    <n v="1196"/>
    <x v="78"/>
    <n v="25"/>
    <x v="13"/>
    <s v="789 25th Street"/>
    <x v="7"/>
    <x v="7"/>
    <n v="99999"/>
    <x v="0"/>
    <x v="6"/>
    <x v="1"/>
    <n v="41847"/>
    <s v="Shipping Company A"/>
    <s v="John Rodman"/>
    <s v="789 25th Street"/>
    <x v="7"/>
    <s v="IL"/>
    <n v="99999"/>
    <s v="USA"/>
    <s v="Cash"/>
    <x v="21"/>
    <x v="2"/>
    <n v="10"/>
    <n v="34"/>
    <x v="159"/>
    <n v="34.340000000000003"/>
  </r>
  <r>
    <n v="1197"/>
    <x v="79"/>
    <n v="26"/>
    <x v="14"/>
    <s v="789 26th Street"/>
    <x v="9"/>
    <x v="9"/>
    <n v="99999"/>
    <x v="0"/>
    <x v="5"/>
    <x v="3"/>
    <n v="41848"/>
    <s v="Shipping Company C"/>
    <s v="Run Liu"/>
    <s v="789 26th Street"/>
    <x v="9"/>
    <s v="FL"/>
    <n v="99999"/>
    <s v="USA"/>
    <s v="Credit Card"/>
    <x v="22"/>
    <x v="13"/>
    <n v="21.35"/>
    <n v="81"/>
    <x v="160"/>
    <n v="178.12305000000003"/>
  </r>
  <r>
    <n v="1198"/>
    <x v="79"/>
    <n v="26"/>
    <x v="14"/>
    <s v="789 26th Street"/>
    <x v="9"/>
    <x v="9"/>
    <n v="99999"/>
    <x v="0"/>
    <x v="5"/>
    <x v="3"/>
    <n v="41848"/>
    <s v="Shipping Company C"/>
    <s v="Run Liu"/>
    <s v="789 26th Street"/>
    <x v="9"/>
    <s v="FL"/>
    <n v="99999"/>
    <s v="USA"/>
    <s v="Credit Card"/>
    <x v="8"/>
    <x v="4"/>
    <n v="9.65"/>
    <n v="25"/>
    <x v="161"/>
    <n v="23.401250000000001"/>
  </r>
  <r>
    <n v="1199"/>
    <x v="79"/>
    <n v="26"/>
    <x v="14"/>
    <s v="789 26th Street"/>
    <x v="9"/>
    <x v="9"/>
    <n v="99999"/>
    <x v="0"/>
    <x v="5"/>
    <x v="3"/>
    <n v="41848"/>
    <s v="Shipping Company C"/>
    <s v="Run Liu"/>
    <s v="789 26th Street"/>
    <x v="9"/>
    <s v="FL"/>
    <n v="99999"/>
    <s v="USA"/>
    <s v="Credit Card"/>
    <x v="13"/>
    <x v="8"/>
    <n v="18.399999999999999"/>
    <n v="12"/>
    <x v="162"/>
    <n v="22.08"/>
  </r>
  <r>
    <n v="1200"/>
    <x v="80"/>
    <n v="29"/>
    <x v="4"/>
    <s v="789 29th Street"/>
    <x v="3"/>
    <x v="3"/>
    <n v="99999"/>
    <x v="0"/>
    <x v="3"/>
    <x v="0"/>
    <d v="2014-07-31T00:00:00"/>
    <s v="Shipping Company B"/>
    <s v="Soo Jung Lee"/>
    <s v="789 29th Street"/>
    <x v="3"/>
    <s v="CO"/>
    <n v="99999"/>
    <s v="USA"/>
    <s v="Check"/>
    <x v="0"/>
    <x v="0"/>
    <n v="14"/>
    <n v="23"/>
    <x v="163"/>
    <n v="30.912000000000003"/>
  </r>
  <r>
    <n v="1201"/>
    <x v="76"/>
    <n v="6"/>
    <x v="6"/>
    <s v="123 6th Street"/>
    <x v="5"/>
    <x v="5"/>
    <n v="99999"/>
    <x v="0"/>
    <x v="4"/>
    <x v="2"/>
    <d v="2014-07-08T00:00:00"/>
    <s v="Shipping Company C"/>
    <s v="Francisco Pérez-Olaeta"/>
    <s v="123 6th Street"/>
    <x v="5"/>
    <s v="WI"/>
    <n v="99999"/>
    <s v="USA"/>
    <s v="Check"/>
    <x v="7"/>
    <x v="3"/>
    <n v="12.75"/>
    <n v="76"/>
    <x v="164"/>
    <n v="97.869"/>
  </r>
  <r>
    <n v="1203"/>
    <x v="81"/>
    <n v="4"/>
    <x v="1"/>
    <s v="123 4th Street"/>
    <x v="1"/>
    <x v="1"/>
    <n v="99999"/>
    <x v="0"/>
    <x v="1"/>
    <x v="1"/>
    <d v="2014-07-06T00:00:00"/>
    <s v="Shipping Company A"/>
    <s v="Christina Lee"/>
    <s v="123 4th Street"/>
    <x v="1"/>
    <s v="NY"/>
    <n v="99999"/>
    <s v="USA"/>
    <s v="Credit Card"/>
    <x v="23"/>
    <x v="6"/>
    <n v="81"/>
    <n v="55"/>
    <x v="165"/>
    <n v="445.5"/>
  </r>
  <r>
    <n v="1204"/>
    <x v="81"/>
    <n v="4"/>
    <x v="1"/>
    <s v="123 4th Street"/>
    <x v="1"/>
    <x v="1"/>
    <n v="99999"/>
    <x v="0"/>
    <x v="1"/>
    <x v="1"/>
    <d v="2014-07-06T00:00:00"/>
    <s v="Shipping Company A"/>
    <s v="Christina Lee"/>
    <s v="123 4th Street"/>
    <x v="1"/>
    <s v="NY"/>
    <n v="99999"/>
    <s v="USA"/>
    <s v="Credit Card"/>
    <x v="24"/>
    <x v="14"/>
    <n v="7"/>
    <n v="19"/>
    <x v="166"/>
    <n v="12.901"/>
  </r>
  <r>
    <n v="1206"/>
    <x v="77"/>
    <n v="8"/>
    <x v="3"/>
    <s v="123 8th Street"/>
    <x v="2"/>
    <x v="2"/>
    <n v="99999"/>
    <x v="0"/>
    <x v="2"/>
    <x v="2"/>
    <d v="2014-07-10T00:00:00"/>
    <s v="Shipping Company C"/>
    <s v="Elizabeth Andersen"/>
    <s v="123 8th Street"/>
    <x v="2"/>
    <s v="OR"/>
    <n v="99999"/>
    <s v="USA"/>
    <s v="Credit Card"/>
    <x v="15"/>
    <x v="10"/>
    <n v="34.799999999999997"/>
    <n v="27"/>
    <x v="156"/>
    <n v="89.261999999999986"/>
  </r>
  <r>
    <n v="1209"/>
    <x v="82"/>
    <n v="3"/>
    <x v="5"/>
    <s v="123 3rd Street"/>
    <x v="4"/>
    <x v="4"/>
    <n v="99999"/>
    <x v="0"/>
    <x v="0"/>
    <x v="0"/>
    <d v="2014-07-05T00:00:00"/>
    <s v="Shipping Company B"/>
    <s v="Thomas Axerr"/>
    <s v="123 3rd Street"/>
    <x v="4"/>
    <s v="CA"/>
    <n v="99999"/>
    <s v="USA"/>
    <s v="Cash"/>
    <x v="16"/>
    <x v="7"/>
    <n v="10"/>
    <n v="99"/>
    <x v="82"/>
    <n v="95.039999999999992"/>
  </r>
  <r>
    <n v="1210"/>
    <x v="82"/>
    <n v="3"/>
    <x v="5"/>
    <s v="123 3rd Street"/>
    <x v="4"/>
    <x v="4"/>
    <n v="99999"/>
    <x v="0"/>
    <x v="0"/>
    <x v="0"/>
    <d v="2014-07-05T00:00:00"/>
    <s v="Shipping Company B"/>
    <s v="Thomas Axerr"/>
    <s v="123 3rd Street"/>
    <x v="4"/>
    <s v="CA"/>
    <n v="99999"/>
    <s v="USA"/>
    <s v="Cash"/>
    <x v="9"/>
    <x v="5"/>
    <n v="40"/>
    <n v="10"/>
    <x v="167"/>
    <n v="40"/>
  </r>
  <r>
    <n v="1214"/>
    <x v="83"/>
    <n v="10"/>
    <x v="8"/>
    <s v="123 10th Street"/>
    <x v="7"/>
    <x v="7"/>
    <n v="99999"/>
    <x v="0"/>
    <x v="6"/>
    <x v="1"/>
    <d v="2014-07-12T00:00:00"/>
    <s v="Shipping Company B"/>
    <s v="Roland Wacker"/>
    <s v="123 10th Street"/>
    <x v="7"/>
    <s v="IL"/>
    <n v="99999"/>
    <s v="USA"/>
    <s v="Credit Card"/>
    <x v="18"/>
    <x v="1"/>
    <n v="10"/>
    <n v="80"/>
    <x v="168"/>
    <n v="77.599999999999994"/>
  </r>
  <r>
    <n v="1216"/>
    <x v="83"/>
    <n v="10"/>
    <x v="8"/>
    <s v="123 10th Street"/>
    <x v="7"/>
    <x v="7"/>
    <n v="99999"/>
    <x v="0"/>
    <x v="6"/>
    <x v="1"/>
    <m/>
    <s v="Shipping Company A"/>
    <s v="Roland Wacker"/>
    <s v="123 10th Street"/>
    <x v="7"/>
    <s v="IL"/>
    <n v="99999"/>
    <s v="USA"/>
    <m/>
    <x v="1"/>
    <x v="1"/>
    <n v="3.5"/>
    <n v="27"/>
    <x v="169"/>
    <n v="9.072000000000001"/>
  </r>
  <r>
    <n v="1217"/>
    <x v="84"/>
    <n v="11"/>
    <x v="10"/>
    <s v="123 11th Street"/>
    <x v="9"/>
    <x v="9"/>
    <n v="99999"/>
    <x v="0"/>
    <x v="5"/>
    <x v="3"/>
    <m/>
    <s v="Shipping Company C"/>
    <s v="Peter Krschne"/>
    <s v="123 11th Street"/>
    <x v="9"/>
    <s v="FL"/>
    <n v="99999"/>
    <s v="USA"/>
    <m/>
    <x v="9"/>
    <x v="5"/>
    <n v="40"/>
    <n v="97"/>
    <x v="170"/>
    <n v="380.24"/>
  </r>
  <r>
    <n v="1218"/>
    <x v="73"/>
    <n v="1"/>
    <x v="11"/>
    <s v="123 1st Street"/>
    <x v="10"/>
    <x v="10"/>
    <n v="99999"/>
    <x v="0"/>
    <x v="2"/>
    <x v="2"/>
    <m/>
    <s v="Shipping Company C"/>
    <s v="Anna Bedecs"/>
    <s v="123 1st Street"/>
    <x v="10"/>
    <s v="WA"/>
    <n v="99999"/>
    <s v="USA"/>
    <m/>
    <x v="13"/>
    <x v="8"/>
    <n v="18.399999999999999"/>
    <n v="42"/>
    <x v="171"/>
    <n v="80.371200000000002"/>
  </r>
  <r>
    <n v="1219"/>
    <x v="74"/>
    <n v="28"/>
    <x v="7"/>
    <s v="789 28th Street"/>
    <x v="6"/>
    <x v="6"/>
    <n v="99999"/>
    <x v="0"/>
    <x v="5"/>
    <x v="3"/>
    <n v="41850"/>
    <s v="Shipping Company C"/>
    <s v="Amritansh Raghav"/>
    <s v="789 28th Street"/>
    <x v="6"/>
    <s v="TN"/>
    <n v="99999"/>
    <s v="USA"/>
    <s v="Credit Card"/>
    <x v="5"/>
    <x v="0"/>
    <n v="46"/>
    <n v="24"/>
    <x v="15"/>
    <n v="105.98399999999999"/>
  </r>
  <r>
    <n v="1220"/>
    <x v="75"/>
    <n v="9"/>
    <x v="12"/>
    <s v="123 9th Street"/>
    <x v="11"/>
    <x v="11"/>
    <n v="99999"/>
    <x v="0"/>
    <x v="7"/>
    <x v="0"/>
    <d v="2014-07-11T00:00:00"/>
    <s v="Shipping Company A"/>
    <s v="Sven Mortensen"/>
    <s v="123 9th Street"/>
    <x v="11"/>
    <s v="UT"/>
    <n v="99999"/>
    <s v="USA"/>
    <s v="Check"/>
    <x v="8"/>
    <x v="4"/>
    <n v="9.65"/>
    <n v="90"/>
    <x v="172"/>
    <n v="83.376000000000005"/>
  </r>
  <r>
    <n v="1221"/>
    <x v="76"/>
    <n v="6"/>
    <x v="6"/>
    <s v="123 6th Street"/>
    <x v="5"/>
    <x v="5"/>
    <n v="99999"/>
    <x v="0"/>
    <x v="4"/>
    <x v="2"/>
    <d v="2014-07-08T00:00:00"/>
    <s v="Shipping Company B"/>
    <s v="Francisco Pérez-Olaeta"/>
    <s v="123 6th Street"/>
    <x v="5"/>
    <s v="WI"/>
    <n v="99999"/>
    <s v="USA"/>
    <s v="Credit Card"/>
    <x v="7"/>
    <x v="3"/>
    <n v="12.75"/>
    <n v="28"/>
    <x v="173"/>
    <n v="35.700000000000003"/>
  </r>
  <r>
    <n v="1222"/>
    <x v="85"/>
    <n v="28"/>
    <x v="7"/>
    <s v="789 28th Street"/>
    <x v="6"/>
    <x v="6"/>
    <n v="99999"/>
    <x v="0"/>
    <x v="5"/>
    <x v="3"/>
    <d v="2014-08-30T00:00:00"/>
    <s v="Shipping Company C"/>
    <s v="Amritansh Raghav"/>
    <s v="789 28th Street"/>
    <x v="6"/>
    <s v="TN"/>
    <n v="99999"/>
    <s v="USA"/>
    <s v="Check"/>
    <x v="5"/>
    <x v="0"/>
    <n v="46"/>
    <n v="28"/>
    <x v="174"/>
    <n v="133.95200000000003"/>
  </r>
  <r>
    <n v="1223"/>
    <x v="86"/>
    <n v="8"/>
    <x v="3"/>
    <s v="123 8th Street"/>
    <x v="2"/>
    <x v="2"/>
    <n v="99999"/>
    <x v="0"/>
    <x v="2"/>
    <x v="2"/>
    <d v="2014-08-10T00:00:00"/>
    <s v="Shipping Company C"/>
    <s v="Elizabeth Andersen"/>
    <s v="123 8th Street"/>
    <x v="2"/>
    <s v="OR"/>
    <n v="99999"/>
    <s v="USA"/>
    <s v="Check"/>
    <x v="7"/>
    <x v="3"/>
    <n v="12.75"/>
    <n v="57"/>
    <x v="175"/>
    <n v="69.768000000000001"/>
  </r>
  <r>
    <n v="1224"/>
    <x v="87"/>
    <n v="10"/>
    <x v="8"/>
    <s v="123 10th Street"/>
    <x v="7"/>
    <x v="7"/>
    <n v="99999"/>
    <x v="0"/>
    <x v="6"/>
    <x v="1"/>
    <d v="2014-08-12T00:00:00"/>
    <s v="Shipping Company B"/>
    <s v="Roland Wacker"/>
    <s v="123 10th Street"/>
    <x v="7"/>
    <s v="IL"/>
    <n v="99999"/>
    <s v="USA"/>
    <s v="Credit Card"/>
    <x v="10"/>
    <x v="0"/>
    <n v="2.99"/>
    <n v="23"/>
    <x v="176"/>
    <n v="6.6706900000000013"/>
  </r>
  <r>
    <n v="1225"/>
    <x v="88"/>
    <n v="7"/>
    <x v="9"/>
    <s v="123 7th Street"/>
    <x v="8"/>
    <x v="8"/>
    <n v="99999"/>
    <x v="0"/>
    <x v="2"/>
    <x v="2"/>
    <m/>
    <m/>
    <s v="Ming-Yang Xie"/>
    <s v="123 7th Street"/>
    <x v="8"/>
    <s v="ID"/>
    <n v="99999"/>
    <s v="USA"/>
    <m/>
    <x v="5"/>
    <x v="0"/>
    <n v="46"/>
    <n v="86"/>
    <x v="177"/>
    <n v="399.55600000000004"/>
  </r>
  <r>
    <n v="1226"/>
    <x v="87"/>
    <n v="10"/>
    <x v="8"/>
    <s v="123 10th Street"/>
    <x v="7"/>
    <x v="7"/>
    <n v="99999"/>
    <x v="0"/>
    <x v="6"/>
    <x v="1"/>
    <d v="2014-08-12T00:00:00"/>
    <s v="Shipping Company A"/>
    <s v="Roland Wacker"/>
    <s v="123 10th Street"/>
    <x v="7"/>
    <s v="IL"/>
    <n v="99999"/>
    <s v="USA"/>
    <m/>
    <x v="11"/>
    <x v="6"/>
    <n v="25"/>
    <n v="47"/>
    <x v="178"/>
    <n v="116.325"/>
  </r>
  <r>
    <n v="1227"/>
    <x v="87"/>
    <n v="10"/>
    <x v="8"/>
    <s v="123 10th Street"/>
    <x v="7"/>
    <x v="7"/>
    <n v="99999"/>
    <x v="0"/>
    <x v="6"/>
    <x v="1"/>
    <d v="2014-08-12T00:00:00"/>
    <s v="Shipping Company A"/>
    <s v="Roland Wacker"/>
    <s v="123 10th Street"/>
    <x v="7"/>
    <s v="IL"/>
    <n v="99999"/>
    <s v="USA"/>
    <m/>
    <x v="12"/>
    <x v="7"/>
    <n v="22"/>
    <n v="97"/>
    <x v="179"/>
    <n v="221.93600000000001"/>
  </r>
  <r>
    <n v="1228"/>
    <x v="87"/>
    <n v="10"/>
    <x v="8"/>
    <s v="123 10th Street"/>
    <x v="7"/>
    <x v="7"/>
    <n v="99999"/>
    <x v="0"/>
    <x v="6"/>
    <x v="1"/>
    <d v="2014-08-12T00:00:00"/>
    <s v="Shipping Company A"/>
    <s v="Roland Wacker"/>
    <s v="123 10th Street"/>
    <x v="7"/>
    <s v="IL"/>
    <n v="99999"/>
    <s v="USA"/>
    <m/>
    <x v="6"/>
    <x v="2"/>
    <n v="9.1999999999999993"/>
    <n v="96"/>
    <x v="180"/>
    <n v="86.553599999999989"/>
  </r>
  <r>
    <n v="1229"/>
    <x v="89"/>
    <n v="11"/>
    <x v="10"/>
    <s v="123 11th Street"/>
    <x v="9"/>
    <x v="9"/>
    <n v="99999"/>
    <x v="0"/>
    <x v="5"/>
    <x v="3"/>
    <m/>
    <s v="Shipping Company C"/>
    <s v="Peter Krschne"/>
    <s v="123 11th Street"/>
    <x v="9"/>
    <s v="FL"/>
    <n v="99999"/>
    <s v="USA"/>
    <m/>
    <x v="1"/>
    <x v="1"/>
    <n v="3.5"/>
    <n v="31"/>
    <x v="181"/>
    <n v="10.850000000000001"/>
  </r>
  <r>
    <n v="1230"/>
    <x v="89"/>
    <n v="11"/>
    <x v="10"/>
    <s v="123 11th Street"/>
    <x v="9"/>
    <x v="9"/>
    <n v="99999"/>
    <x v="0"/>
    <x v="5"/>
    <x v="3"/>
    <m/>
    <s v="Shipping Company C"/>
    <s v="Peter Krschne"/>
    <s v="123 11th Street"/>
    <x v="9"/>
    <s v="FL"/>
    <n v="99999"/>
    <s v="USA"/>
    <m/>
    <x v="10"/>
    <x v="0"/>
    <n v="2.99"/>
    <n v="52"/>
    <x v="182"/>
    <n v="16.014440000000004"/>
  </r>
  <r>
    <n v="1231"/>
    <x v="90"/>
    <n v="1"/>
    <x v="11"/>
    <s v="123 1st Street"/>
    <x v="10"/>
    <x v="10"/>
    <n v="99999"/>
    <x v="0"/>
    <x v="2"/>
    <x v="2"/>
    <m/>
    <m/>
    <s v="Anna Bedecs"/>
    <s v="123 1st Street"/>
    <x v="10"/>
    <s v="WA"/>
    <n v="99999"/>
    <s v="USA"/>
    <m/>
    <x v="4"/>
    <x v="0"/>
    <n v="18"/>
    <n v="91"/>
    <x v="183"/>
    <n v="158.886"/>
  </r>
  <r>
    <n v="1232"/>
    <x v="90"/>
    <n v="1"/>
    <x v="11"/>
    <s v="123 1st Street"/>
    <x v="10"/>
    <x v="10"/>
    <n v="99999"/>
    <x v="0"/>
    <x v="2"/>
    <x v="2"/>
    <m/>
    <m/>
    <s v="Anna Bedecs"/>
    <s v="123 1st Street"/>
    <x v="10"/>
    <s v="WA"/>
    <n v="99999"/>
    <s v="USA"/>
    <m/>
    <x v="5"/>
    <x v="0"/>
    <n v="46"/>
    <n v="14"/>
    <x v="184"/>
    <n v="63.756000000000007"/>
  </r>
  <r>
    <n v="1233"/>
    <x v="90"/>
    <n v="1"/>
    <x v="11"/>
    <s v="123 1st Street"/>
    <x v="10"/>
    <x v="10"/>
    <n v="99999"/>
    <x v="0"/>
    <x v="2"/>
    <x v="2"/>
    <m/>
    <m/>
    <s v="Anna Bedecs"/>
    <s v="123 1st Street"/>
    <x v="10"/>
    <s v="WA"/>
    <n v="99999"/>
    <s v="USA"/>
    <m/>
    <x v="10"/>
    <x v="0"/>
    <n v="2.99"/>
    <n v="44"/>
    <x v="185"/>
    <n v="13.287560000000001"/>
  </r>
  <r>
    <n v="1234"/>
    <x v="85"/>
    <n v="28"/>
    <x v="7"/>
    <s v="789 28th Street"/>
    <x v="6"/>
    <x v="6"/>
    <n v="99999"/>
    <x v="0"/>
    <x v="5"/>
    <x v="3"/>
    <d v="2014-08-30T00:00:00"/>
    <s v="Shipping Company C"/>
    <s v="Amritansh Raghav"/>
    <s v="789 28th Street"/>
    <x v="6"/>
    <s v="TN"/>
    <n v="99999"/>
    <s v="USA"/>
    <s v="Credit Card"/>
    <x v="8"/>
    <x v="4"/>
    <n v="9.65"/>
    <n v="97"/>
    <x v="53"/>
    <n v="95.477100000000021"/>
  </r>
  <r>
    <n v="1235"/>
    <x v="85"/>
    <n v="28"/>
    <x v="7"/>
    <s v="789 28th Street"/>
    <x v="6"/>
    <x v="6"/>
    <n v="99999"/>
    <x v="0"/>
    <x v="5"/>
    <x v="3"/>
    <d v="2014-08-30T00:00:00"/>
    <s v="Shipping Company C"/>
    <s v="Amritansh Raghav"/>
    <s v="789 28th Street"/>
    <x v="6"/>
    <s v="TN"/>
    <n v="99999"/>
    <s v="USA"/>
    <s v="Credit Card"/>
    <x v="13"/>
    <x v="8"/>
    <n v="18.399999999999999"/>
    <n v="80"/>
    <x v="36"/>
    <n v="150.14400000000003"/>
  </r>
  <r>
    <n v="1236"/>
    <x v="91"/>
    <n v="9"/>
    <x v="12"/>
    <s v="123 9th Street"/>
    <x v="11"/>
    <x v="11"/>
    <n v="99999"/>
    <x v="0"/>
    <x v="7"/>
    <x v="0"/>
    <d v="2014-08-11T00:00:00"/>
    <s v="Shipping Company A"/>
    <s v="Sven Mortensen"/>
    <s v="123 9th Street"/>
    <x v="11"/>
    <s v="UT"/>
    <n v="99999"/>
    <s v="USA"/>
    <s v="Check"/>
    <x v="14"/>
    <x v="9"/>
    <n v="19.5"/>
    <n v="66"/>
    <x v="186"/>
    <n v="132.56100000000001"/>
  </r>
  <r>
    <n v="1237"/>
    <x v="91"/>
    <n v="9"/>
    <x v="12"/>
    <s v="123 9th Street"/>
    <x v="11"/>
    <x v="11"/>
    <n v="99999"/>
    <x v="0"/>
    <x v="7"/>
    <x v="0"/>
    <d v="2014-08-11T00:00:00"/>
    <s v="Shipping Company A"/>
    <s v="Sven Mortensen"/>
    <s v="123 9th Street"/>
    <x v="11"/>
    <s v="UT"/>
    <n v="99999"/>
    <s v="USA"/>
    <s v="Check"/>
    <x v="15"/>
    <x v="10"/>
    <n v="34.799999999999997"/>
    <n v="32"/>
    <x v="187"/>
    <n v="111.36"/>
  </r>
  <r>
    <n v="1238"/>
    <x v="92"/>
    <n v="6"/>
    <x v="6"/>
    <s v="123 6th Street"/>
    <x v="5"/>
    <x v="5"/>
    <n v="99999"/>
    <x v="0"/>
    <x v="4"/>
    <x v="2"/>
    <d v="2014-08-08T00:00:00"/>
    <s v="Shipping Company B"/>
    <s v="Francisco Pérez-Olaeta"/>
    <s v="123 6th Street"/>
    <x v="5"/>
    <s v="WI"/>
    <n v="99999"/>
    <s v="USA"/>
    <s v="Credit Card"/>
    <x v="0"/>
    <x v="0"/>
    <n v="14"/>
    <n v="52"/>
    <x v="188"/>
    <n v="72.8"/>
  </r>
  <r>
    <n v="1239"/>
    <x v="86"/>
    <n v="8"/>
    <x v="3"/>
    <s v="123 8th Street"/>
    <x v="2"/>
    <x v="2"/>
    <n v="99999"/>
    <x v="0"/>
    <x v="2"/>
    <x v="2"/>
    <d v="2014-08-10T00:00:00"/>
    <s v="Shipping Company B"/>
    <s v="Elizabeth Andersen"/>
    <s v="123 8th Street"/>
    <x v="2"/>
    <s v="OR"/>
    <n v="99999"/>
    <s v="USA"/>
    <s v="Check"/>
    <x v="9"/>
    <x v="5"/>
    <n v="40"/>
    <n v="78"/>
    <x v="189"/>
    <n v="318.24"/>
  </r>
  <r>
    <n v="1240"/>
    <x v="86"/>
    <n v="8"/>
    <x v="3"/>
    <s v="123 8th Street"/>
    <x v="2"/>
    <x v="2"/>
    <n v="99999"/>
    <x v="0"/>
    <x v="2"/>
    <x v="2"/>
    <d v="2014-08-10T00:00:00"/>
    <s v="Shipping Company B"/>
    <s v="Elizabeth Andersen"/>
    <s v="123 8th Street"/>
    <x v="2"/>
    <s v="OR"/>
    <n v="99999"/>
    <s v="USA"/>
    <s v="Check"/>
    <x v="6"/>
    <x v="2"/>
    <n v="9.1999999999999993"/>
    <n v="54"/>
    <x v="190"/>
    <n v="49.183199999999999"/>
  </r>
  <r>
    <n v="1241"/>
    <x v="93"/>
    <n v="25"/>
    <x v="13"/>
    <s v="789 25th Street"/>
    <x v="7"/>
    <x v="7"/>
    <n v="99999"/>
    <x v="0"/>
    <x v="6"/>
    <x v="1"/>
    <d v="2014-08-27T00:00:00"/>
    <s v="Shipping Company A"/>
    <s v="John Rodman"/>
    <s v="789 25th Street"/>
    <x v="7"/>
    <s v="IL"/>
    <n v="99999"/>
    <s v="USA"/>
    <s v="Cash"/>
    <x v="21"/>
    <x v="2"/>
    <n v="10"/>
    <n v="55"/>
    <x v="62"/>
    <n v="52.25"/>
  </r>
  <r>
    <n v="1242"/>
    <x v="94"/>
    <n v="26"/>
    <x v="14"/>
    <s v="789 26th Street"/>
    <x v="9"/>
    <x v="9"/>
    <n v="99999"/>
    <x v="0"/>
    <x v="5"/>
    <x v="3"/>
    <d v="2014-08-28T00:00:00"/>
    <s v="Shipping Company C"/>
    <s v="Run Liu"/>
    <s v="789 26th Street"/>
    <x v="9"/>
    <s v="FL"/>
    <n v="99999"/>
    <s v="USA"/>
    <s v="Credit Card"/>
    <x v="22"/>
    <x v="13"/>
    <n v="21.35"/>
    <n v="60"/>
    <x v="191"/>
    <n v="129.381"/>
  </r>
  <r>
    <n v="1243"/>
    <x v="94"/>
    <n v="26"/>
    <x v="14"/>
    <s v="789 26th Street"/>
    <x v="9"/>
    <x v="9"/>
    <n v="99999"/>
    <x v="0"/>
    <x v="5"/>
    <x v="3"/>
    <d v="2014-08-28T00:00:00"/>
    <s v="Shipping Company C"/>
    <s v="Run Liu"/>
    <s v="789 26th Street"/>
    <x v="9"/>
    <s v="FL"/>
    <n v="99999"/>
    <s v="USA"/>
    <s v="Credit Card"/>
    <x v="8"/>
    <x v="4"/>
    <n v="9.65"/>
    <n v="19"/>
    <x v="192"/>
    <n v="17.41825"/>
  </r>
  <r>
    <n v="1244"/>
    <x v="94"/>
    <n v="26"/>
    <x v="14"/>
    <s v="789 26th Street"/>
    <x v="9"/>
    <x v="9"/>
    <n v="99999"/>
    <x v="0"/>
    <x v="5"/>
    <x v="3"/>
    <d v="2014-08-28T00:00:00"/>
    <s v="Shipping Company C"/>
    <s v="Run Liu"/>
    <s v="789 26th Street"/>
    <x v="9"/>
    <s v="FL"/>
    <n v="99999"/>
    <s v="USA"/>
    <s v="Credit Card"/>
    <x v="13"/>
    <x v="8"/>
    <n v="18.399999999999999"/>
    <n v="66"/>
    <x v="193"/>
    <n v="125.08320000000001"/>
  </r>
  <r>
    <n v="1245"/>
    <x v="95"/>
    <n v="29"/>
    <x v="4"/>
    <s v="789 29th Street"/>
    <x v="3"/>
    <x v="3"/>
    <n v="99999"/>
    <x v="0"/>
    <x v="3"/>
    <x v="0"/>
    <d v="2014-08-31T00:00:00"/>
    <s v="Shipping Company B"/>
    <s v="Soo Jung Lee"/>
    <s v="789 29th Street"/>
    <x v="3"/>
    <s v="CO"/>
    <n v="99999"/>
    <s v="USA"/>
    <s v="Check"/>
    <x v="0"/>
    <x v="0"/>
    <n v="14"/>
    <n v="42"/>
    <x v="194"/>
    <n v="59.388000000000005"/>
  </r>
  <r>
    <n v="1246"/>
    <x v="92"/>
    <n v="6"/>
    <x v="6"/>
    <s v="123 6th Street"/>
    <x v="5"/>
    <x v="5"/>
    <n v="99999"/>
    <x v="0"/>
    <x v="4"/>
    <x v="2"/>
    <n v="41859"/>
    <s v="Shipping Company C"/>
    <s v="Francisco Pérez-Olaeta"/>
    <s v="123 6th Street"/>
    <x v="5"/>
    <s v="WI"/>
    <n v="99999"/>
    <s v="USA"/>
    <s v="Check"/>
    <x v="7"/>
    <x v="3"/>
    <n v="12.75"/>
    <n v="72"/>
    <x v="195"/>
    <n v="89.046000000000006"/>
  </r>
  <r>
    <n v="1248"/>
    <x v="96"/>
    <n v="4"/>
    <x v="1"/>
    <s v="123 4th Street"/>
    <x v="1"/>
    <x v="1"/>
    <n v="99999"/>
    <x v="0"/>
    <x v="1"/>
    <x v="1"/>
    <n v="41857"/>
    <s v="Shipping Company A"/>
    <s v="Christina Lee"/>
    <s v="123 4th Street"/>
    <x v="1"/>
    <s v="NY"/>
    <n v="99999"/>
    <s v="USA"/>
    <s v="Credit Card"/>
    <x v="23"/>
    <x v="6"/>
    <n v="81"/>
    <n v="32"/>
    <x v="196"/>
    <n v="251.42399999999998"/>
  </r>
  <r>
    <n v="1249"/>
    <x v="96"/>
    <n v="4"/>
    <x v="1"/>
    <s v="123 4th Street"/>
    <x v="1"/>
    <x v="1"/>
    <n v="99999"/>
    <x v="0"/>
    <x v="1"/>
    <x v="1"/>
    <n v="41857"/>
    <s v="Shipping Company A"/>
    <s v="Christina Lee"/>
    <s v="123 4th Street"/>
    <x v="1"/>
    <s v="NY"/>
    <n v="99999"/>
    <s v="USA"/>
    <s v="Credit Card"/>
    <x v="24"/>
    <x v="14"/>
    <n v="7"/>
    <n v="76"/>
    <x v="197"/>
    <n v="53.732000000000006"/>
  </r>
  <r>
    <n v="1250"/>
    <x v="97"/>
    <n v="10"/>
    <x v="8"/>
    <s v="123 10th Street"/>
    <x v="7"/>
    <x v="7"/>
    <n v="99999"/>
    <x v="0"/>
    <x v="6"/>
    <x v="1"/>
    <n v="41894"/>
    <s v="Shipping Company A"/>
    <s v="Roland Wacker"/>
    <s v="123 10th Street"/>
    <x v="7"/>
    <s v="IL"/>
    <n v="99999"/>
    <s v="USA"/>
    <m/>
    <x v="6"/>
    <x v="2"/>
    <n v="9.1999999999999993"/>
    <n v="83"/>
    <x v="198"/>
    <n v="74.832799999999992"/>
  </r>
  <r>
    <n v="1251"/>
    <x v="98"/>
    <n v="11"/>
    <x v="10"/>
    <s v="123 11th Street"/>
    <x v="9"/>
    <x v="9"/>
    <n v="99999"/>
    <x v="0"/>
    <x v="5"/>
    <x v="3"/>
    <m/>
    <s v="Shipping Company C"/>
    <s v="Peter Krschne"/>
    <s v="123 11th Street"/>
    <x v="9"/>
    <s v="FL"/>
    <n v="99999"/>
    <s v="USA"/>
    <m/>
    <x v="1"/>
    <x v="1"/>
    <n v="3.5"/>
    <n v="91"/>
    <x v="199"/>
    <n v="31.213000000000001"/>
  </r>
  <r>
    <n v="1252"/>
    <x v="98"/>
    <n v="11"/>
    <x v="10"/>
    <s v="123 11th Street"/>
    <x v="9"/>
    <x v="9"/>
    <n v="99999"/>
    <x v="0"/>
    <x v="5"/>
    <x v="3"/>
    <m/>
    <s v="Shipping Company C"/>
    <s v="Peter Krschne"/>
    <s v="123 11th Street"/>
    <x v="9"/>
    <s v="FL"/>
    <n v="99999"/>
    <s v="USA"/>
    <m/>
    <x v="10"/>
    <x v="0"/>
    <n v="2.99"/>
    <n v="64"/>
    <x v="200"/>
    <n v="19.518720000000002"/>
  </r>
  <r>
    <n v="1253"/>
    <x v="99"/>
    <n v="1"/>
    <x v="11"/>
    <s v="123 1st Street"/>
    <x v="10"/>
    <x v="10"/>
    <n v="99999"/>
    <x v="0"/>
    <x v="2"/>
    <x v="2"/>
    <m/>
    <m/>
    <s v="Anna Bedecs"/>
    <s v="123 1st Street"/>
    <x v="10"/>
    <s v="WA"/>
    <n v="99999"/>
    <s v="USA"/>
    <m/>
    <x v="4"/>
    <x v="0"/>
    <n v="18"/>
    <n v="58"/>
    <x v="137"/>
    <n v="103.35600000000001"/>
  </r>
  <r>
    <n v="1254"/>
    <x v="99"/>
    <n v="1"/>
    <x v="11"/>
    <s v="123 1st Street"/>
    <x v="10"/>
    <x v="10"/>
    <n v="99999"/>
    <x v="0"/>
    <x v="2"/>
    <x v="2"/>
    <m/>
    <m/>
    <s v="Anna Bedecs"/>
    <s v="123 1st Street"/>
    <x v="10"/>
    <s v="WA"/>
    <n v="99999"/>
    <s v="USA"/>
    <m/>
    <x v="5"/>
    <x v="0"/>
    <n v="46"/>
    <n v="97"/>
    <x v="201"/>
    <n v="464.04800000000006"/>
  </r>
  <r>
    <n v="1255"/>
    <x v="99"/>
    <n v="1"/>
    <x v="11"/>
    <s v="123 1st Street"/>
    <x v="10"/>
    <x v="10"/>
    <n v="99999"/>
    <x v="0"/>
    <x v="2"/>
    <x v="2"/>
    <m/>
    <m/>
    <s v="Anna Bedecs"/>
    <s v="123 1st Street"/>
    <x v="10"/>
    <s v="WA"/>
    <n v="99999"/>
    <s v="USA"/>
    <m/>
    <x v="10"/>
    <x v="0"/>
    <n v="2.99"/>
    <n v="14"/>
    <x v="202"/>
    <n v="4.35344"/>
  </r>
  <r>
    <n v="1256"/>
    <x v="100"/>
    <n v="28"/>
    <x v="7"/>
    <s v="789 28th Street"/>
    <x v="6"/>
    <x v="6"/>
    <n v="99999"/>
    <x v="0"/>
    <x v="5"/>
    <x v="3"/>
    <d v="2014-09-30T00:00:00"/>
    <s v="Shipping Company C"/>
    <s v="Amritansh Raghav"/>
    <s v="789 28th Street"/>
    <x v="6"/>
    <s v="TN"/>
    <n v="99999"/>
    <s v="USA"/>
    <s v="Credit Card"/>
    <x v="8"/>
    <x v="4"/>
    <n v="9.65"/>
    <n v="68"/>
    <x v="203"/>
    <n v="64.307600000000008"/>
  </r>
  <r>
    <n v="1257"/>
    <x v="100"/>
    <n v="28"/>
    <x v="7"/>
    <s v="789 28th Street"/>
    <x v="6"/>
    <x v="6"/>
    <n v="99999"/>
    <x v="0"/>
    <x v="5"/>
    <x v="3"/>
    <n v="41912"/>
    <s v="Shipping Company C"/>
    <s v="Amritansh Raghav"/>
    <s v="789 28th Street"/>
    <x v="6"/>
    <s v="TN"/>
    <n v="99999"/>
    <s v="USA"/>
    <s v="Credit Card"/>
    <x v="13"/>
    <x v="8"/>
    <n v="18.399999999999999"/>
    <n v="32"/>
    <x v="204"/>
    <n v="58.879999999999995"/>
  </r>
  <r>
    <n v="1258"/>
    <x v="101"/>
    <n v="9"/>
    <x v="12"/>
    <s v="123 9th Street"/>
    <x v="11"/>
    <x v="11"/>
    <n v="99999"/>
    <x v="0"/>
    <x v="7"/>
    <x v="0"/>
    <d v="2014-09-11T00:00:00"/>
    <s v="Shipping Company A"/>
    <s v="Sven Mortensen"/>
    <s v="123 9th Street"/>
    <x v="11"/>
    <s v="UT"/>
    <n v="99999"/>
    <s v="USA"/>
    <s v="Check"/>
    <x v="14"/>
    <x v="9"/>
    <n v="19.5"/>
    <n v="48"/>
    <x v="205"/>
    <n v="94.536000000000016"/>
  </r>
  <r>
    <n v="1259"/>
    <x v="101"/>
    <n v="9"/>
    <x v="12"/>
    <s v="123 9th Street"/>
    <x v="11"/>
    <x v="11"/>
    <n v="99999"/>
    <x v="0"/>
    <x v="7"/>
    <x v="0"/>
    <d v="2014-09-11T00:00:00"/>
    <s v="Shipping Company A"/>
    <s v="Sven Mortensen"/>
    <s v="123 9th Street"/>
    <x v="11"/>
    <s v="UT"/>
    <n v="99999"/>
    <s v="USA"/>
    <s v="Check"/>
    <x v="15"/>
    <x v="10"/>
    <n v="34.799999999999997"/>
    <n v="57"/>
    <x v="206"/>
    <n v="194.39280000000002"/>
  </r>
  <r>
    <n v="1260"/>
    <x v="102"/>
    <n v="6"/>
    <x v="6"/>
    <s v="123 6th Street"/>
    <x v="5"/>
    <x v="5"/>
    <n v="99999"/>
    <x v="0"/>
    <x v="4"/>
    <x v="2"/>
    <d v="2014-09-08T00:00:00"/>
    <s v="Shipping Company B"/>
    <s v="Francisco Pérez-Olaeta"/>
    <s v="123 6th Street"/>
    <x v="5"/>
    <s v="WI"/>
    <n v="99999"/>
    <s v="USA"/>
    <s v="Credit Card"/>
    <x v="0"/>
    <x v="0"/>
    <n v="14"/>
    <n v="67"/>
    <x v="207"/>
    <n v="98.490000000000009"/>
  </r>
  <r>
    <n v="1261"/>
    <x v="103"/>
    <n v="8"/>
    <x v="3"/>
    <s v="123 8th Street"/>
    <x v="2"/>
    <x v="2"/>
    <n v="99999"/>
    <x v="0"/>
    <x v="2"/>
    <x v="2"/>
    <n v="41892"/>
    <s v="Shipping Company B"/>
    <s v="Elizabeth Andersen"/>
    <s v="123 8th Street"/>
    <x v="2"/>
    <s v="OR"/>
    <n v="99999"/>
    <s v="USA"/>
    <s v="Check"/>
    <x v="9"/>
    <x v="5"/>
    <n v="40"/>
    <n v="48"/>
    <x v="208"/>
    <n v="188.16"/>
  </r>
  <r>
    <n v="1262"/>
    <x v="103"/>
    <n v="8"/>
    <x v="3"/>
    <s v="123 8th Street"/>
    <x v="2"/>
    <x v="2"/>
    <n v="99999"/>
    <x v="0"/>
    <x v="2"/>
    <x v="2"/>
    <n v="41892"/>
    <s v="Shipping Company B"/>
    <s v="Elizabeth Andersen"/>
    <s v="123 8th Street"/>
    <x v="2"/>
    <s v="OR"/>
    <n v="99999"/>
    <s v="USA"/>
    <s v="Check"/>
    <x v="6"/>
    <x v="2"/>
    <n v="9.1999999999999993"/>
    <n v="77"/>
    <x v="209"/>
    <n v="72.256799999999998"/>
  </r>
  <r>
    <n v="1263"/>
    <x v="104"/>
    <n v="25"/>
    <x v="13"/>
    <s v="789 25th Street"/>
    <x v="7"/>
    <x v="7"/>
    <n v="99999"/>
    <x v="0"/>
    <x v="6"/>
    <x v="1"/>
    <n v="41909"/>
    <s v="Shipping Company A"/>
    <s v="John Rodman"/>
    <s v="789 25th Street"/>
    <x v="7"/>
    <s v="IL"/>
    <n v="99999"/>
    <s v="USA"/>
    <s v="Cash"/>
    <x v="21"/>
    <x v="2"/>
    <n v="10"/>
    <n v="94"/>
    <x v="210"/>
    <n v="97.76"/>
  </r>
  <r>
    <n v="1264"/>
    <x v="105"/>
    <n v="26"/>
    <x v="14"/>
    <s v="789 26th Street"/>
    <x v="9"/>
    <x v="9"/>
    <n v="99999"/>
    <x v="0"/>
    <x v="5"/>
    <x v="3"/>
    <n v="41910"/>
    <s v="Shipping Company C"/>
    <s v="Run Liu"/>
    <s v="789 26th Street"/>
    <x v="9"/>
    <s v="FL"/>
    <n v="99999"/>
    <s v="USA"/>
    <s v="Credit Card"/>
    <x v="22"/>
    <x v="13"/>
    <n v="21.35"/>
    <n v="54"/>
    <x v="211"/>
    <n v="121.05450000000003"/>
  </r>
  <r>
    <n v="1265"/>
    <x v="105"/>
    <n v="26"/>
    <x v="14"/>
    <s v="789 26th Street"/>
    <x v="9"/>
    <x v="9"/>
    <n v="99999"/>
    <x v="0"/>
    <x v="5"/>
    <x v="3"/>
    <n v="41910"/>
    <s v="Shipping Company C"/>
    <s v="Run Liu"/>
    <s v="789 26th Street"/>
    <x v="9"/>
    <s v="FL"/>
    <n v="99999"/>
    <s v="USA"/>
    <s v="Credit Card"/>
    <x v="8"/>
    <x v="4"/>
    <n v="9.65"/>
    <n v="43"/>
    <x v="84"/>
    <n v="40.250150000000005"/>
  </r>
  <r>
    <n v="1266"/>
    <x v="105"/>
    <n v="26"/>
    <x v="14"/>
    <s v="789 26th Street"/>
    <x v="9"/>
    <x v="9"/>
    <n v="99999"/>
    <x v="0"/>
    <x v="5"/>
    <x v="3"/>
    <d v="2014-09-28T00:00:00"/>
    <s v="Shipping Company C"/>
    <s v="Run Liu"/>
    <s v="789 26th Street"/>
    <x v="9"/>
    <s v="FL"/>
    <n v="99999"/>
    <s v="USA"/>
    <s v="Credit Card"/>
    <x v="13"/>
    <x v="8"/>
    <n v="18.399999999999999"/>
    <n v="71"/>
    <x v="143"/>
    <n v="134.55919999999998"/>
  </r>
  <r>
    <n v="1267"/>
    <x v="106"/>
    <n v="29"/>
    <x v="4"/>
    <s v="789 29th Street"/>
    <x v="3"/>
    <x v="3"/>
    <n v="99999"/>
    <x v="0"/>
    <x v="3"/>
    <x v="0"/>
    <d v="2014-10-01T00:00:00"/>
    <s v="Shipping Company B"/>
    <s v="Soo Jung Lee"/>
    <s v="789 29th Street"/>
    <x v="3"/>
    <s v="CO"/>
    <n v="99999"/>
    <s v="USA"/>
    <s v="Check"/>
    <x v="0"/>
    <x v="0"/>
    <n v="14"/>
    <n v="50"/>
    <x v="212"/>
    <n v="67.2"/>
  </r>
  <r>
    <n v="1268"/>
    <x v="102"/>
    <n v="6"/>
    <x v="6"/>
    <s v="123 6th Street"/>
    <x v="5"/>
    <x v="5"/>
    <n v="99999"/>
    <x v="0"/>
    <x v="4"/>
    <x v="2"/>
    <d v="2014-09-08T00:00:00"/>
    <s v="Shipping Company C"/>
    <s v="Francisco Pérez-Olaeta"/>
    <s v="123 6th Street"/>
    <x v="5"/>
    <s v="WI"/>
    <n v="99999"/>
    <s v="USA"/>
    <s v="Check"/>
    <x v="7"/>
    <x v="3"/>
    <n v="12.75"/>
    <n v="96"/>
    <x v="146"/>
    <n v="119.952"/>
  </r>
  <r>
    <n v="1270"/>
    <x v="107"/>
    <n v="4"/>
    <x v="1"/>
    <s v="123 4th Street"/>
    <x v="1"/>
    <x v="1"/>
    <n v="99999"/>
    <x v="0"/>
    <x v="1"/>
    <x v="1"/>
    <d v="2014-09-06T00:00:00"/>
    <s v="Shipping Company A"/>
    <s v="Christina Lee"/>
    <s v="123 4th Street"/>
    <x v="1"/>
    <s v="NY"/>
    <n v="99999"/>
    <s v="USA"/>
    <s v="Credit Card"/>
    <x v="23"/>
    <x v="6"/>
    <n v="81"/>
    <n v="54"/>
    <x v="213"/>
    <n v="437.40000000000003"/>
  </r>
  <r>
    <n v="1271"/>
    <x v="107"/>
    <n v="4"/>
    <x v="1"/>
    <s v="123 4th Street"/>
    <x v="1"/>
    <x v="1"/>
    <n v="99999"/>
    <x v="0"/>
    <x v="1"/>
    <x v="1"/>
    <d v="2014-09-06T00:00:00"/>
    <s v="Shipping Company A"/>
    <s v="Christina Lee"/>
    <s v="123 4th Street"/>
    <x v="1"/>
    <s v="NY"/>
    <n v="99999"/>
    <s v="USA"/>
    <s v="Credit Card"/>
    <x v="24"/>
    <x v="14"/>
    <n v="7"/>
    <n v="39"/>
    <x v="214"/>
    <n v="27.3"/>
  </r>
  <r>
    <n v="1273"/>
    <x v="103"/>
    <n v="8"/>
    <x v="3"/>
    <s v="123 8th Street"/>
    <x v="2"/>
    <x v="2"/>
    <n v="99999"/>
    <x v="0"/>
    <x v="2"/>
    <x v="2"/>
    <d v="2014-09-10T00:00:00"/>
    <s v="Shipping Company C"/>
    <s v="Elizabeth Andersen"/>
    <s v="123 8th Street"/>
    <x v="2"/>
    <s v="OR"/>
    <n v="99999"/>
    <s v="USA"/>
    <s v="Credit Card"/>
    <x v="15"/>
    <x v="10"/>
    <n v="34.799999999999997"/>
    <n v="63"/>
    <x v="59"/>
    <n v="230.202"/>
  </r>
  <r>
    <n v="1276"/>
    <x v="108"/>
    <n v="3"/>
    <x v="5"/>
    <s v="123 3rd Street"/>
    <x v="4"/>
    <x v="4"/>
    <n v="99999"/>
    <x v="0"/>
    <x v="0"/>
    <x v="0"/>
    <d v="2014-09-05T00:00:00"/>
    <s v="Shipping Company B"/>
    <s v="Thomas Axerr"/>
    <s v="123 3rd Street"/>
    <x v="4"/>
    <s v="CA"/>
    <n v="99999"/>
    <s v="USA"/>
    <s v="Cash"/>
    <x v="16"/>
    <x v="7"/>
    <n v="10"/>
    <n v="71"/>
    <x v="215"/>
    <n v="73.13"/>
  </r>
  <r>
    <n v="1277"/>
    <x v="108"/>
    <n v="3"/>
    <x v="5"/>
    <s v="123 3rd Street"/>
    <x v="4"/>
    <x v="4"/>
    <n v="99999"/>
    <x v="0"/>
    <x v="0"/>
    <x v="0"/>
    <d v="2014-09-05T00:00:00"/>
    <s v="Shipping Company B"/>
    <s v="Thomas Axerr"/>
    <s v="123 3rd Street"/>
    <x v="4"/>
    <s v="CA"/>
    <n v="99999"/>
    <s v="USA"/>
    <s v="Cash"/>
    <x v="9"/>
    <x v="5"/>
    <n v="40"/>
    <n v="88"/>
    <x v="216"/>
    <n v="366.08000000000004"/>
  </r>
  <r>
    <n v="1281"/>
    <x v="97"/>
    <n v="10"/>
    <x v="8"/>
    <s v="123 10th Street"/>
    <x v="7"/>
    <x v="7"/>
    <n v="99999"/>
    <x v="0"/>
    <x v="6"/>
    <x v="1"/>
    <d v="2014-09-12T00:00:00"/>
    <s v="Shipping Company B"/>
    <s v="Roland Wacker"/>
    <s v="123 10th Street"/>
    <x v="7"/>
    <s v="IL"/>
    <n v="99999"/>
    <s v="USA"/>
    <s v="Credit Card"/>
    <x v="18"/>
    <x v="1"/>
    <n v="10"/>
    <n v="59"/>
    <x v="217"/>
    <n v="59.59"/>
  </r>
  <r>
    <n v="1282"/>
    <x v="109"/>
    <n v="6"/>
    <x v="6"/>
    <s v="123 6th Street"/>
    <x v="5"/>
    <x v="5"/>
    <n v="99999"/>
    <x v="0"/>
    <x v="4"/>
    <x v="2"/>
    <d v="2014-10-08T00:00:00"/>
    <s v="Shipping Company B"/>
    <s v="Francisco Pérez-Olaeta"/>
    <s v="123 6th Street"/>
    <x v="5"/>
    <s v="WI"/>
    <n v="99999"/>
    <s v="USA"/>
    <s v="Credit Card"/>
    <x v="9"/>
    <x v="5"/>
    <n v="40"/>
    <n v="94"/>
    <x v="218"/>
    <n v="376"/>
  </r>
  <r>
    <n v="1283"/>
    <x v="110"/>
    <n v="28"/>
    <x v="7"/>
    <s v="789 28th Street"/>
    <x v="6"/>
    <x v="6"/>
    <n v="99999"/>
    <x v="0"/>
    <x v="5"/>
    <x v="3"/>
    <d v="2014-10-30T00:00:00"/>
    <s v="Shipping Company C"/>
    <s v="Amritansh Raghav"/>
    <s v="789 28th Street"/>
    <x v="6"/>
    <s v="TN"/>
    <n v="99999"/>
    <s v="USA"/>
    <s v="Check"/>
    <x v="5"/>
    <x v="0"/>
    <n v="46"/>
    <n v="86"/>
    <x v="177"/>
    <n v="379.77600000000001"/>
  </r>
  <r>
    <n v="1284"/>
    <x v="111"/>
    <n v="8"/>
    <x v="3"/>
    <s v="123 8th Street"/>
    <x v="2"/>
    <x v="2"/>
    <n v="99999"/>
    <x v="0"/>
    <x v="2"/>
    <x v="2"/>
    <d v="2014-10-10T00:00:00"/>
    <s v="Shipping Company C"/>
    <s v="Elizabeth Andersen"/>
    <s v="123 8th Street"/>
    <x v="2"/>
    <s v="OR"/>
    <n v="99999"/>
    <s v="USA"/>
    <s v="Check"/>
    <x v="7"/>
    <x v="3"/>
    <n v="12.75"/>
    <n v="61"/>
    <x v="219"/>
    <n v="78.552750000000003"/>
  </r>
  <r>
    <n v="1285"/>
    <x v="112"/>
    <n v="10"/>
    <x v="8"/>
    <s v="123 10th Street"/>
    <x v="7"/>
    <x v="7"/>
    <n v="99999"/>
    <x v="0"/>
    <x v="6"/>
    <x v="1"/>
    <d v="2014-10-12T00:00:00"/>
    <s v="Shipping Company B"/>
    <s v="Roland Wacker"/>
    <s v="123 10th Street"/>
    <x v="7"/>
    <s v="IL"/>
    <n v="99999"/>
    <s v="USA"/>
    <s v="Credit Card"/>
    <x v="10"/>
    <x v="0"/>
    <n v="2.99"/>
    <n v="32"/>
    <x v="220"/>
    <n v="9.7593600000000009"/>
  </r>
  <r>
    <n v="1286"/>
    <x v="113"/>
    <n v="7"/>
    <x v="9"/>
    <s v="123 7th Street"/>
    <x v="8"/>
    <x v="8"/>
    <n v="99999"/>
    <x v="0"/>
    <x v="2"/>
    <x v="2"/>
    <m/>
    <m/>
    <s v="Ming-Yang Xie"/>
    <s v="123 7th Street"/>
    <x v="8"/>
    <s v="ID"/>
    <n v="99999"/>
    <s v="USA"/>
    <m/>
    <x v="5"/>
    <x v="0"/>
    <n v="46"/>
    <n v="62"/>
    <x v="221"/>
    <n v="290.904"/>
  </r>
  <r>
    <n v="1287"/>
    <x v="112"/>
    <n v="10"/>
    <x v="8"/>
    <s v="123 10th Street"/>
    <x v="7"/>
    <x v="7"/>
    <n v="99999"/>
    <x v="0"/>
    <x v="6"/>
    <x v="1"/>
    <d v="2014-10-12T00:00:00"/>
    <s v="Shipping Company A"/>
    <s v="Roland Wacker"/>
    <s v="123 10th Street"/>
    <x v="7"/>
    <s v="IL"/>
    <n v="99999"/>
    <s v="USA"/>
    <m/>
    <x v="11"/>
    <x v="6"/>
    <n v="25"/>
    <n v="60"/>
    <x v="222"/>
    <n v="154.5"/>
  </r>
  <r>
    <n v="1288"/>
    <x v="112"/>
    <n v="10"/>
    <x v="8"/>
    <s v="123 10th Street"/>
    <x v="7"/>
    <x v="7"/>
    <n v="99999"/>
    <x v="0"/>
    <x v="6"/>
    <x v="1"/>
    <d v="2014-10-12T00:00:00"/>
    <s v="Shipping Company A"/>
    <s v="Roland Wacker"/>
    <s v="123 10th Street"/>
    <x v="7"/>
    <s v="IL"/>
    <n v="99999"/>
    <s v="USA"/>
    <m/>
    <x v="12"/>
    <x v="7"/>
    <n v="22"/>
    <n v="51"/>
    <x v="223"/>
    <n v="109.956"/>
  </r>
  <r>
    <n v="1289"/>
    <x v="112"/>
    <n v="10"/>
    <x v="8"/>
    <s v="123 10th Street"/>
    <x v="7"/>
    <x v="7"/>
    <n v="99999"/>
    <x v="0"/>
    <x v="6"/>
    <x v="1"/>
    <d v="2014-10-12T00:00:00"/>
    <s v="Shipping Company A"/>
    <s v="Roland Wacker"/>
    <s v="123 10th Street"/>
    <x v="7"/>
    <s v="IL"/>
    <n v="99999"/>
    <s v="USA"/>
    <m/>
    <x v="6"/>
    <x v="2"/>
    <n v="9.1999999999999993"/>
    <n v="49"/>
    <x v="224"/>
    <n v="44.629199999999997"/>
  </r>
  <r>
    <n v="1290"/>
    <x v="114"/>
    <n v="11"/>
    <x v="10"/>
    <s v="123 11th Street"/>
    <x v="9"/>
    <x v="9"/>
    <n v="99999"/>
    <x v="0"/>
    <x v="5"/>
    <x v="3"/>
    <m/>
    <s v="Shipping Company C"/>
    <s v="Peter Krschne"/>
    <s v="123 11th Street"/>
    <x v="9"/>
    <s v="FL"/>
    <n v="99999"/>
    <s v="USA"/>
    <m/>
    <x v="1"/>
    <x v="1"/>
    <n v="3.5"/>
    <n v="20"/>
    <x v="225"/>
    <n v="6.93"/>
  </r>
  <r>
    <n v="1291"/>
    <x v="114"/>
    <n v="11"/>
    <x v="10"/>
    <s v="123 11th Street"/>
    <x v="9"/>
    <x v="9"/>
    <n v="99999"/>
    <x v="0"/>
    <x v="5"/>
    <x v="3"/>
    <m/>
    <s v="Shipping Company C"/>
    <s v="Peter Krschne"/>
    <s v="123 11th Street"/>
    <x v="9"/>
    <s v="FL"/>
    <n v="99999"/>
    <s v="USA"/>
    <m/>
    <x v="10"/>
    <x v="0"/>
    <n v="2.99"/>
    <n v="49"/>
    <x v="20"/>
    <n v="14.651000000000003"/>
  </r>
  <r>
    <n v="1292"/>
    <x v="115"/>
    <n v="1"/>
    <x v="11"/>
    <s v="123 1st Street"/>
    <x v="10"/>
    <x v="10"/>
    <n v="99999"/>
    <x v="0"/>
    <x v="2"/>
    <x v="2"/>
    <m/>
    <m/>
    <s v="Anna Bedecs"/>
    <s v="123 1st Street"/>
    <x v="10"/>
    <s v="WA"/>
    <n v="99999"/>
    <s v="USA"/>
    <m/>
    <x v="4"/>
    <x v="0"/>
    <n v="18"/>
    <n v="22"/>
    <x v="226"/>
    <n v="38.015999999999998"/>
  </r>
  <r>
    <n v="1293"/>
    <x v="115"/>
    <n v="1"/>
    <x v="11"/>
    <s v="123 1st Street"/>
    <x v="10"/>
    <x v="10"/>
    <n v="99999"/>
    <x v="0"/>
    <x v="2"/>
    <x v="2"/>
    <m/>
    <m/>
    <s v="Anna Bedecs"/>
    <s v="123 1st Street"/>
    <x v="10"/>
    <s v="WA"/>
    <n v="99999"/>
    <s v="USA"/>
    <m/>
    <x v="5"/>
    <x v="0"/>
    <n v="46"/>
    <n v="73"/>
    <x v="227"/>
    <n v="339.15800000000002"/>
  </r>
  <r>
    <n v="1294"/>
    <x v="115"/>
    <n v="1"/>
    <x v="11"/>
    <s v="123 1st Street"/>
    <x v="10"/>
    <x v="10"/>
    <n v="99999"/>
    <x v="0"/>
    <x v="2"/>
    <x v="2"/>
    <m/>
    <m/>
    <s v="Anna Bedecs"/>
    <s v="123 1st Street"/>
    <x v="10"/>
    <s v="WA"/>
    <n v="99999"/>
    <s v="USA"/>
    <m/>
    <x v="10"/>
    <x v="0"/>
    <n v="2.99"/>
    <n v="85"/>
    <x v="228"/>
    <n v="24.652550000000002"/>
  </r>
  <r>
    <n v="1295"/>
    <x v="110"/>
    <n v="28"/>
    <x v="7"/>
    <s v="789 28th Street"/>
    <x v="6"/>
    <x v="6"/>
    <n v="99999"/>
    <x v="0"/>
    <x v="5"/>
    <x v="3"/>
    <d v="2014-10-30T00:00:00"/>
    <s v="Shipping Company C"/>
    <s v="Amritansh Raghav"/>
    <s v="789 28th Street"/>
    <x v="6"/>
    <s v="TN"/>
    <n v="99999"/>
    <s v="USA"/>
    <s v="Credit Card"/>
    <x v="8"/>
    <x v="4"/>
    <n v="9.65"/>
    <n v="44"/>
    <x v="229"/>
    <n v="44.158400000000007"/>
  </r>
  <r>
    <n v="1296"/>
    <x v="110"/>
    <n v="28"/>
    <x v="7"/>
    <s v="789 28th Street"/>
    <x v="6"/>
    <x v="6"/>
    <n v="99999"/>
    <x v="0"/>
    <x v="5"/>
    <x v="3"/>
    <d v="2014-10-30T00:00:00"/>
    <s v="Shipping Company C"/>
    <s v="Amritansh Raghav"/>
    <s v="789 28th Street"/>
    <x v="6"/>
    <s v="TN"/>
    <n v="99999"/>
    <s v="USA"/>
    <s v="Credit Card"/>
    <x v="13"/>
    <x v="8"/>
    <n v="18.399999999999999"/>
    <n v="24"/>
    <x v="230"/>
    <n v="42.835199999999993"/>
  </r>
  <r>
    <n v="1297"/>
    <x v="116"/>
    <n v="9"/>
    <x v="12"/>
    <s v="123 9th Street"/>
    <x v="11"/>
    <x v="11"/>
    <n v="99999"/>
    <x v="0"/>
    <x v="7"/>
    <x v="0"/>
    <d v="2014-10-11T00:00:00"/>
    <s v="Shipping Company A"/>
    <s v="Sven Mortensen"/>
    <s v="123 9th Street"/>
    <x v="11"/>
    <s v="UT"/>
    <n v="99999"/>
    <s v="USA"/>
    <s v="Check"/>
    <x v="14"/>
    <x v="9"/>
    <n v="19.5"/>
    <n v="64"/>
    <x v="231"/>
    <n v="119.80800000000001"/>
  </r>
  <r>
    <n v="1298"/>
    <x v="116"/>
    <n v="9"/>
    <x v="12"/>
    <s v="123 9th Street"/>
    <x v="11"/>
    <x v="11"/>
    <n v="99999"/>
    <x v="0"/>
    <x v="7"/>
    <x v="0"/>
    <d v="2014-10-11T00:00:00"/>
    <s v="Shipping Company A"/>
    <s v="Sven Mortensen"/>
    <s v="123 9th Street"/>
    <x v="11"/>
    <s v="UT"/>
    <n v="99999"/>
    <s v="USA"/>
    <s v="Check"/>
    <x v="15"/>
    <x v="10"/>
    <n v="34.799999999999997"/>
    <n v="70"/>
    <x v="232"/>
    <n v="246.03600000000003"/>
  </r>
  <r>
    <n v="1299"/>
    <x v="109"/>
    <n v="6"/>
    <x v="6"/>
    <s v="123 6th Street"/>
    <x v="5"/>
    <x v="5"/>
    <n v="99999"/>
    <x v="0"/>
    <x v="4"/>
    <x v="2"/>
    <d v="2014-10-08T00:00:00"/>
    <s v="Shipping Company B"/>
    <s v="Francisco Pérez-Olaeta"/>
    <s v="123 6th Street"/>
    <x v="5"/>
    <s v="WI"/>
    <n v="99999"/>
    <s v="USA"/>
    <s v="Credit Card"/>
    <x v="0"/>
    <x v="0"/>
    <n v="14"/>
    <n v="98"/>
    <x v="233"/>
    <n v="138.57200000000003"/>
  </r>
  <r>
    <n v="1300"/>
    <x v="111"/>
    <n v="8"/>
    <x v="3"/>
    <s v="123 8th Street"/>
    <x v="2"/>
    <x v="2"/>
    <n v="99999"/>
    <x v="0"/>
    <x v="2"/>
    <x v="2"/>
    <d v="2014-10-10T00:00:00"/>
    <s v="Shipping Company B"/>
    <s v="Elizabeth Andersen"/>
    <s v="123 8th Street"/>
    <x v="2"/>
    <s v="OR"/>
    <n v="99999"/>
    <s v="USA"/>
    <s v="Check"/>
    <x v="9"/>
    <x v="5"/>
    <n v="40"/>
    <n v="48"/>
    <x v="208"/>
    <n v="188.16"/>
  </r>
  <r>
    <n v="1301"/>
    <x v="111"/>
    <n v="8"/>
    <x v="3"/>
    <s v="123 8th Street"/>
    <x v="2"/>
    <x v="2"/>
    <n v="99999"/>
    <x v="0"/>
    <x v="2"/>
    <x v="2"/>
    <d v="2014-10-10T00:00:00"/>
    <s v="Shipping Company B"/>
    <s v="Elizabeth Andersen"/>
    <s v="123 8th Street"/>
    <x v="2"/>
    <s v="OR"/>
    <n v="99999"/>
    <s v="USA"/>
    <s v="Check"/>
    <x v="6"/>
    <x v="2"/>
    <n v="9.1999999999999993"/>
    <n v="100"/>
    <x v="234"/>
    <n v="91.08"/>
  </r>
  <r>
    <n v="1302"/>
    <x v="117"/>
    <n v="25"/>
    <x v="13"/>
    <s v="789 25th Street"/>
    <x v="7"/>
    <x v="7"/>
    <n v="99999"/>
    <x v="0"/>
    <x v="6"/>
    <x v="1"/>
    <d v="2014-10-27T00:00:00"/>
    <s v="Shipping Company A"/>
    <s v="John Rodman"/>
    <s v="789 25th Street"/>
    <x v="7"/>
    <s v="IL"/>
    <n v="99999"/>
    <s v="USA"/>
    <s v="Cash"/>
    <x v="21"/>
    <x v="2"/>
    <n v="10"/>
    <n v="90"/>
    <x v="235"/>
    <n v="87.3"/>
  </r>
  <r>
    <n v="1303"/>
    <x v="118"/>
    <n v="26"/>
    <x v="14"/>
    <s v="789 26th Street"/>
    <x v="9"/>
    <x v="9"/>
    <n v="99999"/>
    <x v="0"/>
    <x v="5"/>
    <x v="3"/>
    <d v="2014-10-28T00:00:00"/>
    <s v="Shipping Company C"/>
    <s v="Run Liu"/>
    <s v="789 26th Street"/>
    <x v="9"/>
    <s v="FL"/>
    <n v="99999"/>
    <s v="USA"/>
    <s v="Credit Card"/>
    <x v="22"/>
    <x v="13"/>
    <n v="21.35"/>
    <n v="49"/>
    <x v="236"/>
    <n v="102.5227"/>
  </r>
  <r>
    <n v="1304"/>
    <x v="118"/>
    <n v="26"/>
    <x v="14"/>
    <s v="789 26th Street"/>
    <x v="9"/>
    <x v="9"/>
    <n v="99999"/>
    <x v="0"/>
    <x v="5"/>
    <x v="3"/>
    <d v="2014-10-28T00:00:00"/>
    <s v="Shipping Company C"/>
    <s v="Run Liu"/>
    <s v="789 26th Street"/>
    <x v="9"/>
    <s v="FL"/>
    <n v="99999"/>
    <s v="USA"/>
    <s v="Credit Card"/>
    <x v="8"/>
    <x v="4"/>
    <n v="9.65"/>
    <n v="71"/>
    <x v="237"/>
    <n v="65.7744"/>
  </r>
  <r>
    <n v="1305"/>
    <x v="118"/>
    <n v="26"/>
    <x v="14"/>
    <s v="789 26th Street"/>
    <x v="9"/>
    <x v="9"/>
    <n v="99999"/>
    <x v="0"/>
    <x v="5"/>
    <x v="3"/>
    <d v="2014-10-28T00:00:00"/>
    <s v="Shipping Company C"/>
    <s v="Run Liu"/>
    <s v="789 26th Street"/>
    <x v="9"/>
    <s v="FL"/>
    <n v="99999"/>
    <s v="USA"/>
    <s v="Credit Card"/>
    <x v="13"/>
    <x v="8"/>
    <n v="18.399999999999999"/>
    <n v="10"/>
    <x v="238"/>
    <n v="19.136000000000003"/>
  </r>
  <r>
    <n v="1306"/>
    <x v="119"/>
    <n v="29"/>
    <x v="4"/>
    <s v="789 29th Street"/>
    <x v="3"/>
    <x v="3"/>
    <n v="99999"/>
    <x v="0"/>
    <x v="3"/>
    <x v="0"/>
    <d v="2014-10-31T00:00:00"/>
    <s v="Shipping Company B"/>
    <s v="Soo Jung Lee"/>
    <s v="789 29th Street"/>
    <x v="3"/>
    <s v="CO"/>
    <n v="99999"/>
    <s v="USA"/>
    <s v="Check"/>
    <x v="0"/>
    <x v="0"/>
    <n v="14"/>
    <n v="78"/>
    <x v="239"/>
    <n v="112.476"/>
  </r>
  <r>
    <n v="1307"/>
    <x v="109"/>
    <n v="6"/>
    <x v="6"/>
    <s v="123 6th Street"/>
    <x v="5"/>
    <x v="5"/>
    <n v="99999"/>
    <x v="0"/>
    <x v="4"/>
    <x v="2"/>
    <d v="2014-10-08T00:00:00"/>
    <s v="Shipping Company C"/>
    <s v="Francisco Pérez-Olaeta"/>
    <s v="123 6th Street"/>
    <x v="5"/>
    <s v="WI"/>
    <n v="99999"/>
    <s v="USA"/>
    <s v="Check"/>
    <x v="7"/>
    <x v="3"/>
    <n v="12.75"/>
    <n v="44"/>
    <x v="134"/>
    <n v="53.856000000000002"/>
  </r>
  <r>
    <n v="1309"/>
    <x v="120"/>
    <n v="4"/>
    <x v="1"/>
    <s v="123 4th Street"/>
    <x v="1"/>
    <x v="1"/>
    <n v="99999"/>
    <x v="0"/>
    <x v="1"/>
    <x v="1"/>
    <d v="2014-10-06T00:00:00"/>
    <s v="Shipping Company A"/>
    <s v="Christina Lee"/>
    <s v="123 4th Street"/>
    <x v="1"/>
    <s v="NY"/>
    <n v="99999"/>
    <s v="USA"/>
    <s v="Credit Card"/>
    <x v="23"/>
    <x v="6"/>
    <n v="81"/>
    <n v="82"/>
    <x v="240"/>
    <n v="697.41000000000008"/>
  </r>
  <r>
    <n v="1310"/>
    <x v="120"/>
    <n v="4"/>
    <x v="1"/>
    <s v="123 4th Street"/>
    <x v="1"/>
    <x v="1"/>
    <n v="99999"/>
    <x v="0"/>
    <x v="1"/>
    <x v="1"/>
    <d v="2014-10-06T00:00:00"/>
    <s v="Shipping Company A"/>
    <s v="Christina Lee"/>
    <s v="123 4th Street"/>
    <x v="1"/>
    <s v="NY"/>
    <n v="99999"/>
    <s v="USA"/>
    <s v="Credit Card"/>
    <x v="24"/>
    <x v="14"/>
    <n v="7"/>
    <n v="29"/>
    <x v="241"/>
    <n v="20.3"/>
  </r>
  <r>
    <n v="1312"/>
    <x v="111"/>
    <n v="8"/>
    <x v="3"/>
    <s v="123 8th Street"/>
    <x v="2"/>
    <x v="2"/>
    <n v="99999"/>
    <x v="0"/>
    <x v="2"/>
    <x v="2"/>
    <d v="2014-10-10T00:00:00"/>
    <s v="Shipping Company C"/>
    <s v="Elizabeth Andersen"/>
    <s v="123 8th Street"/>
    <x v="2"/>
    <s v="OR"/>
    <n v="99999"/>
    <s v="USA"/>
    <s v="Credit Card"/>
    <x v="15"/>
    <x v="10"/>
    <n v="34.799999999999997"/>
    <n v="93"/>
    <x v="242"/>
    <n v="313.93079999999998"/>
  </r>
  <r>
    <n v="1315"/>
    <x v="121"/>
    <n v="3"/>
    <x v="5"/>
    <s v="123 3rd Street"/>
    <x v="4"/>
    <x v="4"/>
    <n v="99999"/>
    <x v="0"/>
    <x v="0"/>
    <x v="0"/>
    <d v="2014-10-05T00:00:00"/>
    <s v="Shipping Company B"/>
    <s v="Thomas Axerr"/>
    <s v="123 3rd Street"/>
    <x v="4"/>
    <s v="CA"/>
    <n v="99999"/>
    <s v="USA"/>
    <s v="Cash"/>
    <x v="16"/>
    <x v="7"/>
    <n v="10"/>
    <n v="11"/>
    <x v="243"/>
    <n v="11.440000000000001"/>
  </r>
  <r>
    <n v="1316"/>
    <x v="121"/>
    <n v="3"/>
    <x v="5"/>
    <s v="123 3rd Street"/>
    <x v="4"/>
    <x v="4"/>
    <n v="99999"/>
    <x v="0"/>
    <x v="0"/>
    <x v="0"/>
    <d v="2014-10-05T00:00:00"/>
    <s v="Shipping Company B"/>
    <s v="Thomas Axerr"/>
    <s v="123 3rd Street"/>
    <x v="4"/>
    <s v="CA"/>
    <n v="99999"/>
    <s v="USA"/>
    <s v="Cash"/>
    <x v="9"/>
    <x v="5"/>
    <n v="40"/>
    <n v="91"/>
    <x v="157"/>
    <n v="364"/>
  </r>
  <r>
    <n v="1320"/>
    <x v="112"/>
    <n v="10"/>
    <x v="8"/>
    <s v="123 10th Street"/>
    <x v="7"/>
    <x v="7"/>
    <n v="99999"/>
    <x v="0"/>
    <x v="6"/>
    <x v="1"/>
    <d v="2014-10-12T00:00:00"/>
    <s v="Shipping Company B"/>
    <s v="Roland Wacker"/>
    <s v="123 10th Street"/>
    <x v="7"/>
    <s v="IL"/>
    <n v="99999"/>
    <s v="USA"/>
    <s v="Credit Card"/>
    <x v="18"/>
    <x v="1"/>
    <n v="10"/>
    <n v="12"/>
    <x v="244"/>
    <n v="12.36"/>
  </r>
  <r>
    <n v="1322"/>
    <x v="112"/>
    <n v="10"/>
    <x v="8"/>
    <s v="123 10th Street"/>
    <x v="7"/>
    <x v="7"/>
    <n v="99999"/>
    <x v="0"/>
    <x v="6"/>
    <x v="1"/>
    <m/>
    <s v="Shipping Company A"/>
    <s v="Roland Wacker"/>
    <s v="123 10th Street"/>
    <x v="7"/>
    <s v="IL"/>
    <n v="99999"/>
    <s v="USA"/>
    <m/>
    <x v="1"/>
    <x v="1"/>
    <n v="3.5"/>
    <n v="78"/>
    <x v="214"/>
    <n v="27.3"/>
  </r>
  <r>
    <n v="1323"/>
    <x v="114"/>
    <n v="11"/>
    <x v="10"/>
    <s v="123 11th Street"/>
    <x v="9"/>
    <x v="9"/>
    <n v="99999"/>
    <x v="0"/>
    <x v="5"/>
    <x v="3"/>
    <m/>
    <s v="Shipping Company C"/>
    <s v="Peter Krschne"/>
    <s v="123 11th Street"/>
    <x v="9"/>
    <s v="FL"/>
    <n v="99999"/>
    <s v="USA"/>
    <m/>
    <x v="9"/>
    <x v="5"/>
    <n v="40"/>
    <n v="60"/>
    <x v="245"/>
    <n v="228"/>
  </r>
  <r>
    <n v="1324"/>
    <x v="115"/>
    <n v="1"/>
    <x v="11"/>
    <s v="123 1st Street"/>
    <x v="10"/>
    <x v="10"/>
    <n v="99999"/>
    <x v="0"/>
    <x v="2"/>
    <x v="2"/>
    <m/>
    <s v="Shipping Company C"/>
    <s v="Anna Bedecs"/>
    <s v="123 1st Street"/>
    <x v="10"/>
    <s v="WA"/>
    <n v="99999"/>
    <s v="USA"/>
    <m/>
    <x v="13"/>
    <x v="8"/>
    <n v="18.399999999999999"/>
    <n v="23"/>
    <x v="246"/>
    <n v="43.589600000000004"/>
  </r>
  <r>
    <n v="1325"/>
    <x v="110"/>
    <n v="28"/>
    <x v="7"/>
    <s v="789 28th Street"/>
    <x v="6"/>
    <x v="6"/>
    <n v="99999"/>
    <x v="0"/>
    <x v="5"/>
    <x v="3"/>
    <d v="2014-10-30T00:00:00"/>
    <s v="Shipping Company C"/>
    <s v="Amritansh Raghav"/>
    <s v="789 28th Street"/>
    <x v="6"/>
    <s v="TN"/>
    <n v="99999"/>
    <s v="USA"/>
    <s v="Credit Card"/>
    <x v="5"/>
    <x v="0"/>
    <n v="46"/>
    <n v="34"/>
    <x v="247"/>
    <n v="157.964"/>
  </r>
  <r>
    <n v="1326"/>
    <x v="116"/>
    <n v="9"/>
    <x v="12"/>
    <s v="123 9th Street"/>
    <x v="11"/>
    <x v="11"/>
    <n v="99999"/>
    <x v="0"/>
    <x v="7"/>
    <x v="0"/>
    <d v="2014-10-11T00:00:00"/>
    <s v="Shipping Company A"/>
    <s v="Sven Mortensen"/>
    <s v="123 9th Street"/>
    <x v="11"/>
    <s v="UT"/>
    <n v="99999"/>
    <s v="USA"/>
    <s v="Check"/>
    <x v="8"/>
    <x v="4"/>
    <n v="9.65"/>
    <n v="89"/>
    <x v="248"/>
    <n v="86.743850000000009"/>
  </r>
  <r>
    <n v="1327"/>
    <x v="109"/>
    <n v="6"/>
    <x v="6"/>
    <s v="123 6th Street"/>
    <x v="5"/>
    <x v="5"/>
    <n v="99999"/>
    <x v="0"/>
    <x v="4"/>
    <x v="2"/>
    <d v="2014-10-08T00:00:00"/>
    <s v="Shipping Company B"/>
    <s v="Francisco Pérez-Olaeta"/>
    <s v="123 6th Street"/>
    <x v="5"/>
    <s v="WI"/>
    <n v="99999"/>
    <s v="USA"/>
    <s v="Credit Card"/>
    <x v="7"/>
    <x v="3"/>
    <n v="12.75"/>
    <n v="82"/>
    <x v="249"/>
    <n v="103.50450000000001"/>
  </r>
  <r>
    <n v="1328"/>
    <x v="111"/>
    <n v="8"/>
    <x v="3"/>
    <s v="123 8th Street"/>
    <x v="2"/>
    <x v="2"/>
    <n v="99999"/>
    <x v="0"/>
    <x v="2"/>
    <x v="2"/>
    <d v="2014-10-10T00:00:00"/>
    <s v="Shipping Company B"/>
    <s v="Elizabeth Andersen"/>
    <s v="123 8th Street"/>
    <x v="2"/>
    <s v="OR"/>
    <n v="99999"/>
    <s v="USA"/>
    <s v="Check"/>
    <x v="7"/>
    <x v="3"/>
    <n v="12.75"/>
    <n v="43"/>
    <x v="250"/>
    <n v="52.631999999999998"/>
  </r>
  <r>
    <n v="1329"/>
    <x v="122"/>
    <n v="10"/>
    <x v="8"/>
    <s v="123 10th Street"/>
    <x v="7"/>
    <x v="7"/>
    <n v="99999"/>
    <x v="0"/>
    <x v="6"/>
    <x v="1"/>
    <d v="2014-11-12T00:00:00"/>
    <s v="Shipping Company A"/>
    <s v="Roland Wacker"/>
    <s v="123 10th Street"/>
    <x v="7"/>
    <s v="IL"/>
    <n v="99999"/>
    <s v="USA"/>
    <m/>
    <x v="12"/>
    <x v="7"/>
    <n v="22"/>
    <n v="96"/>
    <x v="251"/>
    <n v="221.76000000000002"/>
  </r>
  <r>
    <n v="1330"/>
    <x v="122"/>
    <n v="10"/>
    <x v="8"/>
    <s v="123 10th Street"/>
    <x v="7"/>
    <x v="7"/>
    <n v="99999"/>
    <x v="0"/>
    <x v="6"/>
    <x v="1"/>
    <d v="2014-11-12T00:00:00"/>
    <s v="Shipping Company A"/>
    <s v="Roland Wacker"/>
    <s v="123 10th Street"/>
    <x v="7"/>
    <s v="IL"/>
    <n v="99999"/>
    <s v="USA"/>
    <m/>
    <x v="6"/>
    <x v="2"/>
    <n v="9.1999999999999993"/>
    <n v="34"/>
    <x v="252"/>
    <n v="31.279999999999998"/>
  </r>
  <r>
    <n v="1331"/>
    <x v="123"/>
    <n v="11"/>
    <x v="10"/>
    <s v="123 11th Street"/>
    <x v="9"/>
    <x v="9"/>
    <n v="99999"/>
    <x v="0"/>
    <x v="5"/>
    <x v="3"/>
    <m/>
    <s v="Shipping Company C"/>
    <s v="Peter Krschne"/>
    <s v="123 11th Street"/>
    <x v="9"/>
    <s v="FL"/>
    <n v="99999"/>
    <s v="USA"/>
    <m/>
    <x v="1"/>
    <x v="1"/>
    <n v="3.5"/>
    <n v="42"/>
    <x v="253"/>
    <n v="15.141000000000002"/>
  </r>
  <r>
    <n v="1332"/>
    <x v="123"/>
    <n v="11"/>
    <x v="10"/>
    <s v="123 11th Street"/>
    <x v="9"/>
    <x v="9"/>
    <n v="99999"/>
    <x v="0"/>
    <x v="5"/>
    <x v="3"/>
    <m/>
    <s v="Shipping Company C"/>
    <s v="Peter Krschne"/>
    <s v="123 11th Street"/>
    <x v="9"/>
    <s v="FL"/>
    <n v="99999"/>
    <s v="USA"/>
    <m/>
    <x v="10"/>
    <x v="0"/>
    <n v="2.99"/>
    <n v="100"/>
    <x v="254"/>
    <n v="30.498000000000001"/>
  </r>
  <r>
    <n v="1333"/>
    <x v="124"/>
    <n v="1"/>
    <x v="11"/>
    <s v="123 1st Street"/>
    <x v="10"/>
    <x v="10"/>
    <n v="99999"/>
    <x v="0"/>
    <x v="2"/>
    <x v="2"/>
    <m/>
    <m/>
    <s v="Anna Bedecs"/>
    <s v="123 1st Street"/>
    <x v="10"/>
    <s v="WA"/>
    <n v="99999"/>
    <s v="USA"/>
    <m/>
    <x v="4"/>
    <x v="0"/>
    <n v="18"/>
    <n v="42"/>
    <x v="21"/>
    <n v="76.356000000000009"/>
  </r>
  <r>
    <n v="1334"/>
    <x v="124"/>
    <n v="1"/>
    <x v="11"/>
    <s v="123 1st Street"/>
    <x v="10"/>
    <x v="10"/>
    <n v="99999"/>
    <x v="0"/>
    <x v="2"/>
    <x v="2"/>
    <m/>
    <m/>
    <s v="Anna Bedecs"/>
    <s v="123 1st Street"/>
    <x v="10"/>
    <s v="WA"/>
    <n v="99999"/>
    <s v="USA"/>
    <m/>
    <x v="5"/>
    <x v="0"/>
    <n v="46"/>
    <n v="16"/>
    <x v="129"/>
    <n v="70.656000000000006"/>
  </r>
  <r>
    <n v="1335"/>
    <x v="124"/>
    <n v="1"/>
    <x v="11"/>
    <s v="123 1st Street"/>
    <x v="10"/>
    <x v="10"/>
    <n v="99999"/>
    <x v="0"/>
    <x v="2"/>
    <x v="2"/>
    <m/>
    <m/>
    <s v="Anna Bedecs"/>
    <s v="123 1st Street"/>
    <x v="10"/>
    <s v="WA"/>
    <n v="99999"/>
    <s v="USA"/>
    <m/>
    <x v="10"/>
    <x v="0"/>
    <n v="2.99"/>
    <n v="22"/>
    <x v="255"/>
    <n v="6.3806599999999998"/>
  </r>
  <r>
    <n v="1336"/>
    <x v="125"/>
    <n v="28"/>
    <x v="7"/>
    <s v="789 28th Street"/>
    <x v="6"/>
    <x v="6"/>
    <n v="99999"/>
    <x v="0"/>
    <x v="5"/>
    <x v="3"/>
    <d v="2014-11-30T00:00:00"/>
    <s v="Shipping Company C"/>
    <s v="Amritansh Raghav"/>
    <s v="789 28th Street"/>
    <x v="6"/>
    <s v="TN"/>
    <n v="99999"/>
    <s v="USA"/>
    <s v="Credit Card"/>
    <x v="8"/>
    <x v="4"/>
    <n v="9.65"/>
    <n v="46"/>
    <x v="256"/>
    <n v="45.721700000000006"/>
  </r>
  <r>
    <n v="1337"/>
    <x v="125"/>
    <n v="28"/>
    <x v="7"/>
    <s v="789 28th Street"/>
    <x v="6"/>
    <x v="6"/>
    <n v="99999"/>
    <x v="0"/>
    <x v="5"/>
    <x v="3"/>
    <n v="41973"/>
    <s v="Shipping Company C"/>
    <s v="Amritansh Raghav"/>
    <s v="789 28th Street"/>
    <x v="6"/>
    <s v="TN"/>
    <n v="99999"/>
    <s v="USA"/>
    <s v="Credit Card"/>
    <x v="13"/>
    <x v="8"/>
    <n v="18.399999999999999"/>
    <n v="100"/>
    <x v="257"/>
    <n v="184"/>
  </r>
  <r>
    <n v="1338"/>
    <x v="126"/>
    <n v="9"/>
    <x v="12"/>
    <s v="123 9th Street"/>
    <x v="11"/>
    <x v="11"/>
    <n v="99999"/>
    <x v="0"/>
    <x v="7"/>
    <x v="0"/>
    <n v="41954"/>
    <s v="Shipping Company A"/>
    <s v="Sven Mortensen"/>
    <s v="123 9th Street"/>
    <x v="11"/>
    <s v="UT"/>
    <n v="99999"/>
    <s v="USA"/>
    <s v="Check"/>
    <x v="14"/>
    <x v="9"/>
    <n v="19.5"/>
    <n v="87"/>
    <x v="258"/>
    <n v="174.73950000000002"/>
  </r>
  <r>
    <n v="1339"/>
    <x v="126"/>
    <n v="9"/>
    <x v="12"/>
    <s v="123 9th Street"/>
    <x v="11"/>
    <x v="11"/>
    <n v="99999"/>
    <x v="0"/>
    <x v="7"/>
    <x v="0"/>
    <n v="41954"/>
    <s v="Shipping Company A"/>
    <s v="Sven Mortensen"/>
    <s v="123 9th Street"/>
    <x v="11"/>
    <s v="UT"/>
    <n v="99999"/>
    <s v="USA"/>
    <s v="Check"/>
    <x v="15"/>
    <x v="10"/>
    <n v="34.799999999999997"/>
    <n v="58"/>
    <x v="259"/>
    <n v="205.8768"/>
  </r>
  <r>
    <n v="1340"/>
    <x v="127"/>
    <n v="6"/>
    <x v="6"/>
    <s v="123 6th Street"/>
    <x v="5"/>
    <x v="5"/>
    <n v="99999"/>
    <x v="0"/>
    <x v="4"/>
    <x v="2"/>
    <n v="41951"/>
    <s v="Shipping Company B"/>
    <s v="Francisco Pérez-Olaeta"/>
    <s v="123 6th Street"/>
    <x v="5"/>
    <s v="WI"/>
    <n v="99999"/>
    <s v="USA"/>
    <s v="Credit Card"/>
    <x v="0"/>
    <x v="0"/>
    <n v="14"/>
    <n v="85"/>
    <x v="260"/>
    <n v="120.19"/>
  </r>
  <r>
    <n v="1341"/>
    <x v="128"/>
    <n v="8"/>
    <x v="3"/>
    <s v="123 8th Street"/>
    <x v="2"/>
    <x v="2"/>
    <n v="99999"/>
    <x v="0"/>
    <x v="2"/>
    <x v="2"/>
    <n v="41953"/>
    <s v="Shipping Company B"/>
    <s v="Elizabeth Andersen"/>
    <s v="123 8th Street"/>
    <x v="2"/>
    <s v="OR"/>
    <n v="99999"/>
    <s v="USA"/>
    <s v="Check"/>
    <x v="9"/>
    <x v="5"/>
    <n v="40"/>
    <n v="28"/>
    <x v="139"/>
    <n v="110.88"/>
  </r>
  <r>
    <n v="1342"/>
    <x v="128"/>
    <n v="8"/>
    <x v="3"/>
    <s v="123 8th Street"/>
    <x v="2"/>
    <x v="2"/>
    <n v="99999"/>
    <x v="0"/>
    <x v="2"/>
    <x v="2"/>
    <d v="2014-11-10T00:00:00"/>
    <s v="Shipping Company B"/>
    <s v="Elizabeth Andersen"/>
    <s v="123 8th Street"/>
    <x v="2"/>
    <s v="OR"/>
    <n v="99999"/>
    <s v="USA"/>
    <s v="Check"/>
    <x v="6"/>
    <x v="2"/>
    <n v="9.1999999999999993"/>
    <n v="19"/>
    <x v="261"/>
    <n v="17.130400000000002"/>
  </r>
  <r>
    <n v="1343"/>
    <x v="129"/>
    <n v="25"/>
    <x v="13"/>
    <s v="789 25th Street"/>
    <x v="7"/>
    <x v="7"/>
    <n v="99999"/>
    <x v="0"/>
    <x v="6"/>
    <x v="1"/>
    <d v="2014-11-27T00:00:00"/>
    <s v="Shipping Company A"/>
    <s v="John Rodman"/>
    <s v="789 25th Street"/>
    <x v="7"/>
    <s v="IL"/>
    <n v="99999"/>
    <s v="USA"/>
    <s v="Cash"/>
    <x v="21"/>
    <x v="2"/>
    <n v="10"/>
    <n v="99"/>
    <x v="82"/>
    <n v="102.96000000000001"/>
  </r>
  <r>
    <n v="1344"/>
    <x v="130"/>
    <n v="26"/>
    <x v="14"/>
    <s v="789 26th Street"/>
    <x v="9"/>
    <x v="9"/>
    <n v="99999"/>
    <x v="0"/>
    <x v="5"/>
    <x v="3"/>
    <d v="2014-11-28T00:00:00"/>
    <s v="Shipping Company C"/>
    <s v="Run Liu"/>
    <s v="789 26th Street"/>
    <x v="9"/>
    <s v="FL"/>
    <n v="99999"/>
    <s v="USA"/>
    <s v="Credit Card"/>
    <x v="22"/>
    <x v="13"/>
    <n v="21.35"/>
    <n v="69"/>
    <x v="262"/>
    <n v="153.20760000000004"/>
  </r>
  <r>
    <n v="1345"/>
    <x v="130"/>
    <n v="26"/>
    <x v="14"/>
    <s v="789 26th Street"/>
    <x v="9"/>
    <x v="9"/>
    <n v="99999"/>
    <x v="0"/>
    <x v="5"/>
    <x v="3"/>
    <d v="2014-11-28T00:00:00"/>
    <s v="Shipping Company C"/>
    <s v="Run Liu"/>
    <s v="789 26th Street"/>
    <x v="9"/>
    <s v="FL"/>
    <n v="99999"/>
    <s v="USA"/>
    <s v="Credit Card"/>
    <x v="8"/>
    <x v="4"/>
    <n v="9.65"/>
    <n v="37"/>
    <x v="263"/>
    <n v="33.919750000000001"/>
  </r>
  <r>
    <n v="1346"/>
    <x v="130"/>
    <n v="26"/>
    <x v="14"/>
    <s v="789 26th Street"/>
    <x v="9"/>
    <x v="9"/>
    <n v="99999"/>
    <x v="0"/>
    <x v="5"/>
    <x v="3"/>
    <d v="2014-11-28T00:00:00"/>
    <s v="Shipping Company C"/>
    <s v="Run Liu"/>
    <s v="789 26th Street"/>
    <x v="9"/>
    <s v="FL"/>
    <n v="99999"/>
    <s v="USA"/>
    <s v="Credit Card"/>
    <x v="13"/>
    <x v="8"/>
    <n v="18.399999999999999"/>
    <n v="64"/>
    <x v="107"/>
    <n v="118.93759999999999"/>
  </r>
  <r>
    <n v="1347"/>
    <x v="131"/>
    <n v="29"/>
    <x v="4"/>
    <s v="789 29th Street"/>
    <x v="3"/>
    <x v="3"/>
    <n v="99999"/>
    <x v="0"/>
    <x v="3"/>
    <x v="0"/>
    <d v="2014-12-01T00:00:00"/>
    <s v="Shipping Company B"/>
    <s v="Soo Jung Lee"/>
    <s v="789 29th Street"/>
    <x v="3"/>
    <s v="CO"/>
    <n v="99999"/>
    <s v="USA"/>
    <s v="Check"/>
    <x v="0"/>
    <x v="0"/>
    <n v="14"/>
    <n v="38"/>
    <x v="197"/>
    <n v="55.328000000000003"/>
  </r>
  <r>
    <n v="1348"/>
    <x v="127"/>
    <n v="6"/>
    <x v="6"/>
    <s v="123 6th Street"/>
    <x v="5"/>
    <x v="5"/>
    <n v="99999"/>
    <x v="0"/>
    <x v="4"/>
    <x v="2"/>
    <d v="2014-11-08T00:00:00"/>
    <s v="Shipping Company C"/>
    <s v="Francisco Pérez-Olaeta"/>
    <s v="123 6th Street"/>
    <x v="5"/>
    <s v="WI"/>
    <n v="99999"/>
    <s v="USA"/>
    <s v="Check"/>
    <x v="7"/>
    <x v="3"/>
    <n v="12.75"/>
    <n v="15"/>
    <x v="264"/>
    <n v="18.55125"/>
  </r>
  <r>
    <n v="1350"/>
    <x v="132"/>
    <n v="4"/>
    <x v="1"/>
    <s v="123 4th Street"/>
    <x v="1"/>
    <x v="1"/>
    <n v="99999"/>
    <x v="0"/>
    <x v="1"/>
    <x v="1"/>
    <d v="2014-11-06T00:00:00"/>
    <s v="Shipping Company A"/>
    <s v="Christina Lee"/>
    <s v="123 4th Street"/>
    <x v="1"/>
    <s v="NY"/>
    <n v="99999"/>
    <s v="USA"/>
    <s v="Credit Card"/>
    <x v="23"/>
    <x v="6"/>
    <n v="81"/>
    <n v="52"/>
    <x v="265"/>
    <n v="412.77600000000001"/>
  </r>
  <r>
    <n v="1351"/>
    <x v="132"/>
    <n v="4"/>
    <x v="1"/>
    <s v="123 4th Street"/>
    <x v="1"/>
    <x v="1"/>
    <n v="99999"/>
    <x v="0"/>
    <x v="1"/>
    <x v="1"/>
    <d v="2014-11-06T00:00:00"/>
    <s v="Shipping Company A"/>
    <s v="Christina Lee"/>
    <s v="123 4th Street"/>
    <x v="1"/>
    <s v="NY"/>
    <n v="99999"/>
    <s v="USA"/>
    <s v="Credit Card"/>
    <x v="24"/>
    <x v="14"/>
    <n v="7"/>
    <n v="37"/>
    <x v="58"/>
    <n v="25.382000000000001"/>
  </r>
  <r>
    <n v="1353"/>
    <x v="128"/>
    <n v="8"/>
    <x v="3"/>
    <s v="123 8th Street"/>
    <x v="2"/>
    <x v="2"/>
    <n v="99999"/>
    <x v="0"/>
    <x v="2"/>
    <x v="2"/>
    <d v="2014-11-10T00:00:00"/>
    <s v="Shipping Company C"/>
    <s v="Elizabeth Andersen"/>
    <s v="123 8th Street"/>
    <x v="2"/>
    <s v="OR"/>
    <n v="99999"/>
    <s v="USA"/>
    <s v="Credit Card"/>
    <x v="15"/>
    <x v="10"/>
    <n v="34.799999999999997"/>
    <n v="24"/>
    <x v="266"/>
    <n v="80.179199999999994"/>
  </r>
  <r>
    <n v="1356"/>
    <x v="133"/>
    <n v="3"/>
    <x v="5"/>
    <s v="123 3rd Street"/>
    <x v="4"/>
    <x v="4"/>
    <n v="99999"/>
    <x v="0"/>
    <x v="0"/>
    <x v="0"/>
    <d v="2014-11-05T00:00:00"/>
    <s v="Shipping Company B"/>
    <s v="Thomas Axerr"/>
    <s v="123 3rd Street"/>
    <x v="4"/>
    <s v="CA"/>
    <n v="99999"/>
    <s v="USA"/>
    <s v="Cash"/>
    <x v="16"/>
    <x v="7"/>
    <n v="10"/>
    <n v="36"/>
    <x v="267"/>
    <n v="37.08"/>
  </r>
  <r>
    <n v="1357"/>
    <x v="133"/>
    <n v="3"/>
    <x v="5"/>
    <s v="123 3rd Street"/>
    <x v="4"/>
    <x v="4"/>
    <n v="99999"/>
    <x v="0"/>
    <x v="0"/>
    <x v="0"/>
    <d v="2014-11-05T00:00:00"/>
    <s v="Shipping Company B"/>
    <s v="Thomas Axerr"/>
    <s v="123 3rd Street"/>
    <x v="4"/>
    <s v="CA"/>
    <n v="99999"/>
    <s v="USA"/>
    <s v="Cash"/>
    <x v="9"/>
    <x v="5"/>
    <n v="40"/>
    <n v="24"/>
    <x v="268"/>
    <n v="96"/>
  </r>
  <r>
    <n v="1361"/>
    <x v="122"/>
    <n v="10"/>
    <x v="8"/>
    <s v="123 10th Street"/>
    <x v="7"/>
    <x v="7"/>
    <n v="99999"/>
    <x v="0"/>
    <x v="6"/>
    <x v="1"/>
    <d v="2014-11-12T00:00:00"/>
    <s v="Shipping Company B"/>
    <s v="Roland Wacker"/>
    <s v="123 10th Street"/>
    <x v="7"/>
    <s v="IL"/>
    <n v="99999"/>
    <s v="USA"/>
    <s v="Credit Card"/>
    <x v="18"/>
    <x v="1"/>
    <n v="10"/>
    <n v="20"/>
    <x v="269"/>
    <n v="20"/>
  </r>
  <r>
    <n v="1363"/>
    <x v="122"/>
    <n v="10"/>
    <x v="8"/>
    <s v="123 10th Street"/>
    <x v="7"/>
    <x v="7"/>
    <n v="99999"/>
    <x v="0"/>
    <x v="6"/>
    <x v="1"/>
    <m/>
    <s v="Shipping Company A"/>
    <s v="Roland Wacker"/>
    <s v="123 10th Street"/>
    <x v="7"/>
    <s v="IL"/>
    <n v="99999"/>
    <s v="USA"/>
    <m/>
    <x v="1"/>
    <x v="1"/>
    <n v="3.5"/>
    <n v="11"/>
    <x v="4"/>
    <n v="3.7345000000000002"/>
  </r>
  <r>
    <n v="1364"/>
    <x v="123"/>
    <n v="11"/>
    <x v="10"/>
    <s v="123 11th Street"/>
    <x v="9"/>
    <x v="9"/>
    <n v="99999"/>
    <x v="0"/>
    <x v="5"/>
    <x v="3"/>
    <m/>
    <s v="Shipping Company C"/>
    <s v="Peter Krschne"/>
    <s v="123 11th Street"/>
    <x v="9"/>
    <s v="FL"/>
    <n v="99999"/>
    <s v="USA"/>
    <m/>
    <x v="9"/>
    <x v="5"/>
    <n v="40"/>
    <n v="78"/>
    <x v="189"/>
    <n v="299.52"/>
  </r>
  <r>
    <n v="1365"/>
    <x v="124"/>
    <n v="1"/>
    <x v="11"/>
    <s v="123 1st Street"/>
    <x v="10"/>
    <x v="10"/>
    <n v="99999"/>
    <x v="0"/>
    <x v="2"/>
    <x v="2"/>
    <m/>
    <s v="Shipping Company C"/>
    <s v="Anna Bedecs"/>
    <s v="123 1st Street"/>
    <x v="10"/>
    <s v="WA"/>
    <n v="99999"/>
    <s v="USA"/>
    <m/>
    <x v="13"/>
    <x v="8"/>
    <n v="18.399999999999999"/>
    <n v="76"/>
    <x v="270"/>
    <n v="144.0352"/>
  </r>
  <r>
    <n v="1366"/>
    <x v="125"/>
    <n v="28"/>
    <x v="7"/>
    <s v="789 28th Street"/>
    <x v="6"/>
    <x v="6"/>
    <n v="99999"/>
    <x v="0"/>
    <x v="5"/>
    <x v="3"/>
    <d v="2014-11-30T00:00:00"/>
    <s v="Shipping Company C"/>
    <s v="Amritansh Raghav"/>
    <s v="789 28th Street"/>
    <x v="6"/>
    <s v="TN"/>
    <n v="99999"/>
    <s v="USA"/>
    <s v="Credit Card"/>
    <x v="5"/>
    <x v="0"/>
    <n v="46"/>
    <n v="57"/>
    <x v="271"/>
    <n v="272.68799999999999"/>
  </r>
  <r>
    <n v="1367"/>
    <x v="126"/>
    <n v="9"/>
    <x v="12"/>
    <s v="123 9th Street"/>
    <x v="11"/>
    <x v="11"/>
    <n v="99999"/>
    <x v="0"/>
    <x v="7"/>
    <x v="0"/>
    <d v="2014-11-11T00:00:00"/>
    <s v="Shipping Company A"/>
    <s v="Sven Mortensen"/>
    <s v="123 9th Street"/>
    <x v="11"/>
    <s v="UT"/>
    <n v="99999"/>
    <s v="USA"/>
    <s v="Check"/>
    <x v="8"/>
    <x v="4"/>
    <n v="9.65"/>
    <n v="14"/>
    <x v="272"/>
    <n v="12.9696"/>
  </r>
  <r>
    <n v="1368"/>
    <x v="134"/>
    <n v="27"/>
    <x v="0"/>
    <s v="789 27th Street"/>
    <x v="0"/>
    <x v="0"/>
    <n v="99999"/>
    <x v="0"/>
    <x v="0"/>
    <x v="0"/>
    <d v="2014-12-29T00:00:00"/>
    <s v="Shipping Company B"/>
    <s v="Karen Toh"/>
    <s v="789 27th Street"/>
    <x v="0"/>
    <s v="NV"/>
    <n v="99999"/>
    <s v="USA"/>
    <s v="Check"/>
    <x v="0"/>
    <x v="0"/>
    <n v="14"/>
    <n v="14"/>
    <x v="273"/>
    <n v="19.796000000000003"/>
  </r>
  <r>
    <n v="1369"/>
    <x v="134"/>
    <n v="27"/>
    <x v="0"/>
    <s v="789 27th Street"/>
    <x v="0"/>
    <x v="0"/>
    <n v="99999"/>
    <x v="0"/>
    <x v="0"/>
    <x v="0"/>
    <d v="2014-12-29T00:00:00"/>
    <s v="Shipping Company B"/>
    <s v="Karen Toh"/>
    <s v="789 27th Street"/>
    <x v="0"/>
    <s v="NV"/>
    <n v="99999"/>
    <s v="USA"/>
    <s v="Check"/>
    <x v="1"/>
    <x v="1"/>
    <n v="3.5"/>
    <n v="70"/>
    <x v="274"/>
    <n v="25.234999999999999"/>
  </r>
  <r>
    <n v="1370"/>
    <x v="135"/>
    <n v="4"/>
    <x v="1"/>
    <s v="123 4th Street"/>
    <x v="1"/>
    <x v="1"/>
    <n v="99999"/>
    <x v="0"/>
    <x v="1"/>
    <x v="1"/>
    <d v="2014-12-06T00:00:00"/>
    <s v="Shipping Company A"/>
    <s v="Christina Lee"/>
    <s v="123 4th Street"/>
    <x v="1"/>
    <s v="NY"/>
    <n v="99999"/>
    <s v="USA"/>
    <s v="Credit Card"/>
    <x v="2"/>
    <x v="1"/>
    <n v="30"/>
    <n v="100"/>
    <x v="275"/>
    <n v="291"/>
  </r>
  <r>
    <n v="1371"/>
    <x v="135"/>
    <n v="4"/>
    <x v="1"/>
    <s v="123 4th Street"/>
    <x v="1"/>
    <x v="1"/>
    <n v="99999"/>
    <x v="0"/>
    <x v="1"/>
    <x v="1"/>
    <d v="2014-12-06T00:00:00"/>
    <s v="Shipping Company A"/>
    <s v="Christina Lee"/>
    <s v="123 4th Street"/>
    <x v="1"/>
    <s v="NY"/>
    <n v="99999"/>
    <s v="USA"/>
    <s v="Credit Card"/>
    <x v="3"/>
    <x v="1"/>
    <n v="53"/>
    <n v="27"/>
    <x v="276"/>
    <n v="143.1"/>
  </r>
  <r>
    <n v="1372"/>
    <x v="135"/>
    <n v="4"/>
    <x v="1"/>
    <s v="123 4th Street"/>
    <x v="1"/>
    <x v="1"/>
    <n v="99999"/>
    <x v="0"/>
    <x v="1"/>
    <x v="1"/>
    <d v="2014-12-06T00:00:00"/>
    <s v="Shipping Company A"/>
    <s v="Christina Lee"/>
    <s v="123 4th Street"/>
    <x v="1"/>
    <s v="NY"/>
    <n v="99999"/>
    <s v="USA"/>
    <s v="Credit Card"/>
    <x v="1"/>
    <x v="1"/>
    <n v="3.5"/>
    <n v="70"/>
    <x v="274"/>
    <n v="24.009999999999998"/>
  </r>
  <r>
    <n v="1373"/>
    <x v="136"/>
    <n v="12"/>
    <x v="2"/>
    <s v="123 12th Street"/>
    <x v="0"/>
    <x v="0"/>
    <n v="99999"/>
    <x v="0"/>
    <x v="0"/>
    <x v="0"/>
    <d v="2014-12-14T00:00:00"/>
    <s v="Shipping Company B"/>
    <s v="John Edwards"/>
    <s v="123 12th Street"/>
    <x v="0"/>
    <s v="NV"/>
    <n v="99999"/>
    <s v="USA"/>
    <s v="Credit Card"/>
    <x v="4"/>
    <x v="0"/>
    <n v="18"/>
    <n v="57"/>
    <x v="277"/>
    <n v="102.60000000000001"/>
  </r>
  <r>
    <n v="1374"/>
    <x v="136"/>
    <n v="12"/>
    <x v="2"/>
    <s v="123 12th Street"/>
    <x v="0"/>
    <x v="0"/>
    <n v="99999"/>
    <x v="0"/>
    <x v="0"/>
    <x v="0"/>
    <d v="2014-12-14T00:00:00"/>
    <s v="Shipping Company B"/>
    <s v="John Edwards"/>
    <s v="123 12th Street"/>
    <x v="0"/>
    <s v="NV"/>
    <n v="99999"/>
    <s v="USA"/>
    <s v="Credit Card"/>
    <x v="5"/>
    <x v="0"/>
    <n v="46"/>
    <n v="83"/>
    <x v="278"/>
    <n v="374.16399999999999"/>
  </r>
  <r>
    <n v="1375"/>
    <x v="137"/>
    <n v="8"/>
    <x v="3"/>
    <s v="123 8th Street"/>
    <x v="2"/>
    <x v="2"/>
    <n v="99999"/>
    <x v="0"/>
    <x v="2"/>
    <x v="2"/>
    <d v="2014-12-10T00:00:00"/>
    <s v="Shipping Company C"/>
    <s v="Elizabeth Andersen"/>
    <s v="123 8th Street"/>
    <x v="2"/>
    <s v="OR"/>
    <n v="99999"/>
    <s v="USA"/>
    <s v="Credit Card"/>
    <x v="6"/>
    <x v="2"/>
    <n v="9.1999999999999993"/>
    <n v="76"/>
    <x v="279"/>
    <n v="67.123199999999997"/>
  </r>
  <r>
    <n v="1376"/>
    <x v="135"/>
    <n v="4"/>
    <x v="1"/>
    <s v="123 4th Street"/>
    <x v="1"/>
    <x v="1"/>
    <n v="99999"/>
    <x v="0"/>
    <x v="1"/>
    <x v="1"/>
    <n v="41979"/>
    <s v="Shipping Company C"/>
    <s v="Christina Lee"/>
    <s v="123 4th Street"/>
    <x v="1"/>
    <s v="NY"/>
    <n v="99999"/>
    <s v="USA"/>
    <s v="Check"/>
    <x v="6"/>
    <x v="2"/>
    <n v="9.1999999999999993"/>
    <n v="80"/>
    <x v="129"/>
    <n v="72.864000000000004"/>
  </r>
  <r>
    <n v="1377"/>
    <x v="138"/>
    <n v="29"/>
    <x v="4"/>
    <s v="789 29th Street"/>
    <x v="3"/>
    <x v="3"/>
    <n v="99999"/>
    <x v="0"/>
    <x v="3"/>
    <x v="0"/>
    <n v="42004"/>
    <s v="Shipping Company B"/>
    <s v="Soo Jung Lee"/>
    <s v="789 29th Street"/>
    <x v="3"/>
    <s v="CO"/>
    <n v="99999"/>
    <s v="USA"/>
    <s v="Check"/>
    <x v="7"/>
    <x v="3"/>
    <n v="12.75"/>
    <n v="47"/>
    <x v="13"/>
    <n v="59.325750000000006"/>
  </r>
  <r>
    <n v="1378"/>
    <x v="139"/>
    <n v="3"/>
    <x v="5"/>
    <s v="123 3rd Street"/>
    <x v="4"/>
    <x v="4"/>
    <n v="99999"/>
    <x v="0"/>
    <x v="0"/>
    <x v="0"/>
    <n v="41978"/>
    <s v="Shipping Company B"/>
    <s v="Thomas Axerr"/>
    <s v="123 3rd Street"/>
    <x v="4"/>
    <s v="CA"/>
    <n v="99999"/>
    <s v="USA"/>
    <s v="Cash"/>
    <x v="8"/>
    <x v="4"/>
    <n v="9.65"/>
    <n v="96"/>
    <x v="280"/>
    <n v="94.492800000000017"/>
  </r>
  <r>
    <n v="1379"/>
    <x v="140"/>
    <n v="6"/>
    <x v="6"/>
    <s v="123 6th Street"/>
    <x v="5"/>
    <x v="5"/>
    <n v="99999"/>
    <x v="0"/>
    <x v="4"/>
    <x v="2"/>
    <n v="41981"/>
    <s v="Shipping Company B"/>
    <s v="Francisco Pérez-Olaeta"/>
    <s v="123 6th Street"/>
    <x v="5"/>
    <s v="WI"/>
    <n v="99999"/>
    <s v="USA"/>
    <s v="Credit Card"/>
    <x v="9"/>
    <x v="5"/>
    <n v="40"/>
    <n v="32"/>
    <x v="11"/>
    <n v="134.4"/>
  </r>
  <r>
    <n v="1380"/>
    <x v="141"/>
    <n v="28"/>
    <x v="7"/>
    <s v="789 28th Street"/>
    <x v="6"/>
    <x v="6"/>
    <n v="99999"/>
    <x v="0"/>
    <x v="5"/>
    <x v="3"/>
    <d v="2014-12-30T00:00:00"/>
    <s v="Shipping Company C"/>
    <s v="Amritansh Raghav"/>
    <s v="789 28th Street"/>
    <x v="6"/>
    <s v="TN"/>
    <n v="99999"/>
    <s v="USA"/>
    <s v="Check"/>
    <x v="5"/>
    <x v="0"/>
    <n v="46"/>
    <n v="16"/>
    <x v="129"/>
    <n v="73.600000000000009"/>
  </r>
  <r>
    <n v="1381"/>
    <x v="137"/>
    <n v="8"/>
    <x v="3"/>
    <s v="123 8th Street"/>
    <x v="2"/>
    <x v="2"/>
    <n v="99999"/>
    <x v="0"/>
    <x v="2"/>
    <x v="2"/>
    <d v="2014-12-10T00:00:00"/>
    <s v="Shipping Company C"/>
    <s v="Elizabeth Andersen"/>
    <s v="123 8th Street"/>
    <x v="2"/>
    <s v="OR"/>
    <n v="99999"/>
    <s v="USA"/>
    <s v="Check"/>
    <x v="7"/>
    <x v="3"/>
    <n v="12.75"/>
    <n v="41"/>
    <x v="87"/>
    <n v="51.229500000000002"/>
  </r>
  <r>
    <n v="1382"/>
    <x v="142"/>
    <n v="10"/>
    <x v="8"/>
    <s v="123 10th Street"/>
    <x v="7"/>
    <x v="7"/>
    <n v="99999"/>
    <x v="0"/>
    <x v="6"/>
    <x v="1"/>
    <d v="2014-12-12T00:00:00"/>
    <s v="Shipping Company B"/>
    <s v="Roland Wacker"/>
    <s v="123 10th Street"/>
    <x v="7"/>
    <s v="IL"/>
    <n v="99999"/>
    <s v="USA"/>
    <s v="Credit Card"/>
    <x v="10"/>
    <x v="0"/>
    <n v="2.99"/>
    <n v="41"/>
    <x v="281"/>
    <n v="12.871950000000002"/>
  </r>
  <r>
    <n v="1383"/>
    <x v="143"/>
    <n v="7"/>
    <x v="9"/>
    <s v="123 7th Street"/>
    <x v="8"/>
    <x v="8"/>
    <n v="99999"/>
    <x v="0"/>
    <x v="2"/>
    <x v="2"/>
    <m/>
    <m/>
    <s v="Ming-Yang Xie"/>
    <s v="123 7th Street"/>
    <x v="8"/>
    <s v="ID"/>
    <n v="99999"/>
    <s v="USA"/>
    <m/>
    <x v="5"/>
    <x v="0"/>
    <n v="46"/>
    <n v="41"/>
    <x v="282"/>
    <n v="194.25800000000004"/>
  </r>
  <r>
    <n v="1384"/>
    <x v="142"/>
    <n v="10"/>
    <x v="8"/>
    <s v="123 10th Street"/>
    <x v="7"/>
    <x v="7"/>
    <n v="99999"/>
    <x v="0"/>
    <x v="6"/>
    <x v="1"/>
    <d v="2014-12-12T00:00:00"/>
    <s v="Shipping Company A"/>
    <s v="Roland Wacker"/>
    <s v="123 10th Street"/>
    <x v="7"/>
    <s v="IL"/>
    <n v="99999"/>
    <s v="USA"/>
    <m/>
    <x v="11"/>
    <x v="6"/>
    <n v="25"/>
    <n v="94"/>
    <x v="283"/>
    <n v="235"/>
  </r>
  <r>
    <n v="1385"/>
    <x v="142"/>
    <n v="10"/>
    <x v="8"/>
    <s v="123 10th Street"/>
    <x v="7"/>
    <x v="7"/>
    <n v="99999"/>
    <x v="0"/>
    <x v="6"/>
    <x v="1"/>
    <d v="2014-12-12T00:00:00"/>
    <s v="Shipping Company A"/>
    <s v="Roland Wacker"/>
    <s v="123 10th Street"/>
    <x v="7"/>
    <s v="IL"/>
    <n v="99999"/>
    <s v="USA"/>
    <m/>
    <x v="12"/>
    <x v="7"/>
    <n v="22"/>
    <n v="20"/>
    <x v="284"/>
    <n v="46.2"/>
  </r>
  <r>
    <n v="1386"/>
    <x v="142"/>
    <n v="10"/>
    <x v="8"/>
    <s v="123 10th Street"/>
    <x v="7"/>
    <x v="7"/>
    <n v="99999"/>
    <x v="0"/>
    <x v="6"/>
    <x v="1"/>
    <n v="41985"/>
    <s v="Shipping Company A"/>
    <s v="Roland Wacker"/>
    <s v="123 10th Street"/>
    <x v="7"/>
    <s v="IL"/>
    <n v="99999"/>
    <s v="USA"/>
    <m/>
    <x v="6"/>
    <x v="2"/>
    <n v="9.1999999999999993"/>
    <n v="13"/>
    <x v="285"/>
    <n v="12.438400000000001"/>
  </r>
  <r>
    <n v="1387"/>
    <x v="144"/>
    <n v="11"/>
    <x v="10"/>
    <s v="123 11th Street"/>
    <x v="9"/>
    <x v="9"/>
    <n v="99999"/>
    <x v="0"/>
    <x v="5"/>
    <x v="3"/>
    <m/>
    <s v="Shipping Company C"/>
    <s v="Peter Krschne"/>
    <s v="123 11th Street"/>
    <x v="9"/>
    <s v="FL"/>
    <n v="99999"/>
    <s v="USA"/>
    <m/>
    <x v="1"/>
    <x v="1"/>
    <n v="3.5"/>
    <n v="74"/>
    <x v="58"/>
    <n v="26.936000000000003"/>
  </r>
  <r>
    <n v="1388"/>
    <x v="144"/>
    <n v="11"/>
    <x v="10"/>
    <s v="123 11th Street"/>
    <x v="9"/>
    <x v="9"/>
    <n v="99999"/>
    <x v="0"/>
    <x v="5"/>
    <x v="3"/>
    <m/>
    <s v="Shipping Company C"/>
    <s v="Peter Krschne"/>
    <s v="123 11th Street"/>
    <x v="9"/>
    <s v="FL"/>
    <n v="99999"/>
    <s v="USA"/>
    <m/>
    <x v="10"/>
    <x v="0"/>
    <n v="2.99"/>
    <n v="53"/>
    <x v="286"/>
    <n v="16.005470000000003"/>
  </r>
  <r>
    <n v="1389"/>
    <x v="145"/>
    <n v="1"/>
    <x v="11"/>
    <s v="123 1st Street"/>
    <x v="10"/>
    <x v="10"/>
    <n v="99999"/>
    <x v="0"/>
    <x v="2"/>
    <x v="2"/>
    <m/>
    <m/>
    <s v="Anna Bedecs"/>
    <s v="123 1st Street"/>
    <x v="10"/>
    <s v="WA"/>
    <n v="99999"/>
    <s v="USA"/>
    <m/>
    <x v="4"/>
    <x v="0"/>
    <n v="18"/>
    <n v="99"/>
    <x v="287"/>
    <n v="174.63600000000002"/>
  </r>
  <r>
    <n v="1390"/>
    <x v="145"/>
    <n v="1"/>
    <x v="11"/>
    <s v="123 1st Street"/>
    <x v="10"/>
    <x v="10"/>
    <n v="99999"/>
    <x v="0"/>
    <x v="2"/>
    <x v="2"/>
    <m/>
    <m/>
    <s v="Anna Bedecs"/>
    <s v="123 1st Street"/>
    <x v="10"/>
    <s v="WA"/>
    <n v="99999"/>
    <s v="USA"/>
    <m/>
    <x v="5"/>
    <x v="0"/>
    <n v="46"/>
    <n v="89"/>
    <x v="288"/>
    <n v="388.93"/>
  </r>
  <r>
    <n v="1391"/>
    <x v="145"/>
    <n v="1"/>
    <x v="11"/>
    <s v="123 1st Street"/>
    <x v="10"/>
    <x v="10"/>
    <n v="99999"/>
    <x v="0"/>
    <x v="2"/>
    <x v="2"/>
    <m/>
    <m/>
    <s v="Anna Bedecs"/>
    <s v="123 1st Street"/>
    <x v="10"/>
    <s v="WA"/>
    <n v="99999"/>
    <s v="USA"/>
    <m/>
    <x v="10"/>
    <x v="0"/>
    <n v="2.99"/>
    <n v="64"/>
    <x v="200"/>
    <n v="19.518720000000002"/>
  </r>
  <r>
    <n v="1392"/>
    <x v="141"/>
    <n v="28"/>
    <x v="7"/>
    <s v="789 28th Street"/>
    <x v="6"/>
    <x v="6"/>
    <n v="99999"/>
    <x v="0"/>
    <x v="5"/>
    <x v="3"/>
    <d v="2014-12-30T00:00:00"/>
    <s v="Shipping Company C"/>
    <s v="Amritansh Raghav"/>
    <s v="789 28th Street"/>
    <x v="6"/>
    <s v="TN"/>
    <n v="99999"/>
    <s v="USA"/>
    <s v="Credit Card"/>
    <x v="8"/>
    <x v="4"/>
    <n v="9.65"/>
    <n v="98"/>
    <x v="289"/>
    <n v="96.461400000000012"/>
  </r>
  <r>
    <n v="1393"/>
    <x v="141"/>
    <n v="28"/>
    <x v="7"/>
    <s v="789 28th Street"/>
    <x v="6"/>
    <x v="6"/>
    <n v="99999"/>
    <x v="0"/>
    <x v="5"/>
    <x v="3"/>
    <d v="2014-12-30T00:00:00"/>
    <s v="Shipping Company C"/>
    <s v="Amritansh Raghav"/>
    <s v="789 28th Street"/>
    <x v="6"/>
    <s v="TN"/>
    <n v="99999"/>
    <s v="USA"/>
    <s v="Credit Card"/>
    <x v="13"/>
    <x v="8"/>
    <n v="18.399999999999999"/>
    <n v="86"/>
    <x v="290"/>
    <n v="155.0752"/>
  </r>
  <r>
    <n v="1394"/>
    <x v="146"/>
    <n v="9"/>
    <x v="12"/>
    <s v="123 9th Street"/>
    <x v="11"/>
    <x v="11"/>
    <n v="99999"/>
    <x v="0"/>
    <x v="7"/>
    <x v="0"/>
    <d v="2014-12-11T00:00:00"/>
    <s v="Shipping Company A"/>
    <s v="Sven Mortensen"/>
    <s v="123 9th Street"/>
    <x v="11"/>
    <s v="UT"/>
    <n v="99999"/>
    <s v="USA"/>
    <s v="Check"/>
    <x v="14"/>
    <x v="9"/>
    <n v="19.5"/>
    <n v="20"/>
    <x v="291"/>
    <n v="40.950000000000003"/>
  </r>
  <r>
    <n v="1395"/>
    <x v="146"/>
    <n v="9"/>
    <x v="12"/>
    <s v="123 9th Street"/>
    <x v="11"/>
    <x v="11"/>
    <n v="99999"/>
    <x v="0"/>
    <x v="7"/>
    <x v="0"/>
    <d v="2014-12-11T00:00:00"/>
    <s v="Shipping Company A"/>
    <s v="Sven Mortensen"/>
    <s v="123 9th Street"/>
    <x v="11"/>
    <s v="UT"/>
    <n v="99999"/>
    <s v="USA"/>
    <s v="Check"/>
    <x v="15"/>
    <x v="10"/>
    <n v="34.799999999999997"/>
    <n v="69"/>
    <x v="292"/>
    <n v="240.12"/>
  </r>
  <r>
    <n v="1396"/>
    <x v="140"/>
    <n v="6"/>
    <x v="6"/>
    <s v="123 6th Street"/>
    <x v="5"/>
    <x v="5"/>
    <n v="99999"/>
    <x v="0"/>
    <x v="4"/>
    <x v="2"/>
    <d v="2014-12-08T00:00:00"/>
    <s v="Shipping Company B"/>
    <s v="Francisco Pérez-Olaeta"/>
    <s v="123 6th Street"/>
    <x v="5"/>
    <s v="WI"/>
    <n v="99999"/>
    <s v="USA"/>
    <s v="Credit Card"/>
    <x v="0"/>
    <x v="0"/>
    <n v="14"/>
    <n v="68"/>
    <x v="293"/>
    <n v="91.391999999999996"/>
  </r>
  <r>
    <n v="1397"/>
    <x v="137"/>
    <n v="8"/>
    <x v="3"/>
    <s v="123 8th Street"/>
    <x v="2"/>
    <x v="2"/>
    <n v="99999"/>
    <x v="0"/>
    <x v="2"/>
    <x v="2"/>
    <d v="2014-12-10T00:00:00"/>
    <s v="Shipping Company B"/>
    <s v="Elizabeth Andersen"/>
    <s v="123 8th Street"/>
    <x v="2"/>
    <s v="OR"/>
    <n v="99999"/>
    <s v="USA"/>
    <s v="Check"/>
    <x v="9"/>
    <x v="5"/>
    <n v="40"/>
    <n v="52"/>
    <x v="294"/>
    <n v="203.84"/>
  </r>
  <r>
    <n v="1398"/>
    <x v="137"/>
    <n v="8"/>
    <x v="3"/>
    <s v="123 8th Street"/>
    <x v="2"/>
    <x v="2"/>
    <n v="99999"/>
    <x v="0"/>
    <x v="2"/>
    <x v="2"/>
    <d v="2014-12-10T00:00:00"/>
    <s v="Shipping Company B"/>
    <s v="Elizabeth Andersen"/>
    <s v="123 8th Street"/>
    <x v="2"/>
    <s v="OR"/>
    <n v="99999"/>
    <s v="USA"/>
    <s v="Check"/>
    <x v="6"/>
    <x v="2"/>
    <n v="9.1999999999999993"/>
    <n v="40"/>
    <x v="295"/>
    <n v="38.640000000000008"/>
  </r>
  <r>
    <n v="1399"/>
    <x v="147"/>
    <n v="25"/>
    <x v="13"/>
    <s v="789 25th Street"/>
    <x v="7"/>
    <x v="7"/>
    <n v="99999"/>
    <x v="0"/>
    <x v="6"/>
    <x v="1"/>
    <d v="2014-12-27T00:00:00"/>
    <s v="Shipping Company A"/>
    <s v="John Rodman"/>
    <s v="789 25th Street"/>
    <x v="7"/>
    <s v="IL"/>
    <n v="99999"/>
    <s v="USA"/>
    <s v="Cash"/>
    <x v="21"/>
    <x v="2"/>
    <n v="10"/>
    <n v="100"/>
    <x v="116"/>
    <n v="98"/>
  </r>
  <r>
    <n v="1400"/>
    <x v="148"/>
    <n v="26"/>
    <x v="14"/>
    <s v="789 26th Street"/>
    <x v="9"/>
    <x v="9"/>
    <n v="99999"/>
    <x v="0"/>
    <x v="5"/>
    <x v="3"/>
    <d v="2014-12-28T00:00:00"/>
    <s v="Shipping Company C"/>
    <s v="Run Liu"/>
    <s v="789 26th Street"/>
    <x v="9"/>
    <s v="FL"/>
    <n v="99999"/>
    <s v="USA"/>
    <s v="Credit Card"/>
    <x v="22"/>
    <x v="13"/>
    <n v="21.35"/>
    <n v="88"/>
    <x v="296"/>
    <n v="184.12240000000003"/>
  </r>
  <r>
    <n v="1401"/>
    <x v="148"/>
    <n v="26"/>
    <x v="14"/>
    <s v="789 26th Street"/>
    <x v="9"/>
    <x v="9"/>
    <n v="99999"/>
    <x v="0"/>
    <x v="5"/>
    <x v="3"/>
    <d v="2014-12-28T00:00:00"/>
    <s v="Shipping Company C"/>
    <s v="Run Liu"/>
    <s v="789 26th Street"/>
    <x v="9"/>
    <s v="FL"/>
    <n v="99999"/>
    <s v="USA"/>
    <s v="Credit Card"/>
    <x v="8"/>
    <x v="4"/>
    <n v="9.65"/>
    <n v="46"/>
    <x v="256"/>
    <n v="42.614400000000003"/>
  </r>
  <r>
    <n v="1402"/>
    <x v="148"/>
    <n v="26"/>
    <x v="14"/>
    <s v="789 26th Street"/>
    <x v="9"/>
    <x v="9"/>
    <n v="99999"/>
    <x v="0"/>
    <x v="5"/>
    <x v="3"/>
    <d v="2014-12-28T00:00:00"/>
    <s v="Shipping Company C"/>
    <s v="Run Liu"/>
    <s v="789 26th Street"/>
    <x v="9"/>
    <s v="FL"/>
    <n v="99999"/>
    <s v="USA"/>
    <s v="Credit Card"/>
    <x v="13"/>
    <x v="8"/>
    <n v="18.399999999999999"/>
    <n v="93"/>
    <x v="297"/>
    <n v="167.69759999999999"/>
  </r>
  <r>
    <n v="1403"/>
    <x v="138"/>
    <n v="29"/>
    <x v="4"/>
    <s v="789 29th Street"/>
    <x v="3"/>
    <x v="3"/>
    <n v="99999"/>
    <x v="0"/>
    <x v="3"/>
    <x v="0"/>
    <d v="2014-12-31T00:00:00"/>
    <s v="Shipping Company B"/>
    <s v="Soo Jung Lee"/>
    <s v="789 29th Street"/>
    <x v="3"/>
    <s v="CO"/>
    <n v="99999"/>
    <s v="USA"/>
    <s v="Check"/>
    <x v="0"/>
    <x v="0"/>
    <n v="14"/>
    <n v="96"/>
    <x v="298"/>
    <n v="141.12"/>
  </r>
  <r>
    <n v="1404"/>
    <x v="140"/>
    <n v="6"/>
    <x v="6"/>
    <s v="123 6th Street"/>
    <x v="5"/>
    <x v="5"/>
    <n v="99999"/>
    <x v="0"/>
    <x v="4"/>
    <x v="2"/>
    <d v="2014-12-08T00:00:00"/>
    <s v="Shipping Company C"/>
    <s v="Francisco Pérez-Olaeta"/>
    <s v="123 6th Street"/>
    <x v="5"/>
    <s v="WI"/>
    <n v="99999"/>
    <s v="USA"/>
    <s v="Check"/>
    <x v="7"/>
    <x v="3"/>
    <n v="12.75"/>
    <n v="12"/>
    <x v="299"/>
    <n v="16.065000000000001"/>
  </r>
  <r>
    <n v="1406"/>
    <x v="135"/>
    <n v="4"/>
    <x v="1"/>
    <s v="123 4th Street"/>
    <x v="1"/>
    <x v="1"/>
    <n v="99999"/>
    <x v="0"/>
    <x v="1"/>
    <x v="1"/>
    <d v="2014-12-06T00:00:00"/>
    <s v="Shipping Company A"/>
    <s v="Christina Lee"/>
    <s v="123 4th Street"/>
    <x v="1"/>
    <s v="NY"/>
    <n v="99999"/>
    <s v="USA"/>
    <s v="Credit Card"/>
    <x v="23"/>
    <x v="6"/>
    <n v="81"/>
    <n v="38"/>
    <x v="300"/>
    <n v="292.41000000000003"/>
  </r>
  <r>
    <n v="1407"/>
    <x v="135"/>
    <n v="4"/>
    <x v="1"/>
    <s v="123 4th Street"/>
    <x v="1"/>
    <x v="1"/>
    <n v="99999"/>
    <x v="0"/>
    <x v="1"/>
    <x v="1"/>
    <d v="2014-12-06T00:00:00"/>
    <s v="Shipping Company A"/>
    <s v="Christina Lee"/>
    <s v="123 4th Street"/>
    <x v="1"/>
    <s v="NY"/>
    <n v="99999"/>
    <s v="USA"/>
    <s v="Credit Card"/>
    <x v="24"/>
    <x v="14"/>
    <n v="7"/>
    <n v="42"/>
    <x v="108"/>
    <n v="29.106000000000002"/>
  </r>
  <r>
    <n v="1409"/>
    <x v="137"/>
    <n v="8"/>
    <x v="3"/>
    <s v="123 8th Street"/>
    <x v="2"/>
    <x v="2"/>
    <n v="99999"/>
    <x v="0"/>
    <x v="2"/>
    <x v="2"/>
    <d v="2014-12-10T00:00:00"/>
    <s v="Shipping Company C"/>
    <s v="Elizabeth Andersen"/>
    <s v="123 8th Street"/>
    <x v="2"/>
    <s v="OR"/>
    <n v="99999"/>
    <s v="USA"/>
    <s v="Credit Card"/>
    <x v="15"/>
    <x v="10"/>
    <n v="34.799999999999997"/>
    <n v="100"/>
    <x v="301"/>
    <n v="344.52"/>
  </r>
  <r>
    <n v="1412"/>
    <x v="139"/>
    <n v="3"/>
    <x v="5"/>
    <s v="123 3rd Street"/>
    <x v="4"/>
    <x v="4"/>
    <n v="99999"/>
    <x v="0"/>
    <x v="0"/>
    <x v="0"/>
    <d v="2014-12-05T00:00:00"/>
    <s v="Shipping Company B"/>
    <s v="Thomas Axerr"/>
    <s v="123 3rd Street"/>
    <x v="4"/>
    <s v="CA"/>
    <n v="99999"/>
    <s v="USA"/>
    <s v="Cash"/>
    <x v="16"/>
    <x v="7"/>
    <n v="10"/>
    <n v="89"/>
    <x v="302"/>
    <n v="87.22"/>
  </r>
  <r>
    <n v="1413"/>
    <x v="139"/>
    <n v="3"/>
    <x v="5"/>
    <s v="123 3rd Street"/>
    <x v="4"/>
    <x v="4"/>
    <n v="99999"/>
    <x v="0"/>
    <x v="0"/>
    <x v="0"/>
    <d v="2014-12-05T00:00:00"/>
    <s v="Shipping Company B"/>
    <s v="Thomas Axerr"/>
    <s v="123 3rd Street"/>
    <x v="4"/>
    <s v="CA"/>
    <n v="99999"/>
    <s v="USA"/>
    <s v="Cash"/>
    <x v="9"/>
    <x v="5"/>
    <n v="40"/>
    <n v="12"/>
    <x v="60"/>
    <n v="46.56"/>
  </r>
  <r>
    <n v="1417"/>
    <x v="142"/>
    <n v="10"/>
    <x v="8"/>
    <s v="123 10th Street"/>
    <x v="7"/>
    <x v="7"/>
    <n v="99999"/>
    <x v="0"/>
    <x v="6"/>
    <x v="1"/>
    <d v="2014-12-12T00:00:00"/>
    <s v="Shipping Company B"/>
    <s v="Roland Wacker"/>
    <s v="123 10th Street"/>
    <x v="7"/>
    <s v="IL"/>
    <n v="99999"/>
    <s v="USA"/>
    <s v="Credit Card"/>
    <x v="18"/>
    <x v="1"/>
    <n v="10"/>
    <n v="97"/>
    <x v="303"/>
    <n v="100.88000000000001"/>
  </r>
  <r>
    <n v="1419"/>
    <x v="142"/>
    <n v="10"/>
    <x v="8"/>
    <s v="123 10th Street"/>
    <x v="7"/>
    <x v="7"/>
    <n v="99999"/>
    <x v="0"/>
    <x v="6"/>
    <x v="1"/>
    <m/>
    <s v="Shipping Company A"/>
    <s v="Roland Wacker"/>
    <s v="123 10th Street"/>
    <x v="7"/>
    <s v="IL"/>
    <n v="99999"/>
    <s v="USA"/>
    <m/>
    <x v="1"/>
    <x v="1"/>
    <n v="3.5"/>
    <n v="53"/>
    <x v="304"/>
    <n v="17.622499999999999"/>
  </r>
  <r>
    <n v="1420"/>
    <x v="144"/>
    <n v="11"/>
    <x v="10"/>
    <s v="123 11th Street"/>
    <x v="9"/>
    <x v="9"/>
    <n v="99999"/>
    <x v="0"/>
    <x v="5"/>
    <x v="3"/>
    <m/>
    <s v="Shipping Company C"/>
    <s v="Peter Krschne"/>
    <s v="123 11th Street"/>
    <x v="9"/>
    <s v="FL"/>
    <n v="99999"/>
    <s v="USA"/>
    <m/>
    <x v="9"/>
    <x v="5"/>
    <n v="40"/>
    <n v="61"/>
    <x v="305"/>
    <n v="248.88"/>
  </r>
  <r>
    <n v="1421"/>
    <x v="145"/>
    <n v="1"/>
    <x v="11"/>
    <s v="123 1st Street"/>
    <x v="10"/>
    <x v="10"/>
    <n v="99999"/>
    <x v="0"/>
    <x v="2"/>
    <x v="2"/>
    <m/>
    <s v="Shipping Company C"/>
    <s v="Anna Bedecs"/>
    <s v="123 1st Street"/>
    <x v="10"/>
    <s v="WA"/>
    <n v="99999"/>
    <s v="USA"/>
    <m/>
    <x v="13"/>
    <x v="8"/>
    <n v="18.399999999999999"/>
    <n v="45"/>
    <x v="306"/>
    <n v="81.143999999999991"/>
  </r>
  <r>
    <n v="1422"/>
    <x v="141"/>
    <n v="28"/>
    <x v="7"/>
    <s v="789 28th Street"/>
    <x v="6"/>
    <x v="6"/>
    <n v="99999"/>
    <x v="0"/>
    <x v="5"/>
    <x v="3"/>
    <d v="2014-12-30T00:00:00"/>
    <s v="Shipping Company C"/>
    <s v="Amritansh Raghav"/>
    <s v="789 28th Street"/>
    <x v="6"/>
    <s v="TN"/>
    <n v="99999"/>
    <s v="USA"/>
    <s v="Credit Card"/>
    <x v="5"/>
    <x v="0"/>
    <n v="46"/>
    <n v="43"/>
    <x v="307"/>
    <n v="197.8"/>
  </r>
  <r>
    <n v="1423"/>
    <x v="146"/>
    <n v="9"/>
    <x v="12"/>
    <s v="123 9th Street"/>
    <x v="11"/>
    <x v="11"/>
    <n v="99999"/>
    <x v="0"/>
    <x v="7"/>
    <x v="0"/>
    <d v="2014-12-11T00:00:00"/>
    <s v="Shipping Company A"/>
    <s v="Sven Mortensen"/>
    <s v="123 9th Street"/>
    <x v="11"/>
    <s v="UT"/>
    <n v="99999"/>
    <s v="USA"/>
    <s v="Check"/>
    <x v="8"/>
    <x v="4"/>
    <n v="9.65"/>
    <n v="18"/>
    <x v="308"/>
    <n v="16.5015"/>
  </r>
  <r>
    <n v="1424"/>
    <x v="140"/>
    <n v="6"/>
    <x v="6"/>
    <s v="123 6th Street"/>
    <x v="5"/>
    <x v="5"/>
    <n v="99999"/>
    <x v="0"/>
    <x v="4"/>
    <x v="2"/>
    <d v="2014-12-08T00:00:00"/>
    <s v="Shipping Company B"/>
    <s v="Francisco Pérez-Olaeta"/>
    <s v="123 6th Street"/>
    <x v="5"/>
    <s v="WI"/>
    <n v="99999"/>
    <s v="USA"/>
    <s v="Credit Card"/>
    <x v="7"/>
    <x v="3"/>
    <n v="12.75"/>
    <n v="41"/>
    <x v="87"/>
    <n v="50.706750000000007"/>
  </r>
  <r>
    <n v="1425"/>
    <x v="137"/>
    <n v="8"/>
    <x v="3"/>
    <s v="123 8th Street"/>
    <x v="2"/>
    <x v="2"/>
    <n v="99999"/>
    <x v="0"/>
    <x v="2"/>
    <x v="2"/>
    <n v="41983"/>
    <s v="Shipping Company B"/>
    <s v="Elizabeth Andersen"/>
    <s v="123 8th Street"/>
    <x v="2"/>
    <s v="OR"/>
    <n v="99999"/>
    <s v="USA"/>
    <s v="Check"/>
    <x v="7"/>
    <x v="3"/>
    <n v="12.75"/>
    <n v="19"/>
    <x v="109"/>
    <n v="23.982750000000003"/>
  </r>
  <r>
    <n v="1426"/>
    <x v="147"/>
    <n v="25"/>
    <x v="13"/>
    <s v="789 25th Street"/>
    <x v="7"/>
    <x v="7"/>
    <n v="99999"/>
    <x v="0"/>
    <x v="6"/>
    <x v="1"/>
    <n v="42000"/>
    <s v="Shipping Company A"/>
    <s v="John Rodman"/>
    <s v="789 25th Street"/>
    <x v="7"/>
    <s v="IL"/>
    <n v="99999"/>
    <s v="USA"/>
    <s v="Cash"/>
    <x v="12"/>
    <x v="7"/>
    <n v="22"/>
    <n v="65"/>
    <x v="309"/>
    <n v="138.71"/>
  </r>
  <r>
    <n v="1427"/>
    <x v="148"/>
    <n v="26"/>
    <x v="14"/>
    <s v="789 26th Street"/>
    <x v="9"/>
    <x v="9"/>
    <n v="99999"/>
    <x v="0"/>
    <x v="5"/>
    <x v="3"/>
    <n v="42001"/>
    <s v="Shipping Company C"/>
    <s v="Run Liu"/>
    <s v="789 26th Street"/>
    <x v="9"/>
    <s v="FL"/>
    <n v="99999"/>
    <s v="USA"/>
    <s v="Credit Card"/>
    <x v="11"/>
    <x v="6"/>
    <n v="25"/>
    <n v="13"/>
    <x v="310"/>
    <n v="32.174999999999997"/>
  </r>
  <r>
    <n v="1428"/>
    <x v="138"/>
    <n v="29"/>
    <x v="4"/>
    <s v="789 29th Street"/>
    <x v="3"/>
    <x v="3"/>
    <n v="99999"/>
    <x v="0"/>
    <x v="3"/>
    <x v="0"/>
    <n v="42004"/>
    <s v="Shipping Company B"/>
    <s v="Soo Jung Lee"/>
    <s v="789 29th Street"/>
    <x v="3"/>
    <s v="CO"/>
    <n v="99999"/>
    <s v="USA"/>
    <s v="Check"/>
    <x v="19"/>
    <x v="12"/>
    <n v="39"/>
    <n v="54"/>
    <x v="311"/>
    <n v="214.81200000000004"/>
  </r>
  <r>
    <n v="1429"/>
    <x v="140"/>
    <n v="6"/>
    <x v="6"/>
    <s v="123 6th Street"/>
    <x v="5"/>
    <x v="5"/>
    <n v="99999"/>
    <x v="0"/>
    <x v="4"/>
    <x v="2"/>
    <d v="2014-12-08T00:00:00"/>
    <s v="Shipping Company C"/>
    <s v="Francisco Pérez-Olaeta"/>
    <s v="123 6th Street"/>
    <x v="5"/>
    <s v="WI"/>
    <n v="99999"/>
    <s v="USA"/>
    <s v="Check"/>
    <x v="2"/>
    <x v="1"/>
    <n v="30"/>
    <n v="33"/>
    <x v="82"/>
    <n v="95.039999999999992"/>
  </r>
  <r>
    <n v="1430"/>
    <x v="140"/>
    <n v="6"/>
    <x v="6"/>
    <s v="123 6th Street"/>
    <x v="5"/>
    <x v="5"/>
    <n v="99999"/>
    <x v="0"/>
    <x v="4"/>
    <x v="2"/>
    <d v="2014-12-08T00:00:00"/>
    <s v="Shipping Company C"/>
    <s v="Francisco Pérez-Olaeta"/>
    <s v="123 6th Street"/>
    <x v="5"/>
    <s v="WI"/>
    <n v="99999"/>
    <s v="USA"/>
    <s v="Check"/>
    <x v="3"/>
    <x v="1"/>
    <n v="53"/>
    <n v="34"/>
    <x v="312"/>
    <n v="185.60600000000002"/>
  </r>
  <r>
    <n v="1431"/>
    <x v="135"/>
    <n v="4"/>
    <x v="1"/>
    <s v="123 4th Street"/>
    <x v="1"/>
    <x v="1"/>
    <n v="99999"/>
    <x v="0"/>
    <x v="1"/>
    <x v="1"/>
    <m/>
    <m/>
    <s v="Christina Lee"/>
    <s v="123 4th Street"/>
    <x v="1"/>
    <s v="NY"/>
    <n v="99999"/>
    <s v="USA"/>
    <m/>
    <x v="20"/>
    <x v="9"/>
    <n v="38"/>
    <n v="59"/>
    <x v="313"/>
    <n v="226.44200000000001"/>
  </r>
  <r>
    <n v="1432"/>
    <x v="139"/>
    <n v="3"/>
    <x v="5"/>
    <s v="123 3rd Street"/>
    <x v="4"/>
    <x v="4"/>
    <n v="99999"/>
    <x v="0"/>
    <x v="0"/>
    <x v="0"/>
    <m/>
    <m/>
    <s v="Thomas Axerr"/>
    <s v="123 3rd Street"/>
    <x v="4"/>
    <s v="CA"/>
    <n v="99999"/>
    <s v="USA"/>
    <m/>
    <x v="10"/>
    <x v="0"/>
    <n v="2.99"/>
    <n v="2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DD34EA-B7A0-4BEB-9375-973CAD4C44D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20" firstHeaderRow="1" firstDataRow="1" firstDataCol="1"/>
  <pivotFields count="9">
    <pivotField showAll="0"/>
    <pivotField showAll="0"/>
    <pivotField showAll="0"/>
    <pivotField axis="axisRow" showAll="0" sortType="descending">
      <items count="17">
        <item x="13"/>
        <item x="4"/>
        <item x="9"/>
        <item x="8"/>
        <item x="1"/>
        <item x="14"/>
        <item x="6"/>
        <item x="2"/>
        <item x="5"/>
        <item x="3"/>
        <item x="0"/>
        <item x="11"/>
        <item x="10"/>
        <item x="12"/>
        <item x="15"/>
        <item x="7"/>
        <item t="default"/>
      </items>
      <autoSortScope>
        <pivotArea dataOnly="0" outline="0" fieldPosition="0">
          <references count="1">
            <reference field="4294967294" count="1" selected="0">
              <x v="0"/>
            </reference>
          </references>
        </pivotArea>
      </autoSortScope>
    </pivotField>
    <pivotField dataField="1" numFmtId="164" showAll="0"/>
    <pivotField showAll="0"/>
    <pivotField showAll="0"/>
    <pivotField showAll="0"/>
    <pivotField showAll="0">
      <items count="12">
        <item x="6"/>
        <item x="0"/>
        <item x="4"/>
        <item x="7"/>
        <item x="2"/>
        <item x="5"/>
        <item x="9"/>
        <item x="1"/>
        <item x="10"/>
        <item x="3"/>
        <item x="8"/>
        <item t="default"/>
      </items>
    </pivotField>
  </pivotFields>
  <rowFields count="1">
    <field x="3"/>
  </rowFields>
  <rowItems count="17">
    <i>
      <x v="10"/>
    </i>
    <i>
      <x v="7"/>
    </i>
    <i>
      <x v="9"/>
    </i>
    <i>
      <x v="1"/>
    </i>
    <i>
      <x v="4"/>
    </i>
    <i>
      <x v="15"/>
    </i>
    <i>
      <x v="6"/>
    </i>
    <i>
      <x v="8"/>
    </i>
    <i>
      <x v="3"/>
    </i>
    <i>
      <x v="11"/>
    </i>
    <i>
      <x v="12"/>
    </i>
    <i>
      <x v="2"/>
    </i>
    <i>
      <x/>
    </i>
    <i>
      <x v="5"/>
    </i>
    <i>
      <x v="13"/>
    </i>
    <i>
      <x v="14"/>
    </i>
    <i t="grand">
      <x/>
    </i>
  </rowItems>
  <colItems count="1">
    <i/>
  </colItems>
  <dataFields count="1">
    <dataField name="Sum of Market cap 2022 ($m)"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02015D-834A-4E53-BDEB-BE7CBF398F0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9">
    <pivotField showAll="0"/>
    <pivotField showAll="0"/>
    <pivotField showAll="0"/>
    <pivotField showAll="0"/>
    <pivotField dataField="1" numFmtId="164" showAll="0"/>
    <pivotField showAll="0"/>
    <pivotField showAll="0"/>
    <pivotField showAll="0"/>
    <pivotField axis="axisRow" showAll="0" measureFilter="1" sortType="descending">
      <items count="12">
        <item x="6"/>
        <item x="0"/>
        <item x="4"/>
        <item x="7"/>
        <item x="2"/>
        <item x="5"/>
        <item x="9"/>
        <item x="1"/>
        <item x="10"/>
        <item x="3"/>
        <item x="8"/>
        <item t="default"/>
      </items>
      <autoSortScope>
        <pivotArea dataOnly="0" outline="0" fieldPosition="0">
          <references count="1">
            <reference field="4294967294" count="1" selected="0">
              <x v="0"/>
            </reference>
          </references>
        </pivotArea>
      </autoSortScope>
    </pivotField>
  </pivotFields>
  <rowFields count="1">
    <field x="8"/>
  </rowFields>
  <rowItems count="6">
    <i>
      <x v="4"/>
    </i>
    <i>
      <x v="7"/>
    </i>
    <i>
      <x v="1"/>
    </i>
    <i>
      <x v="9"/>
    </i>
    <i>
      <x/>
    </i>
    <i t="grand">
      <x/>
    </i>
  </rowItems>
  <colItems count="1">
    <i/>
  </colItems>
  <dataFields count="1">
    <dataField name="Sum of Market cap 2022 ($m)" fld="4"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7"/>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9"/>
          </reference>
        </references>
      </pivotArea>
    </chartFormat>
    <chartFormat chart="0" format="4">
      <pivotArea type="data" outline="0" fieldPosition="0">
        <references count="2">
          <reference field="4294967294" count="1" selected="0">
            <x v="0"/>
          </reference>
          <reference field="8" count="1" selected="0">
            <x v="0"/>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8" count="1" selected="0">
            <x v="4"/>
          </reference>
        </references>
      </pivotArea>
    </chartFormat>
    <chartFormat chart="2" format="13">
      <pivotArea type="data" outline="0" fieldPosition="0">
        <references count="2">
          <reference field="4294967294" count="1" selected="0">
            <x v="0"/>
          </reference>
          <reference field="8" count="1" selected="0">
            <x v="7"/>
          </reference>
        </references>
      </pivotArea>
    </chartFormat>
    <chartFormat chart="2" format="14">
      <pivotArea type="data" outline="0" fieldPosition="0">
        <references count="2">
          <reference field="4294967294" count="1" selected="0">
            <x v="0"/>
          </reference>
          <reference field="8" count="1" selected="0">
            <x v="1"/>
          </reference>
        </references>
      </pivotArea>
    </chartFormat>
    <chartFormat chart="2" format="15">
      <pivotArea type="data" outline="0" fieldPosition="0">
        <references count="2">
          <reference field="4294967294" count="1" selected="0">
            <x v="0"/>
          </reference>
          <reference field="8" count="1" selected="0">
            <x v="9"/>
          </reference>
        </references>
      </pivotArea>
    </chartFormat>
    <chartFormat chart="2" format="16">
      <pivotArea type="data" outline="0" fieldPosition="0">
        <references count="2">
          <reference field="4294967294" count="1" selected="0">
            <x v="0"/>
          </reference>
          <reference field="8" count="1" selected="0">
            <x v="0"/>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A0C830-0130-4021-BBF2-1EA4E9F3324E}"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5" firstHeaderRow="1" firstDataRow="1" firstDataCol="1"/>
  <pivotFields count="11">
    <pivotField showAll="0"/>
    <pivotField showAll="0"/>
    <pivotField axis="axisRow" showAll="0" measureFilter="1" sortType="descending">
      <items count="251">
        <item x="77"/>
        <item x="217"/>
        <item x="156"/>
        <item x="15"/>
        <item x="127"/>
        <item x="152"/>
        <item x="147"/>
        <item x="125"/>
        <item x="45"/>
        <item x="52"/>
        <item x="40"/>
        <item x="142"/>
        <item x="79"/>
        <item x="24"/>
        <item x="163"/>
        <item x="201"/>
        <item x="123"/>
        <item x="177"/>
        <item x="1"/>
        <item x="19"/>
        <item x="173"/>
        <item x="136"/>
        <item x="244"/>
        <item x="26"/>
        <item x="191"/>
        <item x="132"/>
        <item x="18"/>
        <item x="183"/>
        <item x="82"/>
        <item x="37"/>
        <item x="41"/>
        <item x="194"/>
        <item x="31"/>
        <item x="186"/>
        <item x="133"/>
        <item x="131"/>
        <item x="85"/>
        <item x="23"/>
        <item x="34"/>
        <item x="197"/>
        <item x="198"/>
        <item x="170"/>
        <item x="30"/>
        <item x="58"/>
        <item x="227"/>
        <item x="6"/>
        <item x="178"/>
        <item x="182"/>
        <item x="224"/>
        <item x="169"/>
        <item x="216"/>
        <item x="53"/>
        <item x="193"/>
        <item x="35"/>
        <item x="36"/>
        <item x="232"/>
        <item x="149"/>
        <item x="235"/>
        <item x="165"/>
        <item x="106"/>
        <item x="60"/>
        <item x="196"/>
        <item x="175"/>
        <item x="140"/>
        <item x="111"/>
        <item x="146"/>
        <item x="185"/>
        <item x="14"/>
        <item x="184"/>
        <item x="155"/>
        <item x="245"/>
        <item x="248"/>
        <item x="67"/>
        <item x="64"/>
        <item x="21"/>
        <item x="56"/>
        <item x="239"/>
        <item x="130"/>
        <item x="109"/>
        <item x="92"/>
        <item x="171"/>
        <item x="99"/>
        <item x="46"/>
        <item x="246"/>
        <item x="115"/>
        <item x="90"/>
        <item x="95"/>
        <item x="240"/>
        <item x="158"/>
        <item x="113"/>
        <item x="141"/>
        <item x="83"/>
        <item x="33"/>
        <item x="200"/>
        <item x="174"/>
        <item x="195"/>
        <item x="116"/>
        <item x="107"/>
        <item x="159"/>
        <item x="2"/>
        <item x="168"/>
        <item x="9"/>
        <item x="126"/>
        <item x="229"/>
        <item x="47"/>
        <item x="87"/>
        <item x="209"/>
        <item x="50"/>
        <item x="202"/>
        <item x="192"/>
        <item x="205"/>
        <item x="143"/>
        <item x="219"/>
        <item x="226"/>
        <item x="241"/>
        <item x="128"/>
        <item x="10"/>
        <item x="102"/>
        <item x="25"/>
        <item x="91"/>
        <item x="148"/>
        <item x="210"/>
        <item x="124"/>
        <item x="117"/>
        <item x="101"/>
        <item x="8"/>
        <item x="96"/>
        <item x="118"/>
        <item x="38"/>
        <item x="237"/>
        <item x="180"/>
        <item x="222"/>
        <item x="238"/>
        <item x="61"/>
        <item x="247"/>
        <item x="70"/>
        <item x="12"/>
        <item x="71"/>
        <item x="112"/>
        <item x="144"/>
        <item x="76"/>
        <item x="190"/>
        <item x="233"/>
        <item x="204"/>
        <item x="100"/>
        <item x="203"/>
        <item x="73"/>
        <item x="98"/>
        <item x="223"/>
        <item x="44"/>
        <item x="3"/>
        <item x="17"/>
        <item x="104"/>
        <item x="43"/>
        <item x="207"/>
        <item x="150"/>
        <item x="0"/>
        <item x="164"/>
        <item x="166"/>
        <item x="122"/>
        <item x="211"/>
        <item x="22"/>
        <item x="55"/>
        <item x="86"/>
        <item x="134"/>
        <item x="51"/>
        <item x="157"/>
        <item x="27"/>
        <item x="176"/>
        <item x="218"/>
        <item x="39"/>
        <item x="120"/>
        <item x="161"/>
        <item x="187"/>
        <item x="228"/>
        <item x="28"/>
        <item x="72"/>
        <item x="154"/>
        <item x="189"/>
        <item x="230"/>
        <item x="93"/>
        <item x="103"/>
        <item x="68"/>
        <item x="32"/>
        <item x="179"/>
        <item x="135"/>
        <item x="29"/>
        <item x="208"/>
        <item x="162"/>
        <item x="49"/>
        <item x="11"/>
        <item x="153"/>
        <item x="16"/>
        <item x="63"/>
        <item x="66"/>
        <item x="7"/>
        <item x="221"/>
        <item x="75"/>
        <item x="249"/>
        <item x="234"/>
        <item x="20"/>
        <item x="13"/>
        <item x="242"/>
        <item x="119"/>
        <item x="94"/>
        <item x="129"/>
        <item x="145"/>
        <item x="212"/>
        <item x="243"/>
        <item x="54"/>
        <item x="105"/>
        <item x="65"/>
        <item x="215"/>
        <item x="214"/>
        <item x="108"/>
        <item x="4"/>
        <item x="206"/>
        <item x="213"/>
        <item x="181"/>
        <item x="188"/>
        <item x="167"/>
        <item x="137"/>
        <item x="114"/>
        <item x="97"/>
        <item x="139"/>
        <item x="231"/>
        <item x="57"/>
        <item x="84"/>
        <item x="89"/>
        <item x="160"/>
        <item x="48"/>
        <item x="78"/>
        <item x="69"/>
        <item x="88"/>
        <item x="59"/>
        <item x="172"/>
        <item x="81"/>
        <item x="121"/>
        <item x="220"/>
        <item x="110"/>
        <item x="199"/>
        <item x="151"/>
        <item x="62"/>
        <item x="5"/>
        <item x="138"/>
        <item x="74"/>
        <item x="225"/>
        <item x="42"/>
        <item x="236"/>
        <item x="80"/>
        <item t="default"/>
      </items>
      <autoSortScope>
        <pivotArea dataOnly="0" outline="0" fieldPosition="0">
          <references count="1">
            <reference field="4294967294" count="1" selected="0">
              <x v="0"/>
            </reference>
          </references>
        </pivotArea>
      </autoSortScope>
    </pivotField>
    <pivotField showAll="0">
      <items count="17">
        <item x="13"/>
        <item x="4"/>
        <item x="9"/>
        <item x="8"/>
        <item x="1"/>
        <item x="14"/>
        <item x="6"/>
        <item x="2"/>
        <item x="5"/>
        <item x="3"/>
        <item x="0"/>
        <item x="11"/>
        <item x="10"/>
        <item x="12"/>
        <item x="15"/>
        <item x="7"/>
        <item t="default"/>
      </items>
    </pivotField>
    <pivotField numFmtId="164" showAll="0"/>
    <pivotField showAll="0"/>
    <pivotField showAll="0"/>
    <pivotField showAll="0"/>
    <pivotField showAll="0"/>
    <pivotField dataField="1" showAll="0"/>
    <pivotField showAll="0"/>
  </pivotFields>
  <rowFields count="1">
    <field x="2"/>
  </rowFields>
  <rowItems count="12">
    <i>
      <x v="141"/>
    </i>
    <i>
      <x v="248"/>
    </i>
    <i>
      <x v="199"/>
    </i>
    <i>
      <x v="21"/>
    </i>
    <i>
      <x v="82"/>
    </i>
    <i>
      <x v="159"/>
    </i>
    <i>
      <x v="57"/>
    </i>
    <i>
      <x v="203"/>
    </i>
    <i>
      <x v="72"/>
    </i>
    <i>
      <x v="81"/>
    </i>
    <i>
      <x v="219"/>
    </i>
    <i t="grand">
      <x/>
    </i>
  </rowItems>
  <colItems count="1">
    <i/>
  </colItems>
  <dataFields count="1">
    <dataField name="Sum of % Growth" fld="9" baseField="2" baseItem="141" numFmtId="165"/>
  </dataFields>
  <pivotTableStyleInfo name="PivotStyleLight16" showRowHeaders="1" showColHeaders="1" showRowStripes="0" showColStripes="0" showLastColumn="1"/>
  <filters count="1">
    <filter fld="2" type="count" evalOrder="-1" id="4" iMeasureFld="0">
      <autoFilter ref="A1">
        <filterColumn colId="0">
          <top10 val="11" filterVal="1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AE9D50-4674-408E-B903-8038F4891B03}"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pivotFields count="11">
    <pivotField showAll="0"/>
    <pivotField showAll="0"/>
    <pivotField axis="axisRow" showAll="0" sortType="ascending">
      <items count="251">
        <item h="1" x="77"/>
        <item h="1" x="217"/>
        <item h="1" x="156"/>
        <item h="1" x="15"/>
        <item h="1" x="127"/>
        <item h="1" x="152"/>
        <item h="1" x="147"/>
        <item h="1" x="125"/>
        <item h="1" x="45"/>
        <item h="1" x="52"/>
        <item h="1" x="40"/>
        <item h="1" x="142"/>
        <item h="1" x="79"/>
        <item h="1" x="24"/>
        <item h="1" x="163"/>
        <item h="1" x="201"/>
        <item h="1" x="123"/>
        <item h="1" x="177"/>
        <item h="1" x="1"/>
        <item h="1" x="19"/>
        <item h="1" x="173"/>
        <item h="1" x="136"/>
        <item h="1" x="244"/>
        <item h="1" x="26"/>
        <item h="1" x="191"/>
        <item h="1" x="132"/>
        <item h="1" x="18"/>
        <item h="1" x="183"/>
        <item h="1" x="82"/>
        <item h="1" x="37"/>
        <item h="1" x="41"/>
        <item h="1" x="194"/>
        <item h="1" x="31"/>
        <item h="1" x="186"/>
        <item h="1" x="133"/>
        <item h="1" x="131"/>
        <item h="1" x="85"/>
        <item h="1" x="23"/>
        <item h="1" x="34"/>
        <item h="1" x="197"/>
        <item h="1" x="198"/>
        <item h="1" x="170"/>
        <item h="1" x="30"/>
        <item h="1" x="58"/>
        <item x="227"/>
        <item h="1" x="6"/>
        <item h="1" x="178"/>
        <item h="1" x="182"/>
        <item x="224"/>
        <item h="1" x="169"/>
        <item h="1" x="216"/>
        <item h="1" x="53"/>
        <item h="1" x="193"/>
        <item h="1" x="35"/>
        <item h="1" x="36"/>
        <item h="1" x="232"/>
        <item h="1" x="149"/>
        <item h="1" x="235"/>
        <item h="1" x="165"/>
        <item h="1" x="106"/>
        <item h="1" x="60"/>
        <item h="1" x="196"/>
        <item h="1" x="175"/>
        <item h="1" x="140"/>
        <item h="1" x="111"/>
        <item h="1" x="146"/>
        <item h="1" x="185"/>
        <item h="1" x="14"/>
        <item h="1" x="184"/>
        <item h="1" x="155"/>
        <item h="1" x="245"/>
        <item h="1" x="248"/>
        <item h="1" x="67"/>
        <item h="1" x="64"/>
        <item h="1" x="21"/>
        <item h="1" x="56"/>
        <item h="1" x="239"/>
        <item h="1" x="130"/>
        <item h="1" x="109"/>
        <item h="1" x="92"/>
        <item h="1" x="171"/>
        <item h="1" x="99"/>
        <item h="1" x="46"/>
        <item x="246"/>
        <item h="1" x="115"/>
        <item h="1" x="90"/>
        <item h="1" x="95"/>
        <item h="1" x="240"/>
        <item h="1" x="158"/>
        <item h="1" x="113"/>
        <item h="1" x="141"/>
        <item h="1" x="83"/>
        <item h="1" x="33"/>
        <item h="1" x="200"/>
        <item h="1" x="174"/>
        <item h="1" x="195"/>
        <item x="116"/>
        <item h="1" x="107"/>
        <item h="1" x="159"/>
        <item h="1" x="2"/>
        <item h="1" x="168"/>
        <item h="1" x="9"/>
        <item h="1" x="126"/>
        <item h="1" x="229"/>
        <item h="1" x="47"/>
        <item x="87"/>
        <item h="1" x="209"/>
        <item h="1" x="50"/>
        <item h="1" x="202"/>
        <item h="1" x="192"/>
        <item h="1" x="205"/>
        <item h="1" x="143"/>
        <item h="1" x="219"/>
        <item h="1" x="226"/>
        <item h="1" x="241"/>
        <item h="1" x="128"/>
        <item h="1" x="10"/>
        <item h="1" x="102"/>
        <item h="1" x="25"/>
        <item h="1" x="91"/>
        <item h="1" x="148"/>
        <item h="1" x="210"/>
        <item h="1" x="124"/>
        <item h="1" x="117"/>
        <item h="1" x="101"/>
        <item h="1" x="8"/>
        <item h="1" x="96"/>
        <item h="1" x="118"/>
        <item h="1" x="38"/>
        <item h="1" x="237"/>
        <item h="1" x="180"/>
        <item h="1" x="222"/>
        <item h="1" x="238"/>
        <item h="1" x="61"/>
        <item h="1" x="247"/>
        <item h="1" x="70"/>
        <item h="1" x="12"/>
        <item h="1" x="71"/>
        <item h="1" x="112"/>
        <item h="1" x="144"/>
        <item h="1" x="76"/>
        <item h="1" x="190"/>
        <item h="1" x="233"/>
        <item h="1" x="204"/>
        <item h="1" x="100"/>
        <item h="1" x="203"/>
        <item h="1" x="73"/>
        <item h="1" x="98"/>
        <item h="1" x="223"/>
        <item h="1" x="44"/>
        <item h="1" x="3"/>
        <item h="1" x="17"/>
        <item h="1" x="104"/>
        <item h="1" x="43"/>
        <item h="1" x="207"/>
        <item h="1" x="150"/>
        <item x="0"/>
        <item h="1" x="164"/>
        <item h="1" x="166"/>
        <item h="1" x="122"/>
        <item h="1" x="211"/>
        <item h="1" x="22"/>
        <item h="1" x="55"/>
        <item h="1" x="86"/>
        <item h="1" x="134"/>
        <item h="1" x="51"/>
        <item h="1" x="157"/>
        <item x="27"/>
        <item h="1" x="176"/>
        <item h="1" x="218"/>
        <item h="1" x="39"/>
        <item h="1" x="120"/>
        <item h="1" x="161"/>
        <item h="1" x="187"/>
        <item h="1" x="228"/>
        <item h="1" x="28"/>
        <item h="1" x="72"/>
        <item h="1" x="154"/>
        <item h="1" x="189"/>
        <item h="1" x="230"/>
        <item h="1" x="93"/>
        <item h="1" x="103"/>
        <item h="1" x="68"/>
        <item h="1" x="32"/>
        <item h="1" x="179"/>
        <item h="1" x="135"/>
        <item h="1" x="29"/>
        <item h="1" x="208"/>
        <item h="1" x="162"/>
        <item h="1" x="49"/>
        <item h="1" x="11"/>
        <item h="1" x="153"/>
        <item h="1" x="16"/>
        <item h="1" x="63"/>
        <item h="1" x="66"/>
        <item h="1" x="7"/>
        <item h="1" x="221"/>
        <item h="1" x="75"/>
        <item h="1" x="249"/>
        <item h="1" x="234"/>
        <item h="1" x="20"/>
        <item h="1" x="13"/>
        <item h="1" x="242"/>
        <item h="1" x="119"/>
        <item h="1" x="94"/>
        <item h="1" x="129"/>
        <item h="1" x="145"/>
        <item h="1" x="212"/>
        <item h="1" x="243"/>
        <item h="1" x="54"/>
        <item h="1" x="105"/>
        <item h="1" x="65"/>
        <item h="1" x="215"/>
        <item h="1" x="214"/>
        <item h="1" x="108"/>
        <item h="1" x="4"/>
        <item h="1" x="206"/>
        <item h="1" x="213"/>
        <item h="1" x="181"/>
        <item h="1" x="188"/>
        <item h="1" x="167"/>
        <item h="1" x="137"/>
        <item h="1" x="114"/>
        <item h="1" x="97"/>
        <item h="1" x="139"/>
        <item h="1" x="231"/>
        <item h="1" x="57"/>
        <item h="1" x="84"/>
        <item h="1" x="89"/>
        <item h="1" x="160"/>
        <item h="1" x="48"/>
        <item h="1" x="78"/>
        <item x="69"/>
        <item h="1" x="88"/>
        <item h="1" x="59"/>
        <item h="1" x="172"/>
        <item h="1" x="81"/>
        <item h="1" x="121"/>
        <item h="1" x="220"/>
        <item h="1" x="110"/>
        <item h="1" x="199"/>
        <item h="1" x="151"/>
        <item h="1" x="62"/>
        <item h="1" x="5"/>
        <item h="1" x="138"/>
        <item h="1" x="74"/>
        <item h="1" x="225"/>
        <item h="1" x="42"/>
        <item h="1" x="236"/>
        <item h="1" x="80"/>
        <item t="default"/>
      </items>
      <autoSortScope>
        <pivotArea dataOnly="0" outline="0" fieldPosition="0">
          <references count="1">
            <reference field="4294967294" count="1" selected="0">
              <x v="0"/>
            </reference>
          </references>
        </pivotArea>
      </autoSortScope>
    </pivotField>
    <pivotField showAll="0">
      <items count="17">
        <item x="13"/>
        <item x="4"/>
        <item x="9"/>
        <item x="8"/>
        <item x="1"/>
        <item x="14"/>
        <item x="6"/>
        <item x="2"/>
        <item x="5"/>
        <item x="3"/>
        <item x="0"/>
        <item x="11"/>
        <item x="10"/>
        <item x="12"/>
        <item x="15"/>
        <item x="7"/>
        <item t="default"/>
      </items>
    </pivotField>
    <pivotField numFmtId="164" showAll="0"/>
    <pivotField showAll="0"/>
    <pivotField showAll="0"/>
    <pivotField showAll="0"/>
    <pivotField showAll="0"/>
    <pivotField dataField="1" showAll="0"/>
    <pivotField showAll="0"/>
  </pivotFields>
  <rowFields count="1">
    <field x="2"/>
  </rowFields>
  <rowItems count="9">
    <i>
      <x v="156"/>
    </i>
    <i>
      <x v="96"/>
    </i>
    <i>
      <x v="48"/>
    </i>
    <i>
      <x v="167"/>
    </i>
    <i>
      <x v="105"/>
    </i>
    <i>
      <x v="44"/>
    </i>
    <i>
      <x v="83"/>
    </i>
    <i>
      <x v="232"/>
    </i>
    <i t="grand">
      <x/>
    </i>
  </rowItems>
  <colItems count="1">
    <i/>
  </colItems>
  <dataFields count="1">
    <dataField name="Sum of % Growth" fld="9" baseField="2" baseItem="141" numFmtId="165"/>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48"/>
          </reference>
        </references>
      </pivotArea>
    </chartFormat>
    <chartFormat chart="0" format="2">
      <pivotArea type="data" outline="0" fieldPosition="0">
        <references count="2">
          <reference field="4294967294" count="1" selected="0">
            <x v="0"/>
          </reference>
          <reference field="2" count="1" selected="0">
            <x v="167"/>
          </reference>
        </references>
      </pivotArea>
    </chartFormat>
    <chartFormat chart="0" format="3">
      <pivotArea type="data" outline="0" fieldPosition="0">
        <references count="2">
          <reference field="4294967294" count="1" selected="0">
            <x v="0"/>
          </reference>
          <reference field="2" count="1" selected="0">
            <x v="105"/>
          </reference>
        </references>
      </pivotArea>
    </chartFormat>
    <chartFormat chart="0" format="4">
      <pivotArea type="data" outline="0" fieldPosition="0">
        <references count="2">
          <reference field="4294967294" count="1" selected="0">
            <x v="0"/>
          </reference>
          <reference field="2" count="1" selected="0">
            <x v="44"/>
          </reference>
        </references>
      </pivotArea>
    </chartFormat>
    <chartFormat chart="0" format="5">
      <pivotArea type="data" outline="0" fieldPosition="0">
        <references count="2">
          <reference field="4294967294" count="1" selected="0">
            <x v="0"/>
          </reference>
          <reference field="2" count="1" selected="0">
            <x v="83"/>
          </reference>
        </references>
      </pivotArea>
    </chartFormat>
    <chartFormat chart="0" format="6">
      <pivotArea type="data" outline="0" fieldPosition="0">
        <references count="2">
          <reference field="4294967294" count="1" selected="0">
            <x v="0"/>
          </reference>
          <reference field="2" count="1" selected="0">
            <x v="232"/>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2" count="1" selected="0">
            <x v="48"/>
          </reference>
        </references>
      </pivotArea>
    </chartFormat>
    <chartFormat chart="2" format="16">
      <pivotArea type="data" outline="0" fieldPosition="0">
        <references count="2">
          <reference field="4294967294" count="1" selected="0">
            <x v="0"/>
          </reference>
          <reference field="2" count="1" selected="0">
            <x v="167"/>
          </reference>
        </references>
      </pivotArea>
    </chartFormat>
    <chartFormat chart="2" format="17">
      <pivotArea type="data" outline="0" fieldPosition="0">
        <references count="2">
          <reference field="4294967294" count="1" selected="0">
            <x v="0"/>
          </reference>
          <reference field="2" count="1" selected="0">
            <x v="105"/>
          </reference>
        </references>
      </pivotArea>
    </chartFormat>
    <chartFormat chart="2" format="18">
      <pivotArea type="data" outline="0" fieldPosition="0">
        <references count="2">
          <reference field="4294967294" count="1" selected="0">
            <x v="0"/>
          </reference>
          <reference field="2" count="1" selected="0">
            <x v="44"/>
          </reference>
        </references>
      </pivotArea>
    </chartFormat>
    <chartFormat chart="2" format="19">
      <pivotArea type="data" outline="0" fieldPosition="0">
        <references count="2">
          <reference field="4294967294" count="1" selected="0">
            <x v="0"/>
          </reference>
          <reference field="2" count="1" selected="0">
            <x v="83"/>
          </reference>
        </references>
      </pivotArea>
    </chartFormat>
    <chartFormat chart="2" format="20">
      <pivotArea type="data" outline="0" fieldPosition="0">
        <references count="2">
          <reference field="4294967294" count="1" selected="0">
            <x v="0"/>
          </reference>
          <reference field="2" count="1" selected="0">
            <x v="23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A6674F-ED15-49B4-B269-281539286D1E}"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1">
    <pivotField showAll="0"/>
    <pivotField showAll="0"/>
    <pivotField axis="axisRow" showAll="0" measureFilter="1" sortType="descending">
      <items count="251">
        <item x="77"/>
        <item x="217"/>
        <item x="156"/>
        <item x="15"/>
        <item x="127"/>
        <item x="152"/>
        <item x="147"/>
        <item x="125"/>
        <item x="45"/>
        <item x="52"/>
        <item x="40"/>
        <item x="142"/>
        <item x="79"/>
        <item x="24"/>
        <item x="163"/>
        <item x="201"/>
        <item x="123"/>
        <item x="177"/>
        <item x="1"/>
        <item x="19"/>
        <item x="173"/>
        <item x="136"/>
        <item x="244"/>
        <item x="26"/>
        <item x="191"/>
        <item x="132"/>
        <item x="18"/>
        <item x="183"/>
        <item x="82"/>
        <item x="37"/>
        <item x="41"/>
        <item x="194"/>
        <item x="31"/>
        <item x="186"/>
        <item x="133"/>
        <item x="131"/>
        <item x="85"/>
        <item x="23"/>
        <item x="34"/>
        <item x="197"/>
        <item x="198"/>
        <item x="170"/>
        <item x="30"/>
        <item x="58"/>
        <item x="227"/>
        <item x="6"/>
        <item x="178"/>
        <item x="182"/>
        <item x="224"/>
        <item x="169"/>
        <item x="216"/>
        <item x="53"/>
        <item x="193"/>
        <item x="35"/>
        <item x="36"/>
        <item x="232"/>
        <item x="149"/>
        <item x="235"/>
        <item x="165"/>
        <item x="106"/>
        <item x="60"/>
        <item x="196"/>
        <item x="175"/>
        <item x="140"/>
        <item x="111"/>
        <item x="146"/>
        <item x="185"/>
        <item x="14"/>
        <item x="184"/>
        <item x="155"/>
        <item x="245"/>
        <item x="248"/>
        <item x="67"/>
        <item x="64"/>
        <item x="21"/>
        <item x="56"/>
        <item x="239"/>
        <item x="130"/>
        <item x="109"/>
        <item x="92"/>
        <item x="171"/>
        <item x="99"/>
        <item x="46"/>
        <item x="246"/>
        <item x="115"/>
        <item x="90"/>
        <item x="95"/>
        <item x="240"/>
        <item x="158"/>
        <item x="113"/>
        <item x="141"/>
        <item x="83"/>
        <item x="33"/>
        <item x="200"/>
        <item x="174"/>
        <item x="195"/>
        <item x="116"/>
        <item x="107"/>
        <item x="159"/>
        <item x="2"/>
        <item x="168"/>
        <item x="9"/>
        <item x="126"/>
        <item x="229"/>
        <item x="47"/>
        <item x="87"/>
        <item x="209"/>
        <item x="50"/>
        <item x="202"/>
        <item x="192"/>
        <item x="205"/>
        <item x="143"/>
        <item x="219"/>
        <item x="226"/>
        <item x="241"/>
        <item x="128"/>
        <item x="10"/>
        <item x="102"/>
        <item x="25"/>
        <item x="91"/>
        <item x="148"/>
        <item x="210"/>
        <item x="124"/>
        <item x="117"/>
        <item x="101"/>
        <item x="8"/>
        <item x="96"/>
        <item x="118"/>
        <item x="38"/>
        <item x="237"/>
        <item x="180"/>
        <item x="222"/>
        <item x="238"/>
        <item x="61"/>
        <item x="247"/>
        <item x="70"/>
        <item x="12"/>
        <item x="71"/>
        <item x="112"/>
        <item x="144"/>
        <item x="76"/>
        <item x="190"/>
        <item x="233"/>
        <item x="204"/>
        <item x="100"/>
        <item x="203"/>
        <item x="73"/>
        <item x="98"/>
        <item x="223"/>
        <item x="44"/>
        <item x="3"/>
        <item x="17"/>
        <item x="104"/>
        <item x="43"/>
        <item x="207"/>
        <item x="150"/>
        <item x="0"/>
        <item x="164"/>
        <item x="166"/>
        <item x="122"/>
        <item x="211"/>
        <item x="22"/>
        <item x="55"/>
        <item x="86"/>
        <item x="134"/>
        <item x="51"/>
        <item x="157"/>
        <item x="27"/>
        <item x="176"/>
        <item x="218"/>
        <item x="39"/>
        <item x="120"/>
        <item x="161"/>
        <item x="187"/>
        <item x="228"/>
        <item x="28"/>
        <item x="72"/>
        <item x="154"/>
        <item x="189"/>
        <item x="230"/>
        <item x="93"/>
        <item x="103"/>
        <item x="68"/>
        <item x="32"/>
        <item x="179"/>
        <item x="135"/>
        <item x="29"/>
        <item x="208"/>
        <item x="162"/>
        <item x="49"/>
        <item x="11"/>
        <item x="153"/>
        <item x="16"/>
        <item x="63"/>
        <item x="66"/>
        <item x="7"/>
        <item x="221"/>
        <item x="75"/>
        <item x="249"/>
        <item x="234"/>
        <item x="20"/>
        <item x="13"/>
        <item x="242"/>
        <item x="119"/>
        <item x="94"/>
        <item x="129"/>
        <item x="145"/>
        <item x="212"/>
        <item x="243"/>
        <item x="54"/>
        <item x="105"/>
        <item x="65"/>
        <item x="215"/>
        <item x="214"/>
        <item x="108"/>
        <item x="4"/>
        <item x="206"/>
        <item x="213"/>
        <item x="181"/>
        <item x="188"/>
        <item x="167"/>
        <item x="137"/>
        <item x="114"/>
        <item x="97"/>
        <item x="139"/>
        <item x="231"/>
        <item x="57"/>
        <item x="84"/>
        <item x="89"/>
        <item x="160"/>
        <item x="48"/>
        <item x="78"/>
        <item x="69"/>
        <item x="88"/>
        <item x="59"/>
        <item x="172"/>
        <item x="81"/>
        <item x="121"/>
        <item x="220"/>
        <item x="110"/>
        <item x="199"/>
        <item x="151"/>
        <item x="62"/>
        <item x="5"/>
        <item x="138"/>
        <item x="74"/>
        <item x="225"/>
        <item x="42"/>
        <item x="236"/>
        <item x="80"/>
        <item t="default"/>
      </items>
      <autoSortScope>
        <pivotArea dataOnly="0" outline="0" fieldPosition="0">
          <references count="1">
            <reference field="4294967294" count="1" selected="0">
              <x v="0"/>
            </reference>
          </references>
        </pivotArea>
      </autoSortScope>
    </pivotField>
    <pivotField showAll="0">
      <items count="17">
        <item x="13"/>
        <item x="4"/>
        <item x="9"/>
        <item x="8"/>
        <item x="1"/>
        <item x="14"/>
        <item x="6"/>
        <item x="2"/>
        <item x="5"/>
        <item x="3"/>
        <item x="0"/>
        <item x="11"/>
        <item x="10"/>
        <item x="12"/>
        <item x="15"/>
        <item x="7"/>
        <item t="default"/>
      </items>
    </pivotField>
    <pivotField dataField="1" numFmtId="164" showAll="0"/>
    <pivotField showAll="0"/>
    <pivotField showAll="0"/>
    <pivotField showAll="0"/>
    <pivotField showAll="0"/>
    <pivotField showAll="0"/>
    <pivotField showAll="0"/>
  </pivotFields>
  <rowFields count="1">
    <field x="2"/>
  </rowFields>
  <rowItems count="7">
    <i>
      <x v="156"/>
    </i>
    <i>
      <x v="18"/>
    </i>
    <i>
      <x v="99"/>
    </i>
    <i>
      <x v="150"/>
    </i>
    <i>
      <x v="215"/>
    </i>
    <i>
      <x v="243"/>
    </i>
    <i t="grand">
      <x/>
    </i>
  </rowItems>
  <colItems count="1">
    <i/>
  </colItems>
  <dataFields count="1">
    <dataField name="Sum of Market cap 2022 ($m)" fld="4" baseField="0" baseItem="0" numFmtId="164"/>
  </dataFields>
  <pivotTableStyleInfo name="PivotStyleLight16" showRowHeaders="1" showColHeaders="1" showRowStripes="0" showColStripes="0" showLastColumn="1"/>
  <filters count="1">
    <filter fld="2"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FAD5EE-C6A1-4121-8E07-A3F1F1927AC4}"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11">
    <pivotField showAll="0"/>
    <pivotField showAll="0"/>
    <pivotField showAll="0"/>
    <pivotField showAll="0"/>
    <pivotField numFmtId="164" showAll="0"/>
    <pivotField showAll="0"/>
    <pivotField showAll="0"/>
    <pivotField showAll="0"/>
    <pivotField axis="axisRow" showAll="0" measureFilter="1" sortType="descending">
      <items count="12">
        <item x="6"/>
        <item x="0"/>
        <item x="4"/>
        <item x="7"/>
        <item x="2"/>
        <item x="5"/>
        <item x="9"/>
        <item x="1"/>
        <item x="10"/>
        <item x="3"/>
        <item x="8"/>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8"/>
  </rowFields>
  <rowItems count="11">
    <i>
      <x v="4"/>
    </i>
    <i>
      <x v="7"/>
    </i>
    <i>
      <x v="3"/>
    </i>
    <i>
      <x v="9"/>
    </i>
    <i>
      <x v="2"/>
    </i>
    <i>
      <x v="10"/>
    </i>
    <i>
      <x v="1"/>
    </i>
    <i>
      <x v="5"/>
    </i>
    <i>
      <x v="6"/>
    </i>
    <i>
      <x/>
    </i>
    <i t="grand">
      <x/>
    </i>
  </rowItems>
  <colItems count="1">
    <i/>
  </colItems>
  <dataFields count="1">
    <dataField name="Average of Net Margin %" fld="10" subtotal="average" baseField="8" baseItem="0" numFmtId="9"/>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7"/>
          </reference>
        </references>
      </pivotArea>
    </chartFormat>
    <chartFormat chart="0" format="2">
      <pivotArea type="data" outline="0" fieldPosition="0">
        <references count="2">
          <reference field="4294967294" count="1" selected="0">
            <x v="0"/>
          </reference>
          <reference field="8" count="1" selected="0">
            <x v="3"/>
          </reference>
        </references>
      </pivotArea>
    </chartFormat>
    <chartFormat chart="0" format="3">
      <pivotArea type="data" outline="0" fieldPosition="0">
        <references count="2">
          <reference field="4294967294" count="1" selected="0">
            <x v="0"/>
          </reference>
          <reference field="8" count="1" selected="0">
            <x v="9"/>
          </reference>
        </references>
      </pivotArea>
    </chartFormat>
    <chartFormat chart="0" format="4">
      <pivotArea type="data" outline="0" fieldPosition="0">
        <references count="2">
          <reference field="4294967294" count="1" selected="0">
            <x v="0"/>
          </reference>
          <reference field="8" count="1" selected="0">
            <x v="2"/>
          </reference>
        </references>
      </pivotArea>
    </chartFormat>
    <chartFormat chart="0" format="5">
      <pivotArea type="data" outline="0" fieldPosition="0">
        <references count="2">
          <reference field="4294967294" count="1" selected="0">
            <x v="0"/>
          </reference>
          <reference field="8" count="1" selected="0">
            <x v="10"/>
          </reference>
        </references>
      </pivotArea>
    </chartFormat>
    <chartFormat chart="0" format="6">
      <pivotArea type="data" outline="0" fieldPosition="0">
        <references count="2">
          <reference field="4294967294" count="1" selected="0">
            <x v="0"/>
          </reference>
          <reference field="8" count="1" selected="0">
            <x v="1"/>
          </reference>
        </references>
      </pivotArea>
    </chartFormat>
    <chartFormat chart="0" format="7">
      <pivotArea type="data" outline="0" fieldPosition="0">
        <references count="2">
          <reference field="4294967294" count="1" selected="0">
            <x v="0"/>
          </reference>
          <reference field="8" count="1" selected="0">
            <x v="5"/>
          </reference>
        </references>
      </pivotArea>
    </chartFormat>
    <chartFormat chart="0" format="8">
      <pivotArea type="data" outline="0" fieldPosition="0">
        <references count="2">
          <reference field="4294967294" count="1" selected="0">
            <x v="0"/>
          </reference>
          <reference field="8" count="1" selected="0">
            <x v="6"/>
          </reference>
        </references>
      </pivotArea>
    </chartFormat>
    <chartFormat chart="0" format="9">
      <pivotArea type="data" outline="0" fieldPosition="0">
        <references count="2">
          <reference field="4294967294" count="1" selected="0">
            <x v="0"/>
          </reference>
          <reference field="8" count="1" selected="0">
            <x v="0"/>
          </reference>
        </references>
      </pivotArea>
    </chartFormat>
    <chartFormat chart="2" format="20" series="1">
      <pivotArea type="data" outline="0" fieldPosition="0">
        <references count="1">
          <reference field="4294967294" count="1" selected="0">
            <x v="0"/>
          </reference>
        </references>
      </pivotArea>
    </chartFormat>
    <chartFormat chart="2" format="21">
      <pivotArea type="data" outline="0" fieldPosition="0">
        <references count="2">
          <reference field="4294967294" count="1" selected="0">
            <x v="0"/>
          </reference>
          <reference field="8" count="1" selected="0">
            <x v="7"/>
          </reference>
        </references>
      </pivotArea>
    </chartFormat>
    <chartFormat chart="2" format="22">
      <pivotArea type="data" outline="0" fieldPosition="0">
        <references count="2">
          <reference field="4294967294" count="1" selected="0">
            <x v="0"/>
          </reference>
          <reference field="8" count="1" selected="0">
            <x v="3"/>
          </reference>
        </references>
      </pivotArea>
    </chartFormat>
    <chartFormat chart="2" format="23">
      <pivotArea type="data" outline="0" fieldPosition="0">
        <references count="2">
          <reference field="4294967294" count="1" selected="0">
            <x v="0"/>
          </reference>
          <reference field="8" count="1" selected="0">
            <x v="9"/>
          </reference>
        </references>
      </pivotArea>
    </chartFormat>
    <chartFormat chart="2" format="24">
      <pivotArea type="data" outline="0" fieldPosition="0">
        <references count="2">
          <reference field="4294967294" count="1" selected="0">
            <x v="0"/>
          </reference>
          <reference field="8" count="1" selected="0">
            <x v="2"/>
          </reference>
        </references>
      </pivotArea>
    </chartFormat>
    <chartFormat chart="2" format="25">
      <pivotArea type="data" outline="0" fieldPosition="0">
        <references count="2">
          <reference field="4294967294" count="1" selected="0">
            <x v="0"/>
          </reference>
          <reference field="8" count="1" selected="0">
            <x v="10"/>
          </reference>
        </references>
      </pivotArea>
    </chartFormat>
    <chartFormat chart="2" format="26">
      <pivotArea type="data" outline="0" fieldPosition="0">
        <references count="2">
          <reference field="4294967294" count="1" selected="0">
            <x v="0"/>
          </reference>
          <reference field="8" count="1" selected="0">
            <x v="1"/>
          </reference>
        </references>
      </pivotArea>
    </chartFormat>
    <chartFormat chart="2" format="27">
      <pivotArea type="data" outline="0" fieldPosition="0">
        <references count="2">
          <reference field="4294967294" count="1" selected="0">
            <x v="0"/>
          </reference>
          <reference field="8" count="1" selected="0">
            <x v="5"/>
          </reference>
        </references>
      </pivotArea>
    </chartFormat>
    <chartFormat chart="2" format="28">
      <pivotArea type="data" outline="0" fieldPosition="0">
        <references count="2">
          <reference field="4294967294" count="1" selected="0">
            <x v="0"/>
          </reference>
          <reference field="8" count="1" selected="0">
            <x v="6"/>
          </reference>
        </references>
      </pivotArea>
    </chartFormat>
    <chartFormat chart="2" format="29">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45C2DDD-E2DC-4A4A-8C4A-DA44E8070D6B}" sourceName="Country">
  <pivotTables>
    <pivotTable tabId="10" name="PivotTable4"/>
    <pivotTable tabId="11" name="PivotTable11"/>
    <pivotTable tabId="9" name="PivotTable4"/>
  </pivotTables>
  <data>
    <tabular pivotCacheId="136797647">
      <items count="16">
        <i x="13" s="1"/>
        <i x="4" s="1"/>
        <i x="9" s="1"/>
        <i x="8" s="1"/>
        <i x="1" s="1"/>
        <i x="14" s="1"/>
        <i x="6" s="1"/>
        <i x="2" s="1"/>
        <i x="5" s="1"/>
        <i x="3" s="1"/>
        <i x="0" s="1"/>
        <i x="11" s="1"/>
        <i x="10" s="1"/>
        <i x="12" s="1"/>
        <i x="15"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F942FFA7-ADE0-482E-A17A-9E196EAD5372}" sourceName="Salesperson">
  <data>
    <tabular pivotCacheId="2094695810">
      <items count="8">
        <i x="1" s="1"/>
        <i x="5" s="1"/>
        <i x="3" s="1"/>
        <i x="6" s="1"/>
        <i x="0" s="1"/>
        <i x="4" s="1"/>
        <i x="2"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2EB3C183-DB12-4379-B321-1BBB61C72C67}" sourceName="Product Name">
  <data>
    <tabular pivotCacheId="2094695810">
      <items count="25">
        <i x="18" s="1"/>
        <i x="0" s="1"/>
        <i x="11" s="1"/>
        <i x="12" s="1"/>
        <i x="4" s="1"/>
        <i x="7" s="1"/>
        <i x="6" s="1"/>
        <i x="8" s="1"/>
        <i x="5" s="1"/>
        <i x="13" s="1"/>
        <i x="9" s="1"/>
        <i x="3" s="1"/>
        <i x="2" s="1"/>
        <i x="1" s="1"/>
        <i x="19" s="1"/>
        <i x="20" s="1"/>
        <i x="10" s="1"/>
        <i x="24" s="1"/>
        <i x="23" s="1"/>
        <i x="15" s="1"/>
        <i x="22" s="1"/>
        <i x="14" s="1"/>
        <i x="21" s="1"/>
        <i x="16" s="1"/>
        <i x="1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83A8E11A-1D3A-47D8-B9A1-35C8D7126D79}" sourceName="Sector">
  <pivotTables>
    <pivotTable tabId="7" name="PivotTable2"/>
    <pivotTable tabId="6" name="PivotTable1"/>
  </pivotTables>
  <data>
    <tabular pivotCacheId="87275161">
      <items count="11">
        <i x="6" s="1"/>
        <i x="0" s="1"/>
        <i x="4" s="1"/>
        <i x="7" s="1"/>
        <i x="2" s="1"/>
        <i x="5" s="1"/>
        <i x="9" s="1"/>
        <i x="1" s="1"/>
        <i x="10" s="1"/>
        <i x="3"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74AA49ED-42EF-4D89-A785-5D00D37BB9C4}" cache="Slicer_Country" caption="Country" columnCount="2" showCaption="0" style="Da angels 3 2" rowHeight="247650"/>
  <slicer name="Sector" xr10:uid="{DE850BA5-CC89-4A81-A803-45E72EE6A113}" cache="Slicer_Sector" caption="Sector" columnCount="2" showCaption="0" style="Da angels 3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2" xr10:uid="{D4FA2737-244B-44DD-AC00-A2A3B2016CAB}" cache="Slicer_Salesperson" caption="Salesperson" style="Da angels 3" rowHeight="234950"/>
  <slicer name="Product Name 2" xr10:uid="{33C94B6F-24A5-44F9-B2AC-E8F328AEB6D5}" cache="Slicer_Product_Name" caption="Product" startItem="6" style="Da angels 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DF8202-871C-4FB0-BD8F-92A9CCE171CA}" name="Table2" displayName="Table2" ref="A1:K251" totalsRowShown="0" dataDxfId="12" tableBorderDxfId="11">
  <autoFilter ref="A1:K251" xr:uid="{F5DF8202-871C-4FB0-BD8F-92A9CCE171CA}">
    <filterColumn colId="9">
      <filters>
        <filter val="#DIV/0!"/>
        <filter val="#VALUE!"/>
      </filters>
    </filterColumn>
  </autoFilter>
  <tableColumns count="11">
    <tableColumn id="1" xr3:uid="{EB605A8B-5A6A-424A-B850-81EE884098BD}" name="Ranking" dataDxfId="10"/>
    <tableColumn id="2" xr3:uid="{29AE2817-D4F9-4A1F-A475-458DCB46E70C}" name="2021 Ranking" dataDxfId="9"/>
    <tableColumn id="3" xr3:uid="{9F56B0F8-D5C3-4629-8628-F45293D50537}" name="Company" dataDxfId="8"/>
    <tableColumn id="4" xr3:uid="{BD823847-25FA-4ED6-9522-2E0D205DB30F}" name="Country" dataDxfId="7"/>
    <tableColumn id="5" xr3:uid="{6F23BE4C-EC33-4AAA-9A7E-2F4364E707D6}" name="Market cap 2022 ($m)" dataDxfId="6"/>
    <tableColumn id="6" xr3:uid="{DF50E7C3-472D-48CC-BCC4-717A9961427E}" name="Market cap 2021 ($m)" dataDxfId="5"/>
    <tableColumn id="7" xr3:uid="{7215D3CD-1A21-4252-B93C-D20A7E118E70}" name="Revenues ($m)" dataDxfId="4"/>
    <tableColumn id="8" xr3:uid="{FD40CDF2-515F-491D-A3EE-28DA7E2EEAEF}" name="Net income ($m)" dataDxfId="3"/>
    <tableColumn id="9" xr3:uid="{340BDF45-C6EE-4EEB-9D72-C7265FA8B96A}" name="Sector" dataDxfId="2"/>
    <tableColumn id="10" xr3:uid="{F6437C8E-85AD-4E2F-A2C1-9C57AF7F21CA}" name="% Growth" dataDxfId="1">
      <calculatedColumnFormula>(E2-F2)/F2</calculatedColumnFormula>
    </tableColumn>
    <tableColumn id="11" xr3:uid="{B545C36B-739D-4936-B925-E8DA5C1A62B0}" name="Net Margin %" dataDxfId="0">
      <calculatedColumnFormula>(H2/G2)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BB337-5941-4D3D-BD97-554CACB969A6}">
  <dimension ref="A1:I251"/>
  <sheetViews>
    <sheetView workbookViewId="0">
      <selection activeCell="H52" sqref="H52"/>
    </sheetView>
  </sheetViews>
  <sheetFormatPr defaultRowHeight="14.4" x14ac:dyDescent="0.3"/>
  <cols>
    <col min="1" max="1" width="7.33203125" bestFit="1" customWidth="1"/>
    <col min="2" max="2" width="11.6640625" bestFit="1" customWidth="1"/>
    <col min="3" max="3" width="44.88671875" bestFit="1" customWidth="1"/>
    <col min="4" max="4" width="13.21875" bestFit="1" customWidth="1"/>
    <col min="5" max="6" width="18.44140625" bestFit="1" customWidth="1"/>
    <col min="7" max="7" width="12.77734375" bestFit="1" customWidth="1"/>
    <col min="8" max="8" width="14.33203125" bestFit="1" customWidth="1"/>
    <col min="9" max="9" width="21.109375" bestFit="1" customWidth="1"/>
  </cols>
  <sheetData>
    <row r="1" spans="1:9" x14ac:dyDescent="0.3">
      <c r="A1" t="s">
        <v>0</v>
      </c>
      <c r="B1" t="s">
        <v>1</v>
      </c>
      <c r="C1" t="s">
        <v>2</v>
      </c>
      <c r="D1" t="s">
        <v>3</v>
      </c>
      <c r="E1" t="s">
        <v>4</v>
      </c>
      <c r="F1" t="s">
        <v>5</v>
      </c>
      <c r="G1" t="s">
        <v>6</v>
      </c>
      <c r="H1" t="s">
        <v>7</v>
      </c>
      <c r="I1" t="s">
        <v>8</v>
      </c>
    </row>
    <row r="2" spans="1:9" x14ac:dyDescent="0.3">
      <c r="A2">
        <v>1</v>
      </c>
      <c r="B2">
        <v>1</v>
      </c>
      <c r="C2" t="s">
        <v>9</v>
      </c>
      <c r="D2" t="s">
        <v>10</v>
      </c>
      <c r="E2" s="1">
        <v>49619</v>
      </c>
      <c r="F2" s="1">
        <v>104209</v>
      </c>
      <c r="G2" s="1">
        <v>5934</v>
      </c>
      <c r="H2" s="1">
        <v>5304</v>
      </c>
      <c r="I2" t="s">
        <v>11</v>
      </c>
    </row>
    <row r="3" spans="1:9" x14ac:dyDescent="0.3">
      <c r="A3">
        <v>2</v>
      </c>
      <c r="B3">
        <v>3</v>
      </c>
      <c r="C3" t="s">
        <v>12</v>
      </c>
      <c r="D3" t="s">
        <v>10</v>
      </c>
      <c r="E3" s="1">
        <v>36429</v>
      </c>
      <c r="F3" s="1">
        <v>38666</v>
      </c>
      <c r="G3" s="1">
        <v>14507</v>
      </c>
      <c r="H3" s="1">
        <v>5340</v>
      </c>
      <c r="I3" t="s">
        <v>13</v>
      </c>
    </row>
    <row r="4" spans="1:9" x14ac:dyDescent="0.3">
      <c r="A4">
        <v>3</v>
      </c>
      <c r="B4">
        <v>4</v>
      </c>
      <c r="C4" t="s">
        <v>14</v>
      </c>
      <c r="D4" t="s">
        <v>10</v>
      </c>
      <c r="E4" s="1">
        <v>29739</v>
      </c>
      <c r="F4" s="1">
        <v>19610</v>
      </c>
      <c r="G4" s="1">
        <v>10025</v>
      </c>
      <c r="H4" s="1">
        <v>1785</v>
      </c>
      <c r="I4" t="s">
        <v>15</v>
      </c>
    </row>
    <row r="5" spans="1:9" x14ac:dyDescent="0.3">
      <c r="A5">
        <v>4</v>
      </c>
      <c r="B5">
        <v>13</v>
      </c>
      <c r="C5" t="s">
        <v>16</v>
      </c>
      <c r="D5" t="s">
        <v>10</v>
      </c>
      <c r="E5" s="1">
        <v>24500</v>
      </c>
      <c r="F5" s="1">
        <v>11083</v>
      </c>
      <c r="G5" s="1">
        <v>12281</v>
      </c>
      <c r="H5">
        <v>930</v>
      </c>
      <c r="I5" t="s">
        <v>17</v>
      </c>
    </row>
    <row r="6" spans="1:9" x14ac:dyDescent="0.3">
      <c r="A6">
        <v>5</v>
      </c>
      <c r="B6">
        <v>7</v>
      </c>
      <c r="C6" t="s">
        <v>18</v>
      </c>
      <c r="D6" t="s">
        <v>10</v>
      </c>
      <c r="E6" s="1">
        <v>20915</v>
      </c>
      <c r="F6" s="1">
        <v>13760</v>
      </c>
      <c r="G6" s="1">
        <v>18342</v>
      </c>
      <c r="H6" s="1">
        <v>1737</v>
      </c>
      <c r="I6" t="s">
        <v>15</v>
      </c>
    </row>
    <row r="7" spans="1:9" x14ac:dyDescent="0.3">
      <c r="A7">
        <v>6</v>
      </c>
      <c r="B7">
        <v>5</v>
      </c>
      <c r="C7" t="s">
        <v>19</v>
      </c>
      <c r="D7" t="s">
        <v>10</v>
      </c>
      <c r="E7" s="1">
        <v>20102</v>
      </c>
      <c r="F7" s="1">
        <v>15698</v>
      </c>
      <c r="G7" s="1">
        <v>5985</v>
      </c>
      <c r="H7" s="1">
        <v>1013</v>
      </c>
      <c r="I7" t="s">
        <v>17</v>
      </c>
    </row>
    <row r="8" spans="1:9" x14ac:dyDescent="0.3">
      <c r="A8">
        <v>7</v>
      </c>
      <c r="B8">
        <v>12</v>
      </c>
      <c r="C8" t="s">
        <v>20</v>
      </c>
      <c r="D8" t="s">
        <v>10</v>
      </c>
      <c r="E8" s="1">
        <v>18608</v>
      </c>
      <c r="F8" s="1">
        <v>11122</v>
      </c>
      <c r="G8" s="1">
        <v>2396</v>
      </c>
      <c r="H8">
        <v>574</v>
      </c>
      <c r="I8" t="s">
        <v>15</v>
      </c>
    </row>
    <row r="9" spans="1:9" x14ac:dyDescent="0.3">
      <c r="A9">
        <v>8</v>
      </c>
      <c r="B9">
        <v>18</v>
      </c>
      <c r="C9" t="s">
        <v>21</v>
      </c>
      <c r="D9" t="s">
        <v>10</v>
      </c>
      <c r="E9" s="1">
        <v>15354</v>
      </c>
      <c r="F9" s="1">
        <v>9042</v>
      </c>
      <c r="G9" s="1">
        <v>13099</v>
      </c>
      <c r="H9">
        <v>586</v>
      </c>
      <c r="I9" t="s">
        <v>13</v>
      </c>
    </row>
    <row r="10" spans="1:9" x14ac:dyDescent="0.3">
      <c r="A10">
        <v>9</v>
      </c>
      <c r="B10">
        <v>10</v>
      </c>
      <c r="C10" t="s">
        <v>22</v>
      </c>
      <c r="D10" t="s">
        <v>10</v>
      </c>
      <c r="E10" s="1">
        <v>14446</v>
      </c>
      <c r="F10" s="1">
        <v>13273</v>
      </c>
      <c r="G10" s="1">
        <v>6892</v>
      </c>
      <c r="H10" s="1">
        <v>2249</v>
      </c>
      <c r="I10" t="s">
        <v>13</v>
      </c>
    </row>
    <row r="11" spans="1:9" x14ac:dyDescent="0.3">
      <c r="A11">
        <v>10</v>
      </c>
      <c r="B11">
        <v>22</v>
      </c>
      <c r="C11" t="s">
        <v>23</v>
      </c>
      <c r="D11" t="s">
        <v>10</v>
      </c>
      <c r="E11" s="1">
        <v>13909</v>
      </c>
      <c r="F11" s="1">
        <v>8265</v>
      </c>
      <c r="G11" s="1">
        <v>4195</v>
      </c>
      <c r="H11">
        <v>789</v>
      </c>
      <c r="I11" t="s">
        <v>13</v>
      </c>
    </row>
    <row r="12" spans="1:9" x14ac:dyDescent="0.3">
      <c r="A12">
        <v>11</v>
      </c>
      <c r="B12">
        <v>6</v>
      </c>
      <c r="C12" t="s">
        <v>24</v>
      </c>
      <c r="D12" t="s">
        <v>10</v>
      </c>
      <c r="E12" s="1">
        <v>13062</v>
      </c>
      <c r="F12" s="1">
        <v>14725</v>
      </c>
      <c r="G12" s="1">
        <v>8406</v>
      </c>
      <c r="H12" s="1">
        <v>3051</v>
      </c>
      <c r="I12" t="s">
        <v>13</v>
      </c>
    </row>
    <row r="13" spans="1:9" x14ac:dyDescent="0.3">
      <c r="A13">
        <v>12</v>
      </c>
      <c r="B13">
        <v>9</v>
      </c>
      <c r="C13" t="s">
        <v>25</v>
      </c>
      <c r="D13" t="s">
        <v>26</v>
      </c>
      <c r="E13" s="1">
        <v>11898</v>
      </c>
      <c r="F13" s="1">
        <v>13282</v>
      </c>
      <c r="G13" s="1">
        <v>2430</v>
      </c>
      <c r="H13">
        <v>633</v>
      </c>
      <c r="I13" t="s">
        <v>17</v>
      </c>
    </row>
    <row r="14" spans="1:9" x14ac:dyDescent="0.3">
      <c r="A14">
        <v>13</v>
      </c>
      <c r="B14">
        <v>8</v>
      </c>
      <c r="C14" t="s">
        <v>27</v>
      </c>
      <c r="D14" t="s">
        <v>28</v>
      </c>
      <c r="E14" s="1">
        <v>11782</v>
      </c>
      <c r="F14" s="1">
        <v>13517</v>
      </c>
      <c r="G14" s="1">
        <v>3980</v>
      </c>
      <c r="H14">
        <v>668</v>
      </c>
      <c r="I14" t="s">
        <v>17</v>
      </c>
    </row>
    <row r="15" spans="1:9" x14ac:dyDescent="0.3">
      <c r="A15">
        <v>14</v>
      </c>
      <c r="B15">
        <v>11</v>
      </c>
      <c r="C15" t="s">
        <v>29</v>
      </c>
      <c r="D15" t="s">
        <v>10</v>
      </c>
      <c r="E15" s="1">
        <v>11581</v>
      </c>
      <c r="F15" s="1">
        <v>13008</v>
      </c>
      <c r="G15" s="1">
        <v>11642</v>
      </c>
      <c r="H15" s="1">
        <v>2235</v>
      </c>
      <c r="I15" t="s">
        <v>13</v>
      </c>
    </row>
    <row r="16" spans="1:9" x14ac:dyDescent="0.3">
      <c r="A16">
        <v>15</v>
      </c>
      <c r="B16">
        <v>20</v>
      </c>
      <c r="C16" t="s">
        <v>30</v>
      </c>
      <c r="D16" t="s">
        <v>31</v>
      </c>
      <c r="E16" s="1">
        <v>11203</v>
      </c>
      <c r="F16" s="1">
        <v>8947</v>
      </c>
      <c r="G16" s="1">
        <v>3375</v>
      </c>
      <c r="H16">
        <v>881</v>
      </c>
      <c r="I16" t="s">
        <v>13</v>
      </c>
    </row>
    <row r="17" spans="1:9" x14ac:dyDescent="0.3">
      <c r="A17">
        <v>16</v>
      </c>
      <c r="B17">
        <v>24</v>
      </c>
      <c r="C17" t="s">
        <v>32</v>
      </c>
      <c r="D17" t="s">
        <v>10</v>
      </c>
      <c r="E17" s="1">
        <v>11048</v>
      </c>
      <c r="F17" s="1">
        <v>7239</v>
      </c>
      <c r="G17" s="1">
        <v>9040</v>
      </c>
      <c r="H17" s="1">
        <v>1201</v>
      </c>
      <c r="I17" t="s">
        <v>15</v>
      </c>
    </row>
    <row r="18" spans="1:9" x14ac:dyDescent="0.3">
      <c r="A18">
        <v>17</v>
      </c>
      <c r="B18">
        <v>19</v>
      </c>
      <c r="C18" t="s">
        <v>33</v>
      </c>
      <c r="D18" t="s">
        <v>10</v>
      </c>
      <c r="E18" s="1">
        <v>11003</v>
      </c>
      <c r="F18" s="1">
        <v>8978</v>
      </c>
      <c r="G18" s="1">
        <v>8694</v>
      </c>
      <c r="H18">
        <v>640</v>
      </c>
      <c r="I18" t="s">
        <v>15</v>
      </c>
    </row>
    <row r="19" spans="1:9" x14ac:dyDescent="0.3">
      <c r="A19">
        <v>18</v>
      </c>
      <c r="B19">
        <v>23</v>
      </c>
      <c r="C19" t="s">
        <v>34</v>
      </c>
      <c r="D19" t="s">
        <v>31</v>
      </c>
      <c r="E19" s="1">
        <v>10471</v>
      </c>
      <c r="F19" s="1">
        <v>7963</v>
      </c>
      <c r="G19" s="1">
        <v>4036</v>
      </c>
      <c r="H19">
        <v>729</v>
      </c>
      <c r="I19" t="s">
        <v>17</v>
      </c>
    </row>
    <row r="20" spans="1:9" x14ac:dyDescent="0.3">
      <c r="A20">
        <v>19</v>
      </c>
      <c r="B20">
        <v>15</v>
      </c>
      <c r="C20" t="s">
        <v>35</v>
      </c>
      <c r="D20" t="s">
        <v>28</v>
      </c>
      <c r="E20" s="1">
        <v>10250</v>
      </c>
      <c r="F20" s="1">
        <v>9913</v>
      </c>
      <c r="G20" s="1">
        <v>4425</v>
      </c>
      <c r="H20">
        <v>572</v>
      </c>
      <c r="I20" t="s">
        <v>15</v>
      </c>
    </row>
    <row r="21" spans="1:9" x14ac:dyDescent="0.3">
      <c r="A21">
        <v>20</v>
      </c>
      <c r="B21">
        <v>17</v>
      </c>
      <c r="C21" t="s">
        <v>36</v>
      </c>
      <c r="D21" t="s">
        <v>10</v>
      </c>
      <c r="E21" s="1">
        <v>10032</v>
      </c>
      <c r="F21" s="1">
        <v>9094</v>
      </c>
      <c r="G21" s="1">
        <v>4029</v>
      </c>
      <c r="H21">
        <v>622</v>
      </c>
      <c r="I21" t="s">
        <v>13</v>
      </c>
    </row>
    <row r="22" spans="1:9" x14ac:dyDescent="0.3">
      <c r="A22">
        <v>21</v>
      </c>
      <c r="B22">
        <v>26</v>
      </c>
      <c r="C22" t="s">
        <v>37</v>
      </c>
      <c r="D22" t="s">
        <v>10</v>
      </c>
      <c r="E22" s="1">
        <v>9577</v>
      </c>
      <c r="F22" s="1">
        <v>6292</v>
      </c>
      <c r="G22" s="1">
        <v>10901</v>
      </c>
      <c r="H22">
        <v>305</v>
      </c>
      <c r="I22" t="s">
        <v>11</v>
      </c>
    </row>
    <row r="23" spans="1:9" x14ac:dyDescent="0.3">
      <c r="A23">
        <v>22</v>
      </c>
      <c r="B23">
        <v>28</v>
      </c>
      <c r="C23" t="s">
        <v>38</v>
      </c>
      <c r="D23" t="s">
        <v>10</v>
      </c>
      <c r="E23" s="1">
        <v>8393</v>
      </c>
      <c r="F23" s="1">
        <v>6019</v>
      </c>
      <c r="G23" s="1">
        <v>4501</v>
      </c>
      <c r="H23">
        <v>209</v>
      </c>
      <c r="I23" t="s">
        <v>15</v>
      </c>
    </row>
    <row r="24" spans="1:9" x14ac:dyDescent="0.3">
      <c r="A24">
        <v>23</v>
      </c>
      <c r="B24">
        <v>32</v>
      </c>
      <c r="C24" t="s">
        <v>39</v>
      </c>
      <c r="D24" t="s">
        <v>10</v>
      </c>
      <c r="E24" s="1">
        <v>8153</v>
      </c>
      <c r="F24" s="1">
        <v>4822</v>
      </c>
      <c r="G24" s="1">
        <v>6617</v>
      </c>
      <c r="H24">
        <v>781</v>
      </c>
      <c r="I24" t="s">
        <v>15</v>
      </c>
    </row>
    <row r="25" spans="1:9" x14ac:dyDescent="0.3">
      <c r="A25">
        <v>24</v>
      </c>
      <c r="B25">
        <v>25</v>
      </c>
      <c r="C25" t="s">
        <v>40</v>
      </c>
      <c r="D25" t="s">
        <v>10</v>
      </c>
      <c r="E25" s="1">
        <v>7300</v>
      </c>
      <c r="F25" s="1">
        <v>6497</v>
      </c>
      <c r="G25" s="1">
        <v>7448</v>
      </c>
      <c r="H25">
        <v>200</v>
      </c>
      <c r="I25" t="s">
        <v>41</v>
      </c>
    </row>
    <row r="26" spans="1:9" x14ac:dyDescent="0.3">
      <c r="A26">
        <v>25</v>
      </c>
      <c r="B26">
        <v>16</v>
      </c>
      <c r="C26" t="s">
        <v>42</v>
      </c>
      <c r="D26" t="s">
        <v>31</v>
      </c>
      <c r="E26" s="1">
        <v>6903</v>
      </c>
      <c r="F26" s="1">
        <v>4112</v>
      </c>
      <c r="G26" s="1">
        <v>3888</v>
      </c>
      <c r="H26">
        <v>339</v>
      </c>
      <c r="I26" t="s">
        <v>17</v>
      </c>
    </row>
    <row r="27" spans="1:9" x14ac:dyDescent="0.3">
      <c r="A27">
        <v>26</v>
      </c>
      <c r="B27">
        <v>45</v>
      </c>
      <c r="C27" t="s">
        <v>43</v>
      </c>
      <c r="D27" t="s">
        <v>10</v>
      </c>
      <c r="E27" s="1">
        <v>6716</v>
      </c>
      <c r="F27" s="1">
        <v>2974</v>
      </c>
      <c r="G27" s="1">
        <v>3703</v>
      </c>
      <c r="H27">
        <v>350</v>
      </c>
      <c r="I27" t="s">
        <v>15</v>
      </c>
    </row>
    <row r="28" spans="1:9" x14ac:dyDescent="0.3">
      <c r="A28">
        <v>27</v>
      </c>
      <c r="B28">
        <v>33</v>
      </c>
      <c r="C28" t="s">
        <v>44</v>
      </c>
      <c r="D28" t="s">
        <v>10</v>
      </c>
      <c r="E28" s="1">
        <v>6186</v>
      </c>
      <c r="F28" s="1">
        <v>4462</v>
      </c>
      <c r="G28" s="1">
        <v>2450</v>
      </c>
      <c r="H28">
        <v>311</v>
      </c>
      <c r="I28" t="s">
        <v>45</v>
      </c>
    </row>
    <row r="29" spans="1:9" x14ac:dyDescent="0.3">
      <c r="A29">
        <v>28</v>
      </c>
      <c r="B29">
        <v>21</v>
      </c>
      <c r="C29" t="s">
        <v>46</v>
      </c>
      <c r="D29" t="s">
        <v>10</v>
      </c>
      <c r="E29" s="1">
        <v>5919</v>
      </c>
      <c r="F29" s="1">
        <v>8886</v>
      </c>
      <c r="G29" s="1">
        <v>2118</v>
      </c>
      <c r="H29">
        <v>609</v>
      </c>
      <c r="I29" t="s">
        <v>13</v>
      </c>
    </row>
    <row r="30" spans="1:9" x14ac:dyDescent="0.3">
      <c r="A30">
        <v>29</v>
      </c>
      <c r="B30">
        <v>38</v>
      </c>
      <c r="C30" t="s">
        <v>47</v>
      </c>
      <c r="D30" t="s">
        <v>10</v>
      </c>
      <c r="E30" s="1">
        <v>5886</v>
      </c>
      <c r="F30" s="1">
        <v>4018</v>
      </c>
      <c r="G30" s="1">
        <v>5249</v>
      </c>
      <c r="H30">
        <v>329</v>
      </c>
      <c r="I30" t="s">
        <v>48</v>
      </c>
    </row>
    <row r="31" spans="1:9" x14ac:dyDescent="0.3">
      <c r="A31">
        <v>30</v>
      </c>
      <c r="B31">
        <v>42</v>
      </c>
      <c r="C31" t="s">
        <v>49</v>
      </c>
      <c r="D31" t="s">
        <v>10</v>
      </c>
      <c r="E31" s="1">
        <v>5826</v>
      </c>
      <c r="F31" s="1">
        <v>4002</v>
      </c>
      <c r="G31" s="1">
        <v>4269</v>
      </c>
      <c r="H31">
        <v>230</v>
      </c>
      <c r="I31" t="s">
        <v>15</v>
      </c>
    </row>
    <row r="32" spans="1:9" x14ac:dyDescent="0.3">
      <c r="A32">
        <v>31</v>
      </c>
      <c r="B32">
        <v>27</v>
      </c>
      <c r="C32" t="s">
        <v>50</v>
      </c>
      <c r="D32" t="s">
        <v>31</v>
      </c>
      <c r="E32" s="1">
        <v>5759</v>
      </c>
      <c r="F32" s="1">
        <v>6078</v>
      </c>
      <c r="G32">
        <v>628</v>
      </c>
      <c r="H32">
        <v>224</v>
      </c>
      <c r="I32" t="s">
        <v>13</v>
      </c>
    </row>
    <row r="33" spans="1:9" x14ac:dyDescent="0.3">
      <c r="A33">
        <v>32</v>
      </c>
      <c r="B33">
        <v>29</v>
      </c>
      <c r="C33" t="s">
        <v>51</v>
      </c>
      <c r="D33" t="s">
        <v>28</v>
      </c>
      <c r="E33" s="1">
        <v>5622</v>
      </c>
      <c r="F33" s="1">
        <v>5652</v>
      </c>
      <c r="G33" s="1">
        <v>2953</v>
      </c>
      <c r="H33">
        <v>196</v>
      </c>
      <c r="I33" t="s">
        <v>15</v>
      </c>
    </row>
    <row r="34" spans="1:9" x14ac:dyDescent="0.3">
      <c r="A34">
        <v>33</v>
      </c>
      <c r="B34">
        <v>47</v>
      </c>
      <c r="C34" t="s">
        <v>52</v>
      </c>
      <c r="D34" t="s">
        <v>10</v>
      </c>
      <c r="E34" s="1">
        <v>5471</v>
      </c>
      <c r="F34" s="1">
        <v>3177</v>
      </c>
      <c r="G34" s="1">
        <v>1212</v>
      </c>
      <c r="H34">
        <v>188</v>
      </c>
      <c r="I34" t="s">
        <v>15</v>
      </c>
    </row>
    <row r="35" spans="1:9" x14ac:dyDescent="0.3">
      <c r="A35">
        <v>34</v>
      </c>
      <c r="B35">
        <v>35</v>
      </c>
      <c r="C35" t="s">
        <v>53</v>
      </c>
      <c r="D35" t="s">
        <v>10</v>
      </c>
      <c r="E35" s="1">
        <v>5296</v>
      </c>
      <c r="F35" s="1">
        <v>4223</v>
      </c>
      <c r="G35" s="1">
        <v>2216</v>
      </c>
      <c r="H35">
        <v>757</v>
      </c>
      <c r="I35" t="s">
        <v>54</v>
      </c>
    </row>
    <row r="36" spans="1:9" x14ac:dyDescent="0.3">
      <c r="A36">
        <v>35</v>
      </c>
      <c r="B36">
        <v>40</v>
      </c>
      <c r="C36" t="s">
        <v>55</v>
      </c>
      <c r="D36" t="s">
        <v>10</v>
      </c>
      <c r="E36" s="1">
        <v>5209</v>
      </c>
      <c r="F36" s="1">
        <v>3926</v>
      </c>
      <c r="G36" s="1">
        <v>5729</v>
      </c>
      <c r="H36">
        <v>249</v>
      </c>
      <c r="I36" t="s">
        <v>48</v>
      </c>
    </row>
    <row r="37" spans="1:9" x14ac:dyDescent="0.3">
      <c r="A37">
        <v>36</v>
      </c>
      <c r="B37">
        <v>39</v>
      </c>
      <c r="C37" t="s">
        <v>56</v>
      </c>
      <c r="D37" t="s">
        <v>10</v>
      </c>
      <c r="E37" s="1">
        <v>5160</v>
      </c>
      <c r="F37" s="1">
        <v>4008</v>
      </c>
      <c r="G37" s="1">
        <v>2660</v>
      </c>
      <c r="H37">
        <v>127</v>
      </c>
      <c r="I37" t="s">
        <v>11</v>
      </c>
    </row>
    <row r="38" spans="1:9" x14ac:dyDescent="0.3">
      <c r="A38">
        <v>37</v>
      </c>
      <c r="B38">
        <v>30</v>
      </c>
      <c r="C38" t="s">
        <v>57</v>
      </c>
      <c r="D38" t="s">
        <v>58</v>
      </c>
      <c r="E38" s="1">
        <v>5009</v>
      </c>
      <c r="F38" s="1">
        <v>5432</v>
      </c>
      <c r="G38" s="1">
        <v>3216</v>
      </c>
      <c r="H38">
        <v>845</v>
      </c>
      <c r="I38" t="s">
        <v>15</v>
      </c>
    </row>
    <row r="39" spans="1:9" x14ac:dyDescent="0.3">
      <c r="A39">
        <v>38</v>
      </c>
      <c r="B39">
        <v>31</v>
      </c>
      <c r="C39" t="s">
        <v>59</v>
      </c>
      <c r="D39" t="s">
        <v>60</v>
      </c>
      <c r="E39" s="1">
        <v>4856</v>
      </c>
      <c r="F39" s="1">
        <v>4527</v>
      </c>
      <c r="G39" s="1">
        <v>1762</v>
      </c>
      <c r="H39">
        <v>420</v>
      </c>
      <c r="I39" t="s">
        <v>13</v>
      </c>
    </row>
    <row r="40" spans="1:9" x14ac:dyDescent="0.3">
      <c r="A40">
        <v>39</v>
      </c>
      <c r="B40">
        <v>36</v>
      </c>
      <c r="C40" t="s">
        <v>61</v>
      </c>
      <c r="D40" t="s">
        <v>28</v>
      </c>
      <c r="E40" s="1">
        <v>4623</v>
      </c>
      <c r="F40" s="1">
        <v>4167</v>
      </c>
      <c r="G40">
        <v>911</v>
      </c>
      <c r="H40" t="s">
        <v>62</v>
      </c>
      <c r="I40" t="s">
        <v>13</v>
      </c>
    </row>
    <row r="41" spans="1:9" x14ac:dyDescent="0.3">
      <c r="A41">
        <v>40</v>
      </c>
      <c r="B41">
        <v>37</v>
      </c>
      <c r="C41" t="s">
        <v>63</v>
      </c>
      <c r="D41" t="s">
        <v>10</v>
      </c>
      <c r="E41" s="1">
        <v>4437</v>
      </c>
      <c r="F41" s="1">
        <v>4027</v>
      </c>
      <c r="G41" s="1">
        <v>16755</v>
      </c>
      <c r="H41">
        <v>450</v>
      </c>
      <c r="I41" t="s">
        <v>15</v>
      </c>
    </row>
    <row r="42" spans="1:9" x14ac:dyDescent="0.3">
      <c r="A42">
        <v>41</v>
      </c>
      <c r="B42">
        <v>34</v>
      </c>
      <c r="C42" t="s">
        <v>64</v>
      </c>
      <c r="D42" t="s">
        <v>10</v>
      </c>
      <c r="E42" s="1">
        <v>4400</v>
      </c>
      <c r="F42" s="1">
        <v>4227</v>
      </c>
      <c r="G42" s="1">
        <v>1275</v>
      </c>
      <c r="H42">
        <v>819</v>
      </c>
      <c r="I42" t="s">
        <v>13</v>
      </c>
    </row>
    <row r="43" spans="1:9" x14ac:dyDescent="0.3">
      <c r="A43">
        <v>42</v>
      </c>
      <c r="B43">
        <v>43</v>
      </c>
      <c r="C43" t="s">
        <v>65</v>
      </c>
      <c r="D43" t="s">
        <v>28</v>
      </c>
      <c r="E43" s="1">
        <v>4238</v>
      </c>
      <c r="F43" s="1">
        <v>3563</v>
      </c>
      <c r="G43" s="1">
        <v>2270</v>
      </c>
      <c r="H43">
        <v>223</v>
      </c>
      <c r="I43" t="s">
        <v>15</v>
      </c>
    </row>
    <row r="44" spans="1:9" x14ac:dyDescent="0.3">
      <c r="A44">
        <v>43</v>
      </c>
      <c r="B44">
        <v>44</v>
      </c>
      <c r="C44" t="s">
        <v>66</v>
      </c>
      <c r="D44" t="s">
        <v>10</v>
      </c>
      <c r="E44" s="1">
        <v>4160</v>
      </c>
      <c r="F44" s="1">
        <v>3516</v>
      </c>
      <c r="G44" s="1">
        <v>5245</v>
      </c>
      <c r="H44">
        <v>270</v>
      </c>
      <c r="I44" t="s">
        <v>11</v>
      </c>
    </row>
    <row r="45" spans="1:9" x14ac:dyDescent="0.3">
      <c r="A45">
        <v>44</v>
      </c>
      <c r="B45">
        <v>41</v>
      </c>
      <c r="C45" t="s">
        <v>67</v>
      </c>
      <c r="D45" t="s">
        <v>10</v>
      </c>
      <c r="E45" s="1">
        <v>3989</v>
      </c>
      <c r="F45" s="1">
        <v>3864</v>
      </c>
      <c r="G45" s="1">
        <v>3260</v>
      </c>
      <c r="H45">
        <v>132</v>
      </c>
      <c r="I45" t="s">
        <v>17</v>
      </c>
    </row>
    <row r="46" spans="1:9" x14ac:dyDescent="0.3">
      <c r="A46">
        <v>45</v>
      </c>
      <c r="B46">
        <v>46</v>
      </c>
      <c r="C46" t="s">
        <v>68</v>
      </c>
      <c r="D46" t="s">
        <v>10</v>
      </c>
      <c r="E46" s="1">
        <v>3912</v>
      </c>
      <c r="F46" s="1">
        <v>3457</v>
      </c>
      <c r="G46" s="1">
        <v>1347</v>
      </c>
      <c r="H46">
        <v>162</v>
      </c>
      <c r="I46" t="s">
        <v>11</v>
      </c>
    </row>
    <row r="47" spans="1:9" x14ac:dyDescent="0.3">
      <c r="A47">
        <v>46</v>
      </c>
      <c r="B47" t="s">
        <v>69</v>
      </c>
      <c r="C47" t="s">
        <v>70</v>
      </c>
      <c r="D47" t="s">
        <v>71</v>
      </c>
      <c r="E47" s="1">
        <v>3793</v>
      </c>
      <c r="F47" s="1">
        <v>4364</v>
      </c>
      <c r="G47" s="1">
        <v>1072</v>
      </c>
      <c r="H47">
        <v>352</v>
      </c>
      <c r="I47" t="s">
        <v>15</v>
      </c>
    </row>
    <row r="48" spans="1:9" x14ac:dyDescent="0.3">
      <c r="A48">
        <v>47</v>
      </c>
      <c r="B48">
        <v>131</v>
      </c>
      <c r="C48" t="s">
        <v>72</v>
      </c>
      <c r="D48" t="s">
        <v>73</v>
      </c>
      <c r="E48" s="1">
        <v>3479</v>
      </c>
      <c r="F48">
        <v>968</v>
      </c>
      <c r="G48">
        <v>561</v>
      </c>
      <c r="H48">
        <v>17</v>
      </c>
      <c r="I48" t="s">
        <v>17</v>
      </c>
    </row>
    <row r="49" spans="1:9" x14ac:dyDescent="0.3">
      <c r="A49">
        <v>48</v>
      </c>
      <c r="B49">
        <v>49</v>
      </c>
      <c r="C49" t="s">
        <v>74</v>
      </c>
      <c r="D49" t="s">
        <v>10</v>
      </c>
      <c r="E49" s="1">
        <v>3456</v>
      </c>
      <c r="F49" s="1">
        <v>3067</v>
      </c>
      <c r="G49">
        <v>818</v>
      </c>
      <c r="H49" t="s">
        <v>75</v>
      </c>
      <c r="I49" t="s">
        <v>15</v>
      </c>
    </row>
    <row r="50" spans="1:9" x14ac:dyDescent="0.3">
      <c r="A50">
        <v>49</v>
      </c>
      <c r="B50">
        <v>50</v>
      </c>
      <c r="C50" t="s">
        <v>76</v>
      </c>
      <c r="D50" t="s">
        <v>10</v>
      </c>
      <c r="E50" s="1">
        <v>3339</v>
      </c>
      <c r="F50" s="1">
        <v>2753</v>
      </c>
      <c r="G50" s="1">
        <v>2133</v>
      </c>
      <c r="H50" t="s">
        <v>77</v>
      </c>
      <c r="I50" t="s">
        <v>48</v>
      </c>
    </row>
    <row r="51" spans="1:9" x14ac:dyDescent="0.3">
      <c r="A51">
        <v>50</v>
      </c>
      <c r="B51">
        <v>63</v>
      </c>
      <c r="C51" t="s">
        <v>78</v>
      </c>
      <c r="D51" t="s">
        <v>10</v>
      </c>
      <c r="E51" s="1">
        <v>3194</v>
      </c>
      <c r="F51" s="1">
        <v>1963</v>
      </c>
      <c r="G51" s="1">
        <v>1111</v>
      </c>
      <c r="H51">
        <v>440</v>
      </c>
      <c r="I51" t="s">
        <v>13</v>
      </c>
    </row>
    <row r="52" spans="1:9" x14ac:dyDescent="0.3">
      <c r="A52">
        <v>51</v>
      </c>
      <c r="B52">
        <v>54</v>
      </c>
      <c r="C52" t="s">
        <v>79</v>
      </c>
      <c r="D52" t="s">
        <v>10</v>
      </c>
      <c r="E52" s="1">
        <v>3117</v>
      </c>
      <c r="F52" s="1">
        <v>2612</v>
      </c>
      <c r="G52" s="1">
        <v>2856</v>
      </c>
      <c r="H52">
        <v>330</v>
      </c>
      <c r="I52" t="s">
        <v>13</v>
      </c>
    </row>
    <row r="53" spans="1:9" x14ac:dyDescent="0.3">
      <c r="A53">
        <v>52</v>
      </c>
      <c r="B53">
        <v>109</v>
      </c>
      <c r="C53" t="s">
        <v>80</v>
      </c>
      <c r="D53" t="s">
        <v>10</v>
      </c>
      <c r="E53" s="1">
        <v>3095</v>
      </c>
      <c r="F53" s="1">
        <v>2999</v>
      </c>
      <c r="G53" s="1">
        <v>1010</v>
      </c>
      <c r="H53">
        <v>202</v>
      </c>
      <c r="I53" t="s">
        <v>15</v>
      </c>
    </row>
    <row r="54" spans="1:9" x14ac:dyDescent="0.3">
      <c r="A54">
        <v>53</v>
      </c>
      <c r="B54">
        <v>210</v>
      </c>
      <c r="C54" t="s">
        <v>81</v>
      </c>
      <c r="D54" t="s">
        <v>10</v>
      </c>
      <c r="E54" s="1">
        <v>2977</v>
      </c>
      <c r="F54" s="1">
        <v>1695</v>
      </c>
      <c r="G54">
        <v>13</v>
      </c>
      <c r="H54">
        <v>59</v>
      </c>
      <c r="I54" t="s">
        <v>15</v>
      </c>
    </row>
    <row r="55" spans="1:9" x14ac:dyDescent="0.3">
      <c r="A55">
        <v>54</v>
      </c>
      <c r="B55">
        <v>51</v>
      </c>
      <c r="C55" t="s">
        <v>82</v>
      </c>
      <c r="D55" t="s">
        <v>28</v>
      </c>
      <c r="E55" s="1">
        <v>2766</v>
      </c>
      <c r="F55" s="1">
        <v>2752</v>
      </c>
      <c r="G55">
        <v>459</v>
      </c>
      <c r="H55">
        <v>135</v>
      </c>
      <c r="I55" t="s">
        <v>13</v>
      </c>
    </row>
    <row r="56" spans="1:9" x14ac:dyDescent="0.3">
      <c r="A56">
        <v>55</v>
      </c>
      <c r="B56">
        <v>59</v>
      </c>
      <c r="C56" t="s">
        <v>83</v>
      </c>
      <c r="D56" t="s">
        <v>84</v>
      </c>
      <c r="E56" s="1">
        <v>2680</v>
      </c>
      <c r="F56" s="1">
        <v>2311</v>
      </c>
      <c r="G56" s="1">
        <v>2405</v>
      </c>
      <c r="H56">
        <v>380</v>
      </c>
      <c r="I56" t="s">
        <v>17</v>
      </c>
    </row>
    <row r="57" spans="1:9" x14ac:dyDescent="0.3">
      <c r="A57">
        <v>56</v>
      </c>
      <c r="B57">
        <v>53</v>
      </c>
      <c r="C57" t="s">
        <v>85</v>
      </c>
      <c r="D57" t="s">
        <v>31</v>
      </c>
      <c r="E57" s="1">
        <v>2658</v>
      </c>
      <c r="F57" s="1">
        <v>2662</v>
      </c>
      <c r="G57">
        <v>858</v>
      </c>
      <c r="H57">
        <v>98</v>
      </c>
      <c r="I57" t="s">
        <v>11</v>
      </c>
    </row>
    <row r="58" spans="1:9" x14ac:dyDescent="0.3">
      <c r="A58">
        <v>57</v>
      </c>
      <c r="B58">
        <v>72</v>
      </c>
      <c r="C58" t="s">
        <v>86</v>
      </c>
      <c r="D58" t="s">
        <v>10</v>
      </c>
      <c r="E58" s="1">
        <v>2641</v>
      </c>
      <c r="F58" s="1">
        <v>1759</v>
      </c>
      <c r="G58" s="1">
        <v>1833</v>
      </c>
      <c r="H58">
        <v>126</v>
      </c>
      <c r="I58" t="s">
        <v>11</v>
      </c>
    </row>
    <row r="59" spans="1:9" x14ac:dyDescent="0.3">
      <c r="A59">
        <v>58</v>
      </c>
      <c r="B59">
        <v>55</v>
      </c>
      <c r="C59" t="s">
        <v>87</v>
      </c>
      <c r="D59" t="s">
        <v>28</v>
      </c>
      <c r="E59" s="1">
        <v>2614</v>
      </c>
      <c r="F59" s="1">
        <v>2514</v>
      </c>
      <c r="G59">
        <v>821</v>
      </c>
      <c r="H59">
        <v>93</v>
      </c>
      <c r="I59" t="s">
        <v>88</v>
      </c>
    </row>
    <row r="60" spans="1:9" x14ac:dyDescent="0.3">
      <c r="A60">
        <v>59</v>
      </c>
      <c r="B60" t="s">
        <v>69</v>
      </c>
      <c r="C60" t="s">
        <v>89</v>
      </c>
      <c r="D60" t="s">
        <v>31</v>
      </c>
      <c r="E60" s="1">
        <v>2575</v>
      </c>
      <c r="F60" t="s">
        <v>62</v>
      </c>
      <c r="G60">
        <v>814</v>
      </c>
      <c r="H60">
        <v>183</v>
      </c>
      <c r="I60" t="s">
        <v>11</v>
      </c>
    </row>
    <row r="61" spans="1:9" x14ac:dyDescent="0.3">
      <c r="A61">
        <v>60</v>
      </c>
      <c r="B61">
        <v>87</v>
      </c>
      <c r="C61" t="s">
        <v>90</v>
      </c>
      <c r="D61" t="s">
        <v>10</v>
      </c>
      <c r="E61" s="1">
        <v>2440</v>
      </c>
      <c r="F61" s="1">
        <v>1414</v>
      </c>
      <c r="G61">
        <v>448</v>
      </c>
      <c r="H61">
        <v>155</v>
      </c>
      <c r="I61" t="s">
        <v>15</v>
      </c>
    </row>
    <row r="62" spans="1:9" x14ac:dyDescent="0.3">
      <c r="A62">
        <v>61</v>
      </c>
      <c r="B62">
        <v>56</v>
      </c>
      <c r="C62" t="s">
        <v>91</v>
      </c>
      <c r="D62" t="s">
        <v>28</v>
      </c>
      <c r="E62" s="1">
        <v>2378</v>
      </c>
      <c r="F62" s="1">
        <v>2512</v>
      </c>
      <c r="G62" s="1">
        <v>1013</v>
      </c>
      <c r="H62">
        <v>85</v>
      </c>
      <c r="I62" t="s">
        <v>11</v>
      </c>
    </row>
    <row r="63" spans="1:9" x14ac:dyDescent="0.3">
      <c r="A63">
        <v>62</v>
      </c>
      <c r="B63">
        <v>66</v>
      </c>
      <c r="C63" t="s">
        <v>92</v>
      </c>
      <c r="D63" t="s">
        <v>10</v>
      </c>
      <c r="E63" s="1">
        <v>2340</v>
      </c>
      <c r="F63" s="1">
        <v>1838</v>
      </c>
      <c r="G63" s="1">
        <v>1813</v>
      </c>
      <c r="H63">
        <v>112</v>
      </c>
      <c r="I63" t="s">
        <v>45</v>
      </c>
    </row>
    <row r="64" spans="1:9" x14ac:dyDescent="0.3">
      <c r="A64">
        <v>63</v>
      </c>
      <c r="B64">
        <v>70</v>
      </c>
      <c r="C64" t="s">
        <v>93</v>
      </c>
      <c r="D64" t="s">
        <v>10</v>
      </c>
      <c r="E64" s="1">
        <v>2279</v>
      </c>
      <c r="F64" s="1">
        <v>1696</v>
      </c>
      <c r="G64" s="1">
        <v>8458</v>
      </c>
      <c r="H64">
        <v>140</v>
      </c>
      <c r="I64" t="s">
        <v>48</v>
      </c>
    </row>
    <row r="65" spans="1:9" x14ac:dyDescent="0.3">
      <c r="A65">
        <v>64</v>
      </c>
      <c r="B65">
        <v>65</v>
      </c>
      <c r="C65" t="s">
        <v>94</v>
      </c>
      <c r="D65" t="s">
        <v>10</v>
      </c>
      <c r="E65" s="1">
        <v>2277</v>
      </c>
      <c r="F65" s="1">
        <v>1901</v>
      </c>
      <c r="G65" s="1">
        <v>1924</v>
      </c>
      <c r="H65">
        <v>186</v>
      </c>
      <c r="I65" t="s">
        <v>15</v>
      </c>
    </row>
    <row r="66" spans="1:9" x14ac:dyDescent="0.3">
      <c r="A66">
        <v>65</v>
      </c>
      <c r="B66">
        <v>91</v>
      </c>
      <c r="C66" t="s">
        <v>95</v>
      </c>
      <c r="D66" t="s">
        <v>10</v>
      </c>
      <c r="E66" s="1">
        <v>2244</v>
      </c>
      <c r="F66" s="1">
        <v>1337</v>
      </c>
      <c r="G66" s="1">
        <v>1591</v>
      </c>
      <c r="H66">
        <v>40</v>
      </c>
      <c r="I66" t="s">
        <v>11</v>
      </c>
    </row>
    <row r="67" spans="1:9" x14ac:dyDescent="0.3">
      <c r="A67">
        <v>66</v>
      </c>
      <c r="B67">
        <v>57</v>
      </c>
      <c r="C67" t="s">
        <v>96</v>
      </c>
      <c r="D67" t="s">
        <v>10</v>
      </c>
      <c r="E67" s="1">
        <v>2237</v>
      </c>
      <c r="F67" s="1">
        <v>2477</v>
      </c>
      <c r="G67" s="1">
        <v>8791</v>
      </c>
      <c r="H67">
        <v>153</v>
      </c>
      <c r="I67" t="s">
        <v>11</v>
      </c>
    </row>
    <row r="68" spans="1:9" x14ac:dyDescent="0.3">
      <c r="A68">
        <v>67</v>
      </c>
      <c r="B68">
        <v>75</v>
      </c>
      <c r="C68" t="s">
        <v>97</v>
      </c>
      <c r="D68" t="s">
        <v>10</v>
      </c>
      <c r="E68" s="1">
        <v>2208</v>
      </c>
      <c r="F68" s="1">
        <v>1721</v>
      </c>
      <c r="G68" s="1">
        <v>5265</v>
      </c>
      <c r="H68">
        <v>13</v>
      </c>
      <c r="I68" t="s">
        <v>13</v>
      </c>
    </row>
    <row r="69" spans="1:9" x14ac:dyDescent="0.3">
      <c r="A69">
        <v>68</v>
      </c>
      <c r="B69">
        <v>130</v>
      </c>
      <c r="C69" t="s">
        <v>98</v>
      </c>
      <c r="D69" t="s">
        <v>73</v>
      </c>
      <c r="E69" s="1">
        <v>2206</v>
      </c>
      <c r="F69">
        <v>703</v>
      </c>
      <c r="G69">
        <v>599</v>
      </c>
      <c r="H69">
        <v>99</v>
      </c>
      <c r="I69" t="s">
        <v>11</v>
      </c>
    </row>
    <row r="70" spans="1:9" x14ac:dyDescent="0.3">
      <c r="A70">
        <v>69</v>
      </c>
      <c r="B70">
        <v>60</v>
      </c>
      <c r="C70" t="s">
        <v>99</v>
      </c>
      <c r="D70" t="s">
        <v>58</v>
      </c>
      <c r="E70" s="1">
        <v>2122</v>
      </c>
      <c r="F70" s="1">
        <v>2222</v>
      </c>
      <c r="G70" s="1">
        <v>2174</v>
      </c>
      <c r="H70">
        <v>474</v>
      </c>
      <c r="I70" t="s">
        <v>15</v>
      </c>
    </row>
    <row r="71" spans="1:9" x14ac:dyDescent="0.3">
      <c r="A71">
        <v>70</v>
      </c>
      <c r="B71">
        <v>52</v>
      </c>
      <c r="C71" t="s">
        <v>100</v>
      </c>
      <c r="D71" t="s">
        <v>10</v>
      </c>
      <c r="E71" s="1">
        <v>2066</v>
      </c>
      <c r="F71" s="1">
        <v>2709</v>
      </c>
      <c r="G71" s="1">
        <v>2087</v>
      </c>
      <c r="H71">
        <v>120</v>
      </c>
      <c r="I71" t="s">
        <v>11</v>
      </c>
    </row>
    <row r="72" spans="1:9" x14ac:dyDescent="0.3">
      <c r="A72">
        <v>71</v>
      </c>
      <c r="B72">
        <v>84</v>
      </c>
      <c r="C72" t="s">
        <v>101</v>
      </c>
      <c r="D72" t="s">
        <v>28</v>
      </c>
      <c r="E72" s="1">
        <v>2040</v>
      </c>
      <c r="F72" s="1">
        <v>1462</v>
      </c>
      <c r="G72">
        <v>825</v>
      </c>
      <c r="H72">
        <v>96</v>
      </c>
      <c r="I72" t="s">
        <v>13</v>
      </c>
    </row>
    <row r="73" spans="1:9" x14ac:dyDescent="0.3">
      <c r="A73">
        <v>72</v>
      </c>
      <c r="B73">
        <v>73</v>
      </c>
      <c r="C73" t="s">
        <v>102</v>
      </c>
      <c r="D73" t="s">
        <v>28</v>
      </c>
      <c r="E73" s="1">
        <v>2014</v>
      </c>
      <c r="F73" s="1">
        <v>1751</v>
      </c>
      <c r="G73">
        <v>399</v>
      </c>
      <c r="H73" t="s">
        <v>62</v>
      </c>
      <c r="I73" t="s">
        <v>103</v>
      </c>
    </row>
    <row r="74" spans="1:9" x14ac:dyDescent="0.3">
      <c r="A74">
        <v>73</v>
      </c>
      <c r="B74">
        <v>69</v>
      </c>
      <c r="C74" t="s">
        <v>104</v>
      </c>
      <c r="D74" t="s">
        <v>10</v>
      </c>
      <c r="E74" s="1">
        <v>1815</v>
      </c>
      <c r="F74" s="1">
        <v>1796</v>
      </c>
      <c r="G74" s="1">
        <v>5732</v>
      </c>
      <c r="H74">
        <v>59</v>
      </c>
      <c r="I74" t="s">
        <v>11</v>
      </c>
    </row>
    <row r="75" spans="1:9" x14ac:dyDescent="0.3">
      <c r="A75">
        <v>74</v>
      </c>
      <c r="B75">
        <v>71</v>
      </c>
      <c r="C75" t="s">
        <v>105</v>
      </c>
      <c r="D75" t="s">
        <v>10</v>
      </c>
      <c r="E75" s="1">
        <v>1774</v>
      </c>
      <c r="F75" s="1">
        <v>1766</v>
      </c>
      <c r="G75" s="1">
        <v>6788</v>
      </c>
      <c r="H75">
        <v>29</v>
      </c>
      <c r="I75" t="s">
        <v>15</v>
      </c>
    </row>
    <row r="76" spans="1:9" x14ac:dyDescent="0.3">
      <c r="A76">
        <v>75</v>
      </c>
      <c r="B76">
        <v>81</v>
      </c>
      <c r="C76" t="s">
        <v>106</v>
      </c>
      <c r="D76" t="s">
        <v>28</v>
      </c>
      <c r="E76" s="1">
        <v>1740</v>
      </c>
      <c r="F76" s="1">
        <v>1504</v>
      </c>
      <c r="G76" s="1">
        <v>1110</v>
      </c>
      <c r="H76">
        <v>60</v>
      </c>
      <c r="I76" t="s">
        <v>15</v>
      </c>
    </row>
    <row r="77" spans="1:9" x14ac:dyDescent="0.3">
      <c r="A77">
        <v>76</v>
      </c>
      <c r="B77">
        <v>68</v>
      </c>
      <c r="C77" t="s">
        <v>107</v>
      </c>
      <c r="D77" t="s">
        <v>108</v>
      </c>
      <c r="E77" s="1">
        <v>1726</v>
      </c>
      <c r="F77" s="1">
        <v>1806</v>
      </c>
      <c r="G77" s="1">
        <v>1304</v>
      </c>
      <c r="H77">
        <v>338</v>
      </c>
      <c r="I77" t="s">
        <v>17</v>
      </c>
    </row>
    <row r="78" spans="1:9" x14ac:dyDescent="0.3">
      <c r="A78">
        <v>77</v>
      </c>
      <c r="B78">
        <v>94</v>
      </c>
      <c r="C78" t="s">
        <v>109</v>
      </c>
      <c r="D78" t="s">
        <v>71</v>
      </c>
      <c r="E78" s="1">
        <v>1723</v>
      </c>
      <c r="F78" s="1">
        <v>1288</v>
      </c>
      <c r="G78">
        <v>662</v>
      </c>
      <c r="H78">
        <v>204</v>
      </c>
      <c r="I78" t="s">
        <v>15</v>
      </c>
    </row>
    <row r="79" spans="1:9" x14ac:dyDescent="0.3">
      <c r="A79">
        <v>78</v>
      </c>
      <c r="B79">
        <v>76</v>
      </c>
      <c r="C79" t="s">
        <v>110</v>
      </c>
      <c r="D79" t="s">
        <v>58</v>
      </c>
      <c r="E79" s="1">
        <v>1717</v>
      </c>
      <c r="F79" s="1">
        <v>1716</v>
      </c>
      <c r="G79">
        <v>562</v>
      </c>
      <c r="H79">
        <v>187</v>
      </c>
      <c r="I79" t="s">
        <v>13</v>
      </c>
    </row>
    <row r="80" spans="1:9" x14ac:dyDescent="0.3">
      <c r="A80">
        <v>79</v>
      </c>
      <c r="B80" t="s">
        <v>69</v>
      </c>
      <c r="C80" t="s">
        <v>111</v>
      </c>
      <c r="D80" t="s">
        <v>10</v>
      </c>
      <c r="E80" s="1">
        <v>1715</v>
      </c>
      <c r="F80" t="s">
        <v>62</v>
      </c>
      <c r="G80" s="1">
        <v>1109</v>
      </c>
      <c r="H80" t="s">
        <v>112</v>
      </c>
      <c r="I80" t="s">
        <v>54</v>
      </c>
    </row>
    <row r="81" spans="1:9" x14ac:dyDescent="0.3">
      <c r="A81">
        <v>80</v>
      </c>
      <c r="B81">
        <v>80</v>
      </c>
      <c r="C81" t="s">
        <v>113</v>
      </c>
      <c r="D81" t="s">
        <v>28</v>
      </c>
      <c r="E81" s="1">
        <v>1709</v>
      </c>
      <c r="F81" s="1">
        <v>1522</v>
      </c>
      <c r="G81">
        <v>660</v>
      </c>
      <c r="H81">
        <v>73</v>
      </c>
      <c r="I81" t="s">
        <v>54</v>
      </c>
    </row>
    <row r="82" spans="1:9" x14ac:dyDescent="0.3">
      <c r="A82">
        <v>81</v>
      </c>
      <c r="B82">
        <v>74</v>
      </c>
      <c r="C82" t="s">
        <v>114</v>
      </c>
      <c r="D82" t="s">
        <v>31</v>
      </c>
      <c r="E82" s="1">
        <v>1691</v>
      </c>
      <c r="F82" s="1">
        <v>1729</v>
      </c>
      <c r="G82" s="1">
        <v>1786</v>
      </c>
      <c r="H82">
        <v>596</v>
      </c>
      <c r="I82" t="s">
        <v>15</v>
      </c>
    </row>
    <row r="83" spans="1:9" x14ac:dyDescent="0.3">
      <c r="A83">
        <v>82</v>
      </c>
      <c r="B83">
        <v>85</v>
      </c>
      <c r="C83" t="s">
        <v>115</v>
      </c>
      <c r="D83" t="s">
        <v>10</v>
      </c>
      <c r="E83" s="1">
        <v>1679</v>
      </c>
      <c r="F83" s="1">
        <v>1435</v>
      </c>
      <c r="G83" s="1">
        <v>1129</v>
      </c>
      <c r="H83">
        <v>127</v>
      </c>
      <c r="I83" t="s">
        <v>48</v>
      </c>
    </row>
    <row r="84" spans="1:9" x14ac:dyDescent="0.3">
      <c r="A84">
        <v>83</v>
      </c>
      <c r="B84">
        <v>77</v>
      </c>
      <c r="C84" t="s">
        <v>116</v>
      </c>
      <c r="D84" t="s">
        <v>10</v>
      </c>
      <c r="E84" s="1">
        <v>1658</v>
      </c>
      <c r="F84" s="1">
        <v>1700</v>
      </c>
      <c r="G84">
        <v>861</v>
      </c>
      <c r="H84">
        <v>107</v>
      </c>
      <c r="I84" t="s">
        <v>11</v>
      </c>
    </row>
    <row r="85" spans="1:9" x14ac:dyDescent="0.3">
      <c r="A85">
        <v>84</v>
      </c>
      <c r="B85">
        <v>92</v>
      </c>
      <c r="C85" t="s">
        <v>117</v>
      </c>
      <c r="D85" t="s">
        <v>26</v>
      </c>
      <c r="E85" s="1">
        <v>1657</v>
      </c>
      <c r="F85" s="1">
        <v>1310</v>
      </c>
      <c r="G85" s="1">
        <v>1254</v>
      </c>
      <c r="H85">
        <v>357</v>
      </c>
      <c r="I85" t="s">
        <v>15</v>
      </c>
    </row>
    <row r="86" spans="1:9" x14ac:dyDescent="0.3">
      <c r="A86">
        <v>85</v>
      </c>
      <c r="B86">
        <v>99</v>
      </c>
      <c r="C86" t="s">
        <v>118</v>
      </c>
      <c r="D86" t="s">
        <v>58</v>
      </c>
      <c r="E86" s="1">
        <v>1633</v>
      </c>
      <c r="F86" s="1">
        <v>1208</v>
      </c>
      <c r="G86" s="1">
        <v>2018</v>
      </c>
      <c r="H86">
        <v>254</v>
      </c>
      <c r="I86" t="s">
        <v>17</v>
      </c>
    </row>
    <row r="87" spans="1:9" x14ac:dyDescent="0.3">
      <c r="A87">
        <v>86</v>
      </c>
      <c r="B87">
        <v>97</v>
      </c>
      <c r="C87" t="s">
        <v>119</v>
      </c>
      <c r="D87" t="s">
        <v>10</v>
      </c>
      <c r="E87" s="1">
        <v>1596</v>
      </c>
      <c r="F87" s="1">
        <v>1229</v>
      </c>
      <c r="G87" s="1">
        <v>2802</v>
      </c>
      <c r="H87">
        <v>187</v>
      </c>
      <c r="I87" t="s">
        <v>103</v>
      </c>
    </row>
    <row r="88" spans="1:9" x14ac:dyDescent="0.3">
      <c r="A88">
        <v>87</v>
      </c>
      <c r="B88">
        <v>89</v>
      </c>
      <c r="C88" t="s">
        <v>120</v>
      </c>
      <c r="D88" t="s">
        <v>10</v>
      </c>
      <c r="E88" s="1">
        <v>1586</v>
      </c>
      <c r="F88" s="1">
        <v>1389</v>
      </c>
      <c r="G88" s="1">
        <v>1429</v>
      </c>
      <c r="H88">
        <v>52</v>
      </c>
      <c r="I88" t="s">
        <v>45</v>
      </c>
    </row>
    <row r="89" spans="1:9" x14ac:dyDescent="0.3">
      <c r="A89">
        <v>88</v>
      </c>
      <c r="B89">
        <v>58</v>
      </c>
      <c r="C89" t="s">
        <v>121</v>
      </c>
      <c r="D89" t="s">
        <v>31</v>
      </c>
      <c r="E89" s="1">
        <v>1585</v>
      </c>
      <c r="F89" s="1">
        <v>2361</v>
      </c>
      <c r="G89">
        <v>983</v>
      </c>
      <c r="H89">
        <v>420</v>
      </c>
      <c r="I89" t="s">
        <v>15</v>
      </c>
    </row>
    <row r="90" spans="1:9" x14ac:dyDescent="0.3">
      <c r="A90">
        <v>89</v>
      </c>
      <c r="B90">
        <v>96</v>
      </c>
      <c r="C90" t="s">
        <v>122</v>
      </c>
      <c r="D90" t="s">
        <v>28</v>
      </c>
      <c r="E90" s="1">
        <v>1568</v>
      </c>
      <c r="F90" s="1">
        <v>1253</v>
      </c>
      <c r="G90" s="1">
        <v>1431</v>
      </c>
      <c r="H90" t="s">
        <v>62</v>
      </c>
      <c r="I90" t="s">
        <v>48</v>
      </c>
    </row>
    <row r="91" spans="1:9" x14ac:dyDescent="0.3">
      <c r="A91">
        <v>90</v>
      </c>
      <c r="B91">
        <v>83</v>
      </c>
      <c r="C91" t="s">
        <v>123</v>
      </c>
      <c r="D91" t="s">
        <v>10</v>
      </c>
      <c r="E91" s="1">
        <v>1556</v>
      </c>
      <c r="F91" s="1">
        <v>1466</v>
      </c>
      <c r="G91" s="1">
        <v>2641</v>
      </c>
      <c r="H91">
        <v>148</v>
      </c>
      <c r="I91" t="s">
        <v>17</v>
      </c>
    </row>
    <row r="92" spans="1:9" x14ac:dyDescent="0.3">
      <c r="A92">
        <v>91</v>
      </c>
      <c r="B92" t="s">
        <v>69</v>
      </c>
      <c r="C92" t="s">
        <v>124</v>
      </c>
      <c r="D92" t="s">
        <v>58</v>
      </c>
      <c r="E92" s="1">
        <v>1550</v>
      </c>
      <c r="F92" t="s">
        <v>62</v>
      </c>
      <c r="G92" t="s">
        <v>62</v>
      </c>
      <c r="H92" t="s">
        <v>62</v>
      </c>
      <c r="I92" t="s">
        <v>15</v>
      </c>
    </row>
    <row r="93" spans="1:9" x14ac:dyDescent="0.3">
      <c r="A93">
        <v>92</v>
      </c>
      <c r="B93">
        <v>82</v>
      </c>
      <c r="C93" t="s">
        <v>125</v>
      </c>
      <c r="D93" t="s">
        <v>10</v>
      </c>
      <c r="E93" s="1">
        <v>1508</v>
      </c>
      <c r="F93" s="1">
        <v>1504</v>
      </c>
      <c r="G93">
        <v>593</v>
      </c>
      <c r="H93">
        <v>111</v>
      </c>
      <c r="I93" t="s">
        <v>48</v>
      </c>
    </row>
    <row r="94" spans="1:9" x14ac:dyDescent="0.3">
      <c r="A94">
        <v>93</v>
      </c>
      <c r="B94">
        <v>79</v>
      </c>
      <c r="C94" t="s">
        <v>126</v>
      </c>
      <c r="D94" t="s">
        <v>58</v>
      </c>
      <c r="E94" s="1">
        <v>1478</v>
      </c>
      <c r="F94" s="1">
        <v>1635</v>
      </c>
      <c r="G94" s="1">
        <v>1018</v>
      </c>
      <c r="H94">
        <v>272</v>
      </c>
      <c r="I94" t="s">
        <v>11</v>
      </c>
    </row>
    <row r="95" spans="1:9" x14ac:dyDescent="0.3">
      <c r="A95">
        <v>94</v>
      </c>
      <c r="B95">
        <v>105</v>
      </c>
      <c r="C95" t="s">
        <v>127</v>
      </c>
      <c r="D95" t="s">
        <v>10</v>
      </c>
      <c r="E95" s="1">
        <v>1464</v>
      </c>
      <c r="F95" s="1">
        <v>1071</v>
      </c>
      <c r="G95">
        <v>129</v>
      </c>
      <c r="H95">
        <v>539</v>
      </c>
      <c r="I95" t="s">
        <v>15</v>
      </c>
    </row>
    <row r="96" spans="1:9" x14ac:dyDescent="0.3">
      <c r="A96">
        <v>95</v>
      </c>
      <c r="B96">
        <v>67</v>
      </c>
      <c r="C96" t="s">
        <v>128</v>
      </c>
      <c r="D96" t="s">
        <v>129</v>
      </c>
      <c r="E96" s="1">
        <v>1441</v>
      </c>
      <c r="F96" s="1">
        <v>1830</v>
      </c>
      <c r="G96">
        <v>429</v>
      </c>
      <c r="H96">
        <v>75</v>
      </c>
      <c r="I96" t="s">
        <v>11</v>
      </c>
    </row>
    <row r="97" spans="1:9" x14ac:dyDescent="0.3">
      <c r="A97">
        <v>96</v>
      </c>
      <c r="B97">
        <v>100</v>
      </c>
      <c r="C97" t="s">
        <v>130</v>
      </c>
      <c r="D97" t="s">
        <v>58</v>
      </c>
      <c r="E97" s="1">
        <v>1433</v>
      </c>
      <c r="F97" s="1">
        <v>1181</v>
      </c>
      <c r="G97">
        <v>832</v>
      </c>
      <c r="H97">
        <v>142</v>
      </c>
      <c r="I97" t="s">
        <v>15</v>
      </c>
    </row>
    <row r="98" spans="1:9" x14ac:dyDescent="0.3">
      <c r="A98">
        <v>97</v>
      </c>
      <c r="B98">
        <v>108</v>
      </c>
      <c r="C98" t="s">
        <v>131</v>
      </c>
      <c r="D98" t="s">
        <v>28</v>
      </c>
      <c r="E98" s="1">
        <v>1432</v>
      </c>
      <c r="F98" s="1">
        <v>1016</v>
      </c>
      <c r="G98" s="1">
        <v>1307</v>
      </c>
      <c r="H98">
        <v>45</v>
      </c>
      <c r="I98" t="s">
        <v>11</v>
      </c>
    </row>
    <row r="99" spans="1:9" x14ac:dyDescent="0.3">
      <c r="A99">
        <v>98</v>
      </c>
      <c r="B99">
        <v>90</v>
      </c>
      <c r="C99" t="s">
        <v>132</v>
      </c>
      <c r="D99" t="s">
        <v>133</v>
      </c>
      <c r="E99" s="1">
        <v>1386</v>
      </c>
      <c r="F99" s="1">
        <v>1387</v>
      </c>
      <c r="G99">
        <v>415</v>
      </c>
      <c r="H99">
        <v>34</v>
      </c>
      <c r="I99" t="s">
        <v>11</v>
      </c>
    </row>
    <row r="100" spans="1:9" x14ac:dyDescent="0.3">
      <c r="A100">
        <v>99</v>
      </c>
      <c r="B100">
        <v>104</v>
      </c>
      <c r="C100" t="s">
        <v>134</v>
      </c>
      <c r="D100" t="s">
        <v>10</v>
      </c>
      <c r="E100" s="1">
        <v>1343</v>
      </c>
      <c r="F100" s="1">
        <v>1115</v>
      </c>
      <c r="G100" s="1">
        <v>5657</v>
      </c>
      <c r="H100">
        <v>136</v>
      </c>
      <c r="I100" t="s">
        <v>48</v>
      </c>
    </row>
    <row r="101" spans="1:9" x14ac:dyDescent="0.3">
      <c r="A101">
        <v>100</v>
      </c>
      <c r="B101">
        <v>186</v>
      </c>
      <c r="C101" t="s">
        <v>135</v>
      </c>
      <c r="D101" t="s">
        <v>73</v>
      </c>
      <c r="E101" s="1">
        <v>1270</v>
      </c>
      <c r="F101">
        <v>421</v>
      </c>
      <c r="G101">
        <v>230</v>
      </c>
      <c r="H101" t="s">
        <v>136</v>
      </c>
      <c r="I101" t="s">
        <v>15</v>
      </c>
    </row>
    <row r="102" spans="1:9" x14ac:dyDescent="0.3">
      <c r="A102">
        <v>101</v>
      </c>
      <c r="B102">
        <v>106</v>
      </c>
      <c r="C102" t="s">
        <v>137</v>
      </c>
      <c r="D102" t="s">
        <v>58</v>
      </c>
      <c r="E102" s="1">
        <v>1252</v>
      </c>
      <c r="F102" s="1">
        <v>1047</v>
      </c>
      <c r="G102">
        <v>464</v>
      </c>
      <c r="H102">
        <v>157</v>
      </c>
      <c r="I102" t="s">
        <v>13</v>
      </c>
    </row>
    <row r="103" spans="1:9" x14ac:dyDescent="0.3">
      <c r="A103">
        <v>102</v>
      </c>
      <c r="B103">
        <v>98</v>
      </c>
      <c r="C103" t="s">
        <v>138</v>
      </c>
      <c r="D103" t="s">
        <v>26</v>
      </c>
      <c r="E103" s="1">
        <v>1231</v>
      </c>
      <c r="F103" s="1">
        <v>1214</v>
      </c>
      <c r="G103" s="1">
        <v>1214</v>
      </c>
      <c r="H103">
        <v>311</v>
      </c>
      <c r="I103" t="s">
        <v>15</v>
      </c>
    </row>
    <row r="104" spans="1:9" x14ac:dyDescent="0.3">
      <c r="A104">
        <v>103</v>
      </c>
      <c r="B104">
        <v>164</v>
      </c>
      <c r="C104" t="s">
        <v>139</v>
      </c>
      <c r="D104" t="s">
        <v>73</v>
      </c>
      <c r="E104" s="1">
        <v>1230</v>
      </c>
      <c r="F104">
        <v>483</v>
      </c>
      <c r="G104">
        <v>818</v>
      </c>
      <c r="H104">
        <v>34</v>
      </c>
      <c r="I104" t="s">
        <v>11</v>
      </c>
    </row>
    <row r="105" spans="1:9" x14ac:dyDescent="0.3">
      <c r="A105">
        <v>104</v>
      </c>
      <c r="B105">
        <v>114</v>
      </c>
      <c r="C105" t="s">
        <v>140</v>
      </c>
      <c r="D105" t="s">
        <v>10</v>
      </c>
      <c r="E105" s="1">
        <v>1194</v>
      </c>
      <c r="F105">
        <v>835</v>
      </c>
      <c r="G105">
        <v>311</v>
      </c>
      <c r="H105">
        <v>42</v>
      </c>
      <c r="I105" t="s">
        <v>15</v>
      </c>
    </row>
    <row r="106" spans="1:9" x14ac:dyDescent="0.3">
      <c r="A106">
        <v>105</v>
      </c>
      <c r="B106" t="s">
        <v>69</v>
      </c>
      <c r="C106" t="s">
        <v>141</v>
      </c>
      <c r="D106" t="s">
        <v>142</v>
      </c>
      <c r="E106" s="1">
        <v>1124</v>
      </c>
      <c r="F106" t="s">
        <v>62</v>
      </c>
      <c r="G106">
        <v>505</v>
      </c>
      <c r="H106">
        <v>87</v>
      </c>
      <c r="I106" t="s">
        <v>17</v>
      </c>
    </row>
    <row r="107" spans="1:9" x14ac:dyDescent="0.3">
      <c r="A107">
        <v>106</v>
      </c>
      <c r="B107">
        <v>140</v>
      </c>
      <c r="C107" t="s">
        <v>143</v>
      </c>
      <c r="D107" t="s">
        <v>28</v>
      </c>
      <c r="E107" s="1">
        <v>1115</v>
      </c>
      <c r="F107">
        <v>635</v>
      </c>
      <c r="G107">
        <v>229</v>
      </c>
      <c r="H107">
        <v>31</v>
      </c>
      <c r="I107" t="s">
        <v>45</v>
      </c>
    </row>
    <row r="108" spans="1:9" x14ac:dyDescent="0.3">
      <c r="A108">
        <v>107</v>
      </c>
      <c r="B108">
        <v>93</v>
      </c>
      <c r="C108" t="s">
        <v>144</v>
      </c>
      <c r="D108" t="s">
        <v>10</v>
      </c>
      <c r="E108" s="1">
        <v>1110</v>
      </c>
      <c r="F108" s="1">
        <v>1298</v>
      </c>
      <c r="G108">
        <v>299</v>
      </c>
      <c r="H108">
        <v>115</v>
      </c>
      <c r="I108" t="s">
        <v>15</v>
      </c>
    </row>
    <row r="109" spans="1:9" x14ac:dyDescent="0.3">
      <c r="A109">
        <v>108</v>
      </c>
      <c r="B109">
        <v>139</v>
      </c>
      <c r="C109" t="s">
        <v>145</v>
      </c>
      <c r="D109" t="s">
        <v>31</v>
      </c>
      <c r="E109" s="1">
        <v>1070</v>
      </c>
      <c r="F109">
        <v>636</v>
      </c>
      <c r="G109" s="1">
        <v>1451</v>
      </c>
      <c r="H109">
        <v>193</v>
      </c>
      <c r="I109" t="s">
        <v>15</v>
      </c>
    </row>
    <row r="110" spans="1:9" x14ac:dyDescent="0.3">
      <c r="A110">
        <v>109</v>
      </c>
      <c r="B110">
        <v>88</v>
      </c>
      <c r="C110" t="s">
        <v>146</v>
      </c>
      <c r="D110" t="s">
        <v>31</v>
      </c>
      <c r="E110" s="1">
        <v>1064</v>
      </c>
      <c r="F110" s="1">
        <v>1390</v>
      </c>
      <c r="G110">
        <v>503</v>
      </c>
      <c r="H110">
        <v>133</v>
      </c>
      <c r="I110" t="s">
        <v>15</v>
      </c>
    </row>
    <row r="111" spans="1:9" x14ac:dyDescent="0.3">
      <c r="A111">
        <v>110</v>
      </c>
      <c r="B111">
        <v>103</v>
      </c>
      <c r="C111" t="s">
        <v>147</v>
      </c>
      <c r="D111" t="s">
        <v>26</v>
      </c>
      <c r="E111" s="1">
        <v>1031</v>
      </c>
      <c r="F111" s="1">
        <v>1143</v>
      </c>
      <c r="G111">
        <v>791</v>
      </c>
      <c r="H111">
        <v>40</v>
      </c>
      <c r="I111" t="s">
        <v>11</v>
      </c>
    </row>
    <row r="112" spans="1:9" x14ac:dyDescent="0.3">
      <c r="A112">
        <v>111</v>
      </c>
      <c r="B112">
        <v>111</v>
      </c>
      <c r="C112" t="s">
        <v>148</v>
      </c>
      <c r="D112" t="s">
        <v>108</v>
      </c>
      <c r="E112" s="1">
        <v>1016</v>
      </c>
      <c r="F112">
        <v>927</v>
      </c>
      <c r="G112" s="1">
        <v>1426</v>
      </c>
      <c r="H112" t="s">
        <v>149</v>
      </c>
      <c r="I112" t="s">
        <v>54</v>
      </c>
    </row>
    <row r="113" spans="1:9" x14ac:dyDescent="0.3">
      <c r="A113">
        <v>112</v>
      </c>
      <c r="B113">
        <v>115</v>
      </c>
      <c r="C113" t="s">
        <v>150</v>
      </c>
      <c r="D113" t="s">
        <v>28</v>
      </c>
      <c r="E113" s="1">
        <v>1009</v>
      </c>
      <c r="F113">
        <v>829</v>
      </c>
      <c r="G113">
        <v>533</v>
      </c>
      <c r="H113">
        <v>67</v>
      </c>
      <c r="I113" t="s">
        <v>15</v>
      </c>
    </row>
    <row r="114" spans="1:9" x14ac:dyDescent="0.3">
      <c r="A114">
        <v>113</v>
      </c>
      <c r="B114" t="s">
        <v>69</v>
      </c>
      <c r="C114" t="s">
        <v>151</v>
      </c>
      <c r="D114" t="s">
        <v>10</v>
      </c>
      <c r="E114" s="1">
        <v>1001</v>
      </c>
      <c r="F114">
        <v>770</v>
      </c>
      <c r="G114">
        <v>57</v>
      </c>
      <c r="H114">
        <v>78</v>
      </c>
      <c r="I114" t="s">
        <v>15</v>
      </c>
    </row>
    <row r="115" spans="1:9" x14ac:dyDescent="0.3">
      <c r="A115">
        <v>114</v>
      </c>
      <c r="B115">
        <v>95</v>
      </c>
      <c r="C115" t="s">
        <v>152</v>
      </c>
      <c r="D115" t="s">
        <v>58</v>
      </c>
      <c r="E115">
        <v>987</v>
      </c>
      <c r="F115" s="1">
        <v>1253</v>
      </c>
      <c r="G115" s="1">
        <v>2934</v>
      </c>
      <c r="H115">
        <v>191</v>
      </c>
      <c r="I115" t="s">
        <v>103</v>
      </c>
    </row>
    <row r="116" spans="1:9" x14ac:dyDescent="0.3">
      <c r="A116">
        <v>115</v>
      </c>
      <c r="B116">
        <v>116</v>
      </c>
      <c r="C116" t="s">
        <v>153</v>
      </c>
      <c r="D116" t="s">
        <v>58</v>
      </c>
      <c r="E116">
        <v>954</v>
      </c>
      <c r="F116">
        <v>821</v>
      </c>
      <c r="G116">
        <v>891</v>
      </c>
      <c r="H116">
        <v>106</v>
      </c>
      <c r="I116" t="s">
        <v>15</v>
      </c>
    </row>
    <row r="117" spans="1:9" x14ac:dyDescent="0.3">
      <c r="A117">
        <v>116</v>
      </c>
      <c r="B117">
        <v>128</v>
      </c>
      <c r="C117" t="s">
        <v>154</v>
      </c>
      <c r="D117" t="s">
        <v>58</v>
      </c>
      <c r="E117">
        <v>942</v>
      </c>
      <c r="F117">
        <v>712</v>
      </c>
      <c r="G117">
        <v>529</v>
      </c>
      <c r="H117">
        <v>93</v>
      </c>
      <c r="I117" t="s">
        <v>15</v>
      </c>
    </row>
    <row r="118" spans="1:9" x14ac:dyDescent="0.3">
      <c r="A118">
        <v>117</v>
      </c>
      <c r="B118">
        <v>64</v>
      </c>
      <c r="C118" t="s">
        <v>155</v>
      </c>
      <c r="D118" t="s">
        <v>58</v>
      </c>
      <c r="E118">
        <v>926</v>
      </c>
      <c r="F118" s="1">
        <v>1911</v>
      </c>
      <c r="G118">
        <v>78</v>
      </c>
      <c r="H118">
        <v>10</v>
      </c>
      <c r="I118" t="s">
        <v>15</v>
      </c>
    </row>
    <row r="119" spans="1:9" x14ac:dyDescent="0.3">
      <c r="A119">
        <v>118</v>
      </c>
      <c r="C119" t="s">
        <v>156</v>
      </c>
      <c r="D119" t="s">
        <v>10</v>
      </c>
      <c r="E119">
        <v>918</v>
      </c>
      <c r="F119" t="s">
        <v>62</v>
      </c>
      <c r="G119" t="s">
        <v>62</v>
      </c>
      <c r="H119" t="s">
        <v>62</v>
      </c>
      <c r="I119" t="s">
        <v>157</v>
      </c>
    </row>
    <row r="120" spans="1:9" x14ac:dyDescent="0.3">
      <c r="A120">
        <v>119</v>
      </c>
      <c r="B120">
        <v>112</v>
      </c>
      <c r="C120" t="s">
        <v>158</v>
      </c>
      <c r="D120" t="s">
        <v>31</v>
      </c>
      <c r="E120">
        <v>918</v>
      </c>
      <c r="F120">
        <v>869</v>
      </c>
      <c r="G120">
        <v>715</v>
      </c>
      <c r="H120">
        <v>124</v>
      </c>
      <c r="I120" t="s">
        <v>13</v>
      </c>
    </row>
    <row r="121" spans="1:9" x14ac:dyDescent="0.3">
      <c r="A121">
        <v>120</v>
      </c>
      <c r="B121">
        <v>246</v>
      </c>
      <c r="C121" t="s">
        <v>159</v>
      </c>
      <c r="D121" t="s">
        <v>73</v>
      </c>
      <c r="E121">
        <v>875</v>
      </c>
      <c r="F121">
        <v>265</v>
      </c>
      <c r="G121">
        <v>230</v>
      </c>
      <c r="H121">
        <v>26</v>
      </c>
      <c r="I121" t="s">
        <v>41</v>
      </c>
    </row>
    <row r="122" spans="1:9" x14ac:dyDescent="0.3">
      <c r="A122">
        <v>121</v>
      </c>
      <c r="B122">
        <v>148</v>
      </c>
      <c r="C122" t="s">
        <v>160</v>
      </c>
      <c r="D122" t="s">
        <v>10</v>
      </c>
      <c r="E122">
        <v>870</v>
      </c>
      <c r="F122">
        <v>561</v>
      </c>
      <c r="G122" s="1">
        <v>1087</v>
      </c>
      <c r="H122">
        <v>40</v>
      </c>
      <c r="I122" t="s">
        <v>13</v>
      </c>
    </row>
    <row r="123" spans="1:9" x14ac:dyDescent="0.3">
      <c r="A123">
        <v>122</v>
      </c>
      <c r="B123">
        <v>170</v>
      </c>
      <c r="C123" t="s">
        <v>161</v>
      </c>
      <c r="D123" t="s">
        <v>10</v>
      </c>
      <c r="E123">
        <v>865</v>
      </c>
      <c r="F123">
        <v>462</v>
      </c>
      <c r="G123">
        <v>347</v>
      </c>
      <c r="H123">
        <v>1</v>
      </c>
      <c r="I123" t="s">
        <v>41</v>
      </c>
    </row>
    <row r="124" spans="1:9" x14ac:dyDescent="0.3">
      <c r="A124">
        <v>123</v>
      </c>
      <c r="B124" t="s">
        <v>69</v>
      </c>
      <c r="C124" t="s">
        <v>162</v>
      </c>
      <c r="D124" t="s">
        <v>73</v>
      </c>
      <c r="E124">
        <v>864</v>
      </c>
      <c r="F124">
        <v>256</v>
      </c>
      <c r="G124">
        <v>406</v>
      </c>
      <c r="H124">
        <v>1</v>
      </c>
      <c r="I124" t="s">
        <v>11</v>
      </c>
    </row>
    <row r="125" spans="1:9" x14ac:dyDescent="0.3">
      <c r="A125">
        <v>124</v>
      </c>
      <c r="B125">
        <v>134</v>
      </c>
      <c r="C125" t="s">
        <v>163</v>
      </c>
      <c r="D125" t="s">
        <v>58</v>
      </c>
      <c r="E125">
        <v>848</v>
      </c>
      <c r="F125">
        <v>661</v>
      </c>
      <c r="G125">
        <v>161</v>
      </c>
      <c r="H125">
        <v>93</v>
      </c>
      <c r="I125" t="s">
        <v>103</v>
      </c>
    </row>
    <row r="126" spans="1:9" x14ac:dyDescent="0.3">
      <c r="A126">
        <v>125</v>
      </c>
      <c r="B126">
        <v>127</v>
      </c>
      <c r="C126" t="s">
        <v>164</v>
      </c>
      <c r="D126" t="s">
        <v>10</v>
      </c>
      <c r="E126">
        <v>847</v>
      </c>
      <c r="F126">
        <v>718</v>
      </c>
      <c r="G126" s="1">
        <v>1554</v>
      </c>
      <c r="H126">
        <v>73</v>
      </c>
      <c r="I126" t="s">
        <v>13</v>
      </c>
    </row>
    <row r="127" spans="1:9" x14ac:dyDescent="0.3">
      <c r="A127">
        <v>126</v>
      </c>
      <c r="B127">
        <v>121</v>
      </c>
      <c r="C127" t="s">
        <v>165</v>
      </c>
      <c r="D127" t="s">
        <v>10</v>
      </c>
      <c r="E127">
        <v>841</v>
      </c>
      <c r="F127">
        <v>770</v>
      </c>
      <c r="G127" s="1">
        <v>1761</v>
      </c>
      <c r="H127">
        <v>80</v>
      </c>
      <c r="I127" t="s">
        <v>13</v>
      </c>
    </row>
    <row r="128" spans="1:9" x14ac:dyDescent="0.3">
      <c r="A128">
        <v>127</v>
      </c>
      <c r="B128">
        <v>119</v>
      </c>
      <c r="C128" t="s">
        <v>166</v>
      </c>
      <c r="D128" t="s">
        <v>58</v>
      </c>
      <c r="E128">
        <v>833</v>
      </c>
      <c r="F128">
        <v>790</v>
      </c>
      <c r="G128">
        <v>91</v>
      </c>
      <c r="H128" t="s">
        <v>167</v>
      </c>
      <c r="I128" t="s">
        <v>15</v>
      </c>
    </row>
    <row r="129" spans="1:9" x14ac:dyDescent="0.3">
      <c r="A129">
        <v>128</v>
      </c>
      <c r="B129">
        <v>132</v>
      </c>
      <c r="C129" t="s">
        <v>168</v>
      </c>
      <c r="D129" t="s">
        <v>31</v>
      </c>
      <c r="E129">
        <v>833</v>
      </c>
      <c r="F129">
        <v>694</v>
      </c>
      <c r="G129" s="1">
        <v>2523</v>
      </c>
      <c r="H129">
        <v>386</v>
      </c>
      <c r="I129" t="s">
        <v>15</v>
      </c>
    </row>
    <row r="130" spans="1:9" x14ac:dyDescent="0.3">
      <c r="A130">
        <v>129</v>
      </c>
      <c r="B130">
        <v>124</v>
      </c>
      <c r="C130" t="s">
        <v>169</v>
      </c>
      <c r="D130" t="s">
        <v>71</v>
      </c>
      <c r="E130">
        <v>831</v>
      </c>
      <c r="F130">
        <v>742</v>
      </c>
      <c r="G130">
        <v>895</v>
      </c>
      <c r="H130">
        <v>2</v>
      </c>
      <c r="I130" t="s">
        <v>15</v>
      </c>
    </row>
    <row r="131" spans="1:9" x14ac:dyDescent="0.3">
      <c r="A131">
        <v>130</v>
      </c>
      <c r="B131">
        <v>126</v>
      </c>
      <c r="C131" t="s">
        <v>170</v>
      </c>
      <c r="D131" t="s">
        <v>28</v>
      </c>
      <c r="E131">
        <v>821</v>
      </c>
      <c r="F131">
        <v>720</v>
      </c>
      <c r="G131">
        <v>300</v>
      </c>
      <c r="H131">
        <v>37</v>
      </c>
      <c r="I131" t="s">
        <v>11</v>
      </c>
    </row>
    <row r="132" spans="1:9" x14ac:dyDescent="0.3">
      <c r="A132">
        <v>131</v>
      </c>
      <c r="B132">
        <v>118</v>
      </c>
      <c r="C132" t="s">
        <v>171</v>
      </c>
      <c r="D132" t="s">
        <v>10</v>
      </c>
      <c r="E132">
        <v>817</v>
      </c>
      <c r="F132">
        <v>792</v>
      </c>
      <c r="G132">
        <v>342</v>
      </c>
      <c r="H132">
        <v>93</v>
      </c>
      <c r="I132" t="s">
        <v>13</v>
      </c>
    </row>
    <row r="133" spans="1:9" x14ac:dyDescent="0.3">
      <c r="A133">
        <v>132</v>
      </c>
      <c r="B133">
        <v>107</v>
      </c>
      <c r="C133" t="s">
        <v>172</v>
      </c>
      <c r="D133" t="s">
        <v>28</v>
      </c>
      <c r="E133">
        <v>812</v>
      </c>
      <c r="F133" s="1">
        <v>1041</v>
      </c>
      <c r="G133">
        <v>439</v>
      </c>
      <c r="H133">
        <v>22</v>
      </c>
      <c r="I133" t="s">
        <v>15</v>
      </c>
    </row>
    <row r="134" spans="1:9" x14ac:dyDescent="0.3">
      <c r="A134">
        <v>133</v>
      </c>
      <c r="B134">
        <v>144</v>
      </c>
      <c r="C134" t="s">
        <v>173</v>
      </c>
      <c r="D134" t="s">
        <v>28</v>
      </c>
      <c r="E134">
        <v>788</v>
      </c>
      <c r="F134">
        <v>612</v>
      </c>
      <c r="G134">
        <v>626</v>
      </c>
      <c r="H134">
        <v>46</v>
      </c>
      <c r="I134" t="s">
        <v>15</v>
      </c>
    </row>
    <row r="135" spans="1:9" x14ac:dyDescent="0.3">
      <c r="A135">
        <v>134</v>
      </c>
      <c r="B135">
        <v>133</v>
      </c>
      <c r="C135" t="s">
        <v>174</v>
      </c>
      <c r="D135" t="s">
        <v>129</v>
      </c>
      <c r="E135">
        <v>787</v>
      </c>
      <c r="F135">
        <v>683</v>
      </c>
      <c r="G135">
        <v>636</v>
      </c>
      <c r="H135">
        <v>102</v>
      </c>
      <c r="I135" t="s">
        <v>15</v>
      </c>
    </row>
    <row r="136" spans="1:9" x14ac:dyDescent="0.3">
      <c r="A136">
        <v>135</v>
      </c>
      <c r="B136">
        <v>110</v>
      </c>
      <c r="C136" t="s">
        <v>175</v>
      </c>
      <c r="D136" t="s">
        <v>31</v>
      </c>
      <c r="E136">
        <v>785</v>
      </c>
      <c r="F136">
        <v>947</v>
      </c>
      <c r="G136" s="1">
        <v>1067</v>
      </c>
      <c r="H136">
        <v>31</v>
      </c>
      <c r="I136" t="s">
        <v>11</v>
      </c>
    </row>
    <row r="137" spans="1:9" x14ac:dyDescent="0.3">
      <c r="A137">
        <v>136</v>
      </c>
      <c r="B137">
        <v>142</v>
      </c>
      <c r="C137" t="s">
        <v>176</v>
      </c>
      <c r="D137" t="s">
        <v>10</v>
      </c>
      <c r="E137">
        <v>767</v>
      </c>
      <c r="F137">
        <v>629</v>
      </c>
      <c r="G137" s="1">
        <v>2056</v>
      </c>
      <c r="H137">
        <v>64</v>
      </c>
      <c r="I137" t="s">
        <v>11</v>
      </c>
    </row>
    <row r="138" spans="1:9" x14ac:dyDescent="0.3">
      <c r="A138">
        <v>137</v>
      </c>
      <c r="B138" t="s">
        <v>69</v>
      </c>
      <c r="C138" t="s">
        <v>177</v>
      </c>
      <c r="D138" t="s">
        <v>10</v>
      </c>
      <c r="E138">
        <v>759</v>
      </c>
      <c r="F138">
        <v>202</v>
      </c>
      <c r="G138" s="1">
        <v>2685</v>
      </c>
      <c r="H138">
        <v>448</v>
      </c>
      <c r="I138" t="s">
        <v>13</v>
      </c>
    </row>
    <row r="139" spans="1:9" x14ac:dyDescent="0.3">
      <c r="A139">
        <v>138</v>
      </c>
      <c r="B139">
        <v>122</v>
      </c>
      <c r="C139" t="s">
        <v>178</v>
      </c>
      <c r="D139" t="s">
        <v>10</v>
      </c>
      <c r="E139">
        <v>747</v>
      </c>
      <c r="F139">
        <v>747</v>
      </c>
      <c r="G139" s="1">
        <v>2564</v>
      </c>
      <c r="H139">
        <v>66</v>
      </c>
      <c r="I139" t="s">
        <v>103</v>
      </c>
    </row>
    <row r="140" spans="1:9" x14ac:dyDescent="0.3">
      <c r="A140">
        <v>139</v>
      </c>
      <c r="B140">
        <v>123</v>
      </c>
      <c r="C140" t="s">
        <v>179</v>
      </c>
      <c r="D140" t="s">
        <v>133</v>
      </c>
      <c r="E140">
        <v>743</v>
      </c>
      <c r="F140">
        <v>744</v>
      </c>
      <c r="G140">
        <v>420</v>
      </c>
      <c r="H140" t="s">
        <v>180</v>
      </c>
      <c r="I140" t="s">
        <v>17</v>
      </c>
    </row>
    <row r="141" spans="1:9" x14ac:dyDescent="0.3">
      <c r="A141">
        <v>140</v>
      </c>
      <c r="B141">
        <v>125</v>
      </c>
      <c r="C141" t="s">
        <v>181</v>
      </c>
      <c r="D141" t="s">
        <v>133</v>
      </c>
      <c r="E141">
        <v>733</v>
      </c>
      <c r="F141">
        <v>733</v>
      </c>
      <c r="G141">
        <v>121</v>
      </c>
      <c r="H141">
        <v>16</v>
      </c>
      <c r="I141" t="s">
        <v>11</v>
      </c>
    </row>
    <row r="142" spans="1:9" x14ac:dyDescent="0.3">
      <c r="A142">
        <v>141</v>
      </c>
      <c r="B142">
        <v>151</v>
      </c>
      <c r="C142" t="s">
        <v>182</v>
      </c>
      <c r="D142" t="s">
        <v>28</v>
      </c>
      <c r="E142">
        <v>702</v>
      </c>
      <c r="F142">
        <v>541</v>
      </c>
      <c r="G142">
        <v>322</v>
      </c>
      <c r="H142">
        <v>70</v>
      </c>
      <c r="I142" t="s">
        <v>15</v>
      </c>
    </row>
    <row r="143" spans="1:9" x14ac:dyDescent="0.3">
      <c r="A143">
        <v>142</v>
      </c>
      <c r="B143">
        <v>135</v>
      </c>
      <c r="C143" t="s">
        <v>183</v>
      </c>
      <c r="D143" t="s">
        <v>58</v>
      </c>
      <c r="E143">
        <v>699</v>
      </c>
      <c r="F143">
        <v>657</v>
      </c>
      <c r="G143">
        <v>337</v>
      </c>
      <c r="H143">
        <v>94</v>
      </c>
      <c r="I143" t="s">
        <v>15</v>
      </c>
    </row>
    <row r="144" spans="1:9" x14ac:dyDescent="0.3">
      <c r="A144">
        <v>143</v>
      </c>
      <c r="B144">
        <v>172</v>
      </c>
      <c r="C144" t="s">
        <v>184</v>
      </c>
      <c r="D144" t="s">
        <v>10</v>
      </c>
      <c r="E144">
        <v>696</v>
      </c>
      <c r="F144">
        <v>453</v>
      </c>
      <c r="G144">
        <v>224</v>
      </c>
      <c r="H144">
        <v>36</v>
      </c>
      <c r="I144" t="s">
        <v>13</v>
      </c>
    </row>
    <row r="145" spans="1:9" x14ac:dyDescent="0.3">
      <c r="A145">
        <v>144</v>
      </c>
      <c r="B145">
        <v>202</v>
      </c>
      <c r="C145" t="s">
        <v>185</v>
      </c>
      <c r="D145" t="s">
        <v>10</v>
      </c>
      <c r="E145">
        <v>691</v>
      </c>
      <c r="F145">
        <v>368</v>
      </c>
      <c r="G145">
        <v>823</v>
      </c>
      <c r="H145">
        <v>69</v>
      </c>
      <c r="I145" t="s">
        <v>41</v>
      </c>
    </row>
    <row r="146" spans="1:9" x14ac:dyDescent="0.3">
      <c r="A146">
        <v>145</v>
      </c>
      <c r="B146">
        <v>117</v>
      </c>
      <c r="C146" t="s">
        <v>186</v>
      </c>
      <c r="D146" t="s">
        <v>10</v>
      </c>
      <c r="E146">
        <v>688</v>
      </c>
      <c r="F146">
        <v>816</v>
      </c>
      <c r="G146" s="1">
        <v>5248</v>
      </c>
      <c r="H146" t="s">
        <v>187</v>
      </c>
      <c r="I146" t="s">
        <v>11</v>
      </c>
    </row>
    <row r="147" spans="1:9" x14ac:dyDescent="0.3">
      <c r="A147">
        <v>146</v>
      </c>
      <c r="B147">
        <v>177</v>
      </c>
      <c r="C147" t="s">
        <v>188</v>
      </c>
      <c r="D147" t="s">
        <v>84</v>
      </c>
      <c r="E147">
        <v>686</v>
      </c>
      <c r="F147">
        <v>443</v>
      </c>
      <c r="G147">
        <v>420</v>
      </c>
      <c r="H147">
        <v>122</v>
      </c>
      <c r="I147" t="s">
        <v>15</v>
      </c>
    </row>
    <row r="148" spans="1:9" x14ac:dyDescent="0.3">
      <c r="A148">
        <v>147</v>
      </c>
      <c r="B148" t="s">
        <v>69</v>
      </c>
      <c r="C148" t="s">
        <v>189</v>
      </c>
      <c r="D148" t="s">
        <v>71</v>
      </c>
      <c r="E148">
        <v>683</v>
      </c>
      <c r="F148" t="s">
        <v>62</v>
      </c>
      <c r="G148" t="s">
        <v>62</v>
      </c>
      <c r="H148" t="s">
        <v>62</v>
      </c>
      <c r="I148" t="s">
        <v>103</v>
      </c>
    </row>
    <row r="149" spans="1:9" x14ac:dyDescent="0.3">
      <c r="A149">
        <v>148</v>
      </c>
      <c r="B149">
        <v>160</v>
      </c>
      <c r="C149" t="s">
        <v>190</v>
      </c>
      <c r="D149" t="s">
        <v>10</v>
      </c>
      <c r="E149">
        <v>680</v>
      </c>
      <c r="F149">
        <v>493</v>
      </c>
      <c r="G149">
        <v>400</v>
      </c>
      <c r="H149">
        <v>45</v>
      </c>
      <c r="I149" t="s">
        <v>11</v>
      </c>
    </row>
    <row r="150" spans="1:9" x14ac:dyDescent="0.3">
      <c r="A150">
        <v>149</v>
      </c>
      <c r="B150">
        <v>136</v>
      </c>
      <c r="C150" t="s">
        <v>191</v>
      </c>
      <c r="D150" t="s">
        <v>10</v>
      </c>
      <c r="E150">
        <v>664</v>
      </c>
      <c r="F150">
        <v>657</v>
      </c>
      <c r="G150">
        <v>173</v>
      </c>
      <c r="H150">
        <v>49</v>
      </c>
      <c r="I150" t="s">
        <v>15</v>
      </c>
    </row>
    <row r="151" spans="1:9" x14ac:dyDescent="0.3">
      <c r="A151">
        <v>150</v>
      </c>
      <c r="B151">
        <v>129</v>
      </c>
      <c r="C151" t="s">
        <v>192</v>
      </c>
      <c r="D151" t="s">
        <v>26</v>
      </c>
      <c r="E151">
        <v>656</v>
      </c>
      <c r="F151">
        <v>708</v>
      </c>
      <c r="G151">
        <v>625</v>
      </c>
      <c r="H151">
        <v>109</v>
      </c>
      <c r="I151" t="s">
        <v>15</v>
      </c>
    </row>
    <row r="152" spans="1:9" x14ac:dyDescent="0.3">
      <c r="A152">
        <v>151</v>
      </c>
      <c r="B152">
        <v>183</v>
      </c>
      <c r="C152" t="s">
        <v>193</v>
      </c>
      <c r="D152" t="s">
        <v>60</v>
      </c>
      <c r="E152">
        <v>636</v>
      </c>
      <c r="F152">
        <v>434</v>
      </c>
      <c r="G152">
        <v>172</v>
      </c>
      <c r="H152">
        <v>24</v>
      </c>
      <c r="I152" t="s">
        <v>11</v>
      </c>
    </row>
    <row r="153" spans="1:9" x14ac:dyDescent="0.3">
      <c r="A153">
        <v>152</v>
      </c>
      <c r="B153">
        <v>145</v>
      </c>
      <c r="C153" t="s">
        <v>194</v>
      </c>
      <c r="D153" t="s">
        <v>31</v>
      </c>
      <c r="E153">
        <v>633</v>
      </c>
      <c r="F153">
        <v>589</v>
      </c>
      <c r="G153" s="1">
        <v>1601</v>
      </c>
      <c r="H153">
        <v>283</v>
      </c>
      <c r="I153" t="s">
        <v>15</v>
      </c>
    </row>
    <row r="154" spans="1:9" x14ac:dyDescent="0.3">
      <c r="A154">
        <v>153</v>
      </c>
      <c r="B154">
        <v>153</v>
      </c>
      <c r="C154" t="s">
        <v>195</v>
      </c>
      <c r="D154" t="s">
        <v>10</v>
      </c>
      <c r="E154">
        <v>630</v>
      </c>
      <c r="F154">
        <v>525</v>
      </c>
      <c r="G154">
        <v>505</v>
      </c>
      <c r="H154">
        <v>43</v>
      </c>
      <c r="I154" t="s">
        <v>45</v>
      </c>
    </row>
    <row r="155" spans="1:9" x14ac:dyDescent="0.3">
      <c r="A155">
        <v>154</v>
      </c>
      <c r="B155">
        <v>149</v>
      </c>
      <c r="C155" t="s">
        <v>196</v>
      </c>
      <c r="D155" t="s">
        <v>28</v>
      </c>
      <c r="E155">
        <v>618</v>
      </c>
      <c r="F155">
        <v>555</v>
      </c>
      <c r="G155">
        <v>683</v>
      </c>
      <c r="H155">
        <v>67</v>
      </c>
      <c r="I155" t="s">
        <v>15</v>
      </c>
    </row>
    <row r="156" spans="1:9" x14ac:dyDescent="0.3">
      <c r="A156">
        <v>155</v>
      </c>
      <c r="B156">
        <v>120</v>
      </c>
      <c r="C156" t="s">
        <v>197</v>
      </c>
      <c r="D156" t="s">
        <v>129</v>
      </c>
      <c r="E156">
        <v>616</v>
      </c>
      <c r="F156">
        <v>783</v>
      </c>
      <c r="G156">
        <v>817</v>
      </c>
      <c r="H156">
        <v>27</v>
      </c>
      <c r="I156" t="s">
        <v>11</v>
      </c>
    </row>
    <row r="157" spans="1:9" x14ac:dyDescent="0.3">
      <c r="A157">
        <v>156</v>
      </c>
      <c r="B157">
        <v>209</v>
      </c>
      <c r="C157" t="s">
        <v>198</v>
      </c>
      <c r="D157" t="s">
        <v>10</v>
      </c>
      <c r="E157">
        <v>604</v>
      </c>
      <c r="F157">
        <v>355</v>
      </c>
      <c r="G157" s="1">
        <v>4109</v>
      </c>
      <c r="H157">
        <v>3</v>
      </c>
      <c r="I157" t="s">
        <v>157</v>
      </c>
    </row>
    <row r="158" spans="1:9" x14ac:dyDescent="0.3">
      <c r="A158">
        <v>157</v>
      </c>
      <c r="B158">
        <v>179</v>
      </c>
      <c r="C158" t="s">
        <v>199</v>
      </c>
      <c r="D158" t="s">
        <v>26</v>
      </c>
      <c r="E158">
        <v>588</v>
      </c>
      <c r="F158">
        <v>438</v>
      </c>
      <c r="G158">
        <v>402</v>
      </c>
      <c r="H158">
        <v>39</v>
      </c>
      <c r="I158" t="s">
        <v>15</v>
      </c>
    </row>
    <row r="159" spans="1:9" x14ac:dyDescent="0.3">
      <c r="A159">
        <v>158</v>
      </c>
      <c r="B159">
        <v>156</v>
      </c>
      <c r="C159" t="s">
        <v>200</v>
      </c>
      <c r="D159" t="s">
        <v>133</v>
      </c>
      <c r="E159">
        <v>582</v>
      </c>
      <c r="F159">
        <v>505</v>
      </c>
      <c r="G159">
        <v>485</v>
      </c>
      <c r="H159">
        <v>125</v>
      </c>
      <c r="I159" t="s">
        <v>15</v>
      </c>
    </row>
    <row r="160" spans="1:9" x14ac:dyDescent="0.3">
      <c r="A160">
        <v>159</v>
      </c>
      <c r="B160">
        <v>176</v>
      </c>
      <c r="C160" t="s">
        <v>201</v>
      </c>
      <c r="D160" t="s">
        <v>58</v>
      </c>
      <c r="E160">
        <v>578</v>
      </c>
      <c r="F160">
        <v>447</v>
      </c>
      <c r="G160" s="1">
        <v>2147</v>
      </c>
      <c r="H160" t="s">
        <v>202</v>
      </c>
      <c r="I160" t="s">
        <v>13</v>
      </c>
    </row>
    <row r="161" spans="1:9" x14ac:dyDescent="0.3">
      <c r="A161">
        <v>160</v>
      </c>
      <c r="B161">
        <v>161</v>
      </c>
      <c r="C161" t="s">
        <v>203</v>
      </c>
      <c r="D161" t="s">
        <v>204</v>
      </c>
      <c r="E161">
        <v>577</v>
      </c>
      <c r="F161">
        <v>492</v>
      </c>
      <c r="G161">
        <v>249</v>
      </c>
      <c r="H161">
        <v>62</v>
      </c>
      <c r="I161" t="s">
        <v>15</v>
      </c>
    </row>
    <row r="162" spans="1:9" x14ac:dyDescent="0.3">
      <c r="A162">
        <v>161</v>
      </c>
      <c r="B162">
        <v>152</v>
      </c>
      <c r="C162" t="s">
        <v>205</v>
      </c>
      <c r="D162" t="s">
        <v>10</v>
      </c>
      <c r="E162">
        <v>577</v>
      </c>
      <c r="F162">
        <v>540</v>
      </c>
      <c r="G162">
        <v>596</v>
      </c>
      <c r="H162">
        <v>100</v>
      </c>
      <c r="I162" t="s">
        <v>13</v>
      </c>
    </row>
    <row r="163" spans="1:9" x14ac:dyDescent="0.3">
      <c r="A163">
        <v>162</v>
      </c>
      <c r="B163">
        <v>187</v>
      </c>
      <c r="C163" t="s">
        <v>206</v>
      </c>
      <c r="D163" t="s">
        <v>84</v>
      </c>
      <c r="E163">
        <v>574</v>
      </c>
      <c r="F163">
        <v>412</v>
      </c>
      <c r="G163">
        <v>273</v>
      </c>
      <c r="H163">
        <v>54</v>
      </c>
      <c r="I163" t="s">
        <v>17</v>
      </c>
    </row>
    <row r="164" spans="1:9" x14ac:dyDescent="0.3">
      <c r="A164">
        <v>163</v>
      </c>
      <c r="B164">
        <v>141</v>
      </c>
      <c r="C164" t="s">
        <v>207</v>
      </c>
      <c r="D164" t="s">
        <v>10</v>
      </c>
      <c r="E164">
        <v>569</v>
      </c>
      <c r="F164">
        <v>633</v>
      </c>
      <c r="G164">
        <v>646</v>
      </c>
      <c r="H164">
        <v>52</v>
      </c>
      <c r="I164" t="s">
        <v>103</v>
      </c>
    </row>
    <row r="165" spans="1:9" x14ac:dyDescent="0.3">
      <c r="A165">
        <v>164</v>
      </c>
      <c r="B165">
        <v>192</v>
      </c>
      <c r="C165" t="s">
        <v>208</v>
      </c>
      <c r="D165" t="s">
        <v>209</v>
      </c>
      <c r="E165">
        <v>566</v>
      </c>
      <c r="F165">
        <v>392</v>
      </c>
      <c r="G165">
        <v>148</v>
      </c>
      <c r="H165">
        <v>30</v>
      </c>
      <c r="I165" t="s">
        <v>17</v>
      </c>
    </row>
    <row r="166" spans="1:9" x14ac:dyDescent="0.3">
      <c r="A166">
        <v>165</v>
      </c>
      <c r="B166">
        <v>215</v>
      </c>
      <c r="C166" t="s">
        <v>210</v>
      </c>
      <c r="D166" t="s">
        <v>58</v>
      </c>
      <c r="E166">
        <v>548</v>
      </c>
      <c r="F166">
        <v>339</v>
      </c>
      <c r="G166">
        <v>405</v>
      </c>
      <c r="H166">
        <v>82</v>
      </c>
      <c r="I166" t="s">
        <v>15</v>
      </c>
    </row>
    <row r="167" spans="1:9" x14ac:dyDescent="0.3">
      <c r="A167">
        <v>166</v>
      </c>
      <c r="B167">
        <v>180</v>
      </c>
      <c r="C167" t="s">
        <v>211</v>
      </c>
      <c r="D167" t="s">
        <v>84</v>
      </c>
      <c r="E167">
        <v>543</v>
      </c>
      <c r="F167">
        <v>436</v>
      </c>
      <c r="G167">
        <v>205</v>
      </c>
      <c r="H167">
        <v>60</v>
      </c>
      <c r="I167" t="s">
        <v>15</v>
      </c>
    </row>
    <row r="168" spans="1:9" x14ac:dyDescent="0.3">
      <c r="A168">
        <v>167</v>
      </c>
      <c r="B168">
        <v>195</v>
      </c>
      <c r="C168" t="s">
        <v>212</v>
      </c>
      <c r="D168" t="s">
        <v>209</v>
      </c>
      <c r="E168">
        <v>542</v>
      </c>
      <c r="F168">
        <v>387</v>
      </c>
      <c r="G168">
        <v>152</v>
      </c>
      <c r="H168">
        <v>44</v>
      </c>
      <c r="I168" t="s">
        <v>15</v>
      </c>
    </row>
    <row r="169" spans="1:9" x14ac:dyDescent="0.3">
      <c r="A169">
        <v>168</v>
      </c>
      <c r="B169" t="s">
        <v>69</v>
      </c>
      <c r="C169" t="s">
        <v>213</v>
      </c>
      <c r="D169" t="s">
        <v>10</v>
      </c>
      <c r="E169">
        <v>541</v>
      </c>
      <c r="F169">
        <v>246</v>
      </c>
      <c r="G169">
        <v>422</v>
      </c>
      <c r="H169">
        <v>18</v>
      </c>
      <c r="I169" t="s">
        <v>41</v>
      </c>
    </row>
    <row r="170" spans="1:9" x14ac:dyDescent="0.3">
      <c r="A170">
        <v>169</v>
      </c>
      <c r="B170">
        <v>181</v>
      </c>
      <c r="C170" t="s">
        <v>214</v>
      </c>
      <c r="D170" t="s">
        <v>60</v>
      </c>
      <c r="E170">
        <v>540</v>
      </c>
      <c r="F170">
        <v>435</v>
      </c>
      <c r="G170">
        <v>342</v>
      </c>
      <c r="H170">
        <v>66</v>
      </c>
      <c r="I170" t="s">
        <v>15</v>
      </c>
    </row>
    <row r="171" spans="1:9" x14ac:dyDescent="0.3">
      <c r="A171">
        <v>170</v>
      </c>
      <c r="B171">
        <v>158</v>
      </c>
      <c r="C171" t="s">
        <v>215</v>
      </c>
      <c r="D171" t="s">
        <v>28</v>
      </c>
      <c r="E171">
        <v>534</v>
      </c>
      <c r="F171">
        <v>500</v>
      </c>
      <c r="G171">
        <v>512</v>
      </c>
      <c r="H171" t="s">
        <v>62</v>
      </c>
      <c r="I171" t="s">
        <v>11</v>
      </c>
    </row>
    <row r="172" spans="1:9" x14ac:dyDescent="0.3">
      <c r="A172">
        <v>171</v>
      </c>
      <c r="B172" t="s">
        <v>69</v>
      </c>
      <c r="C172" t="s">
        <v>216</v>
      </c>
      <c r="D172" t="s">
        <v>73</v>
      </c>
      <c r="E172">
        <v>531</v>
      </c>
      <c r="F172">
        <v>196</v>
      </c>
      <c r="G172">
        <v>53</v>
      </c>
      <c r="H172">
        <v>16</v>
      </c>
      <c r="I172" t="s">
        <v>11</v>
      </c>
    </row>
    <row r="173" spans="1:9" x14ac:dyDescent="0.3">
      <c r="A173">
        <v>172</v>
      </c>
      <c r="B173">
        <v>190</v>
      </c>
      <c r="C173" t="s">
        <v>217</v>
      </c>
      <c r="D173" t="s">
        <v>31</v>
      </c>
      <c r="E173">
        <v>529</v>
      </c>
      <c r="F173">
        <v>401</v>
      </c>
      <c r="G173" s="1">
        <v>2319</v>
      </c>
      <c r="H173">
        <v>261</v>
      </c>
      <c r="I173" t="s">
        <v>15</v>
      </c>
    </row>
    <row r="174" spans="1:9" x14ac:dyDescent="0.3">
      <c r="A174">
        <v>173</v>
      </c>
      <c r="B174" t="s">
        <v>69</v>
      </c>
      <c r="C174" t="s">
        <v>218</v>
      </c>
      <c r="D174" t="s">
        <v>28</v>
      </c>
      <c r="E174">
        <v>522</v>
      </c>
      <c r="F174" t="s">
        <v>62</v>
      </c>
      <c r="G174">
        <v>410</v>
      </c>
      <c r="H174" t="s">
        <v>62</v>
      </c>
      <c r="I174" t="s">
        <v>103</v>
      </c>
    </row>
    <row r="175" spans="1:9" x14ac:dyDescent="0.3">
      <c r="A175">
        <v>174</v>
      </c>
      <c r="B175">
        <v>167</v>
      </c>
      <c r="C175" t="s">
        <v>219</v>
      </c>
      <c r="D175" t="s">
        <v>28</v>
      </c>
      <c r="E175">
        <v>520</v>
      </c>
      <c r="F175">
        <v>469</v>
      </c>
      <c r="G175">
        <v>48</v>
      </c>
      <c r="H175">
        <v>38</v>
      </c>
      <c r="I175" t="s">
        <v>15</v>
      </c>
    </row>
    <row r="176" spans="1:9" x14ac:dyDescent="0.3">
      <c r="A176">
        <v>175</v>
      </c>
      <c r="B176" t="s">
        <v>69</v>
      </c>
      <c r="C176" t="s">
        <v>220</v>
      </c>
      <c r="D176" t="s">
        <v>58</v>
      </c>
      <c r="E176">
        <v>518</v>
      </c>
      <c r="F176">
        <v>370</v>
      </c>
      <c r="G176">
        <v>758</v>
      </c>
      <c r="H176">
        <v>132</v>
      </c>
      <c r="I176" t="s">
        <v>15</v>
      </c>
    </row>
    <row r="177" spans="1:9" x14ac:dyDescent="0.3">
      <c r="A177">
        <v>176</v>
      </c>
      <c r="B177">
        <v>171</v>
      </c>
      <c r="C177" t="s">
        <v>221</v>
      </c>
      <c r="D177" t="s">
        <v>58</v>
      </c>
      <c r="E177">
        <v>509</v>
      </c>
      <c r="F177">
        <v>455</v>
      </c>
      <c r="G177">
        <v>394</v>
      </c>
      <c r="H177">
        <v>87</v>
      </c>
      <c r="I177" t="s">
        <v>15</v>
      </c>
    </row>
    <row r="178" spans="1:9" x14ac:dyDescent="0.3">
      <c r="A178">
        <v>177</v>
      </c>
      <c r="B178">
        <v>146</v>
      </c>
      <c r="C178" t="s">
        <v>222</v>
      </c>
      <c r="D178" t="s">
        <v>10</v>
      </c>
      <c r="E178">
        <v>509</v>
      </c>
      <c r="F178">
        <v>583</v>
      </c>
      <c r="G178">
        <v>515</v>
      </c>
      <c r="H178">
        <v>46</v>
      </c>
      <c r="I178" t="s">
        <v>11</v>
      </c>
    </row>
    <row r="179" spans="1:9" x14ac:dyDescent="0.3">
      <c r="A179">
        <v>178</v>
      </c>
      <c r="B179">
        <v>228</v>
      </c>
      <c r="C179" t="s">
        <v>223</v>
      </c>
      <c r="D179" t="s">
        <v>58</v>
      </c>
      <c r="E179">
        <v>500</v>
      </c>
      <c r="F179">
        <v>305</v>
      </c>
      <c r="G179">
        <v>451</v>
      </c>
      <c r="H179" t="s">
        <v>224</v>
      </c>
      <c r="I179" t="s">
        <v>13</v>
      </c>
    </row>
    <row r="180" spans="1:9" x14ac:dyDescent="0.3">
      <c r="A180">
        <v>179</v>
      </c>
      <c r="B180">
        <v>169</v>
      </c>
      <c r="C180" t="s">
        <v>225</v>
      </c>
      <c r="D180" t="s">
        <v>60</v>
      </c>
      <c r="E180">
        <v>497</v>
      </c>
      <c r="F180">
        <v>466</v>
      </c>
      <c r="G180">
        <v>361</v>
      </c>
      <c r="H180">
        <v>59</v>
      </c>
      <c r="I180" t="s">
        <v>15</v>
      </c>
    </row>
    <row r="181" spans="1:9" x14ac:dyDescent="0.3">
      <c r="A181">
        <v>180</v>
      </c>
      <c r="B181">
        <v>211</v>
      </c>
      <c r="C181" t="s">
        <v>226</v>
      </c>
      <c r="D181" t="s">
        <v>10</v>
      </c>
      <c r="E181">
        <v>491</v>
      </c>
      <c r="F181">
        <v>350</v>
      </c>
      <c r="G181">
        <v>536</v>
      </c>
      <c r="H181">
        <v>10</v>
      </c>
      <c r="I181" t="s">
        <v>103</v>
      </c>
    </row>
    <row r="182" spans="1:9" x14ac:dyDescent="0.3">
      <c r="A182">
        <v>181</v>
      </c>
      <c r="B182">
        <v>154</v>
      </c>
      <c r="C182" t="s">
        <v>227</v>
      </c>
      <c r="D182" t="s">
        <v>28</v>
      </c>
      <c r="E182">
        <v>490</v>
      </c>
      <c r="F182">
        <v>525</v>
      </c>
      <c r="G182">
        <v>541</v>
      </c>
      <c r="H182">
        <v>16</v>
      </c>
      <c r="I182" t="s">
        <v>11</v>
      </c>
    </row>
    <row r="183" spans="1:9" x14ac:dyDescent="0.3">
      <c r="A183">
        <v>182</v>
      </c>
      <c r="B183">
        <v>162</v>
      </c>
      <c r="C183" t="s">
        <v>228</v>
      </c>
      <c r="D183" t="s">
        <v>26</v>
      </c>
      <c r="E183">
        <v>472</v>
      </c>
      <c r="F183">
        <v>490</v>
      </c>
      <c r="G183">
        <v>298</v>
      </c>
      <c r="H183">
        <v>82</v>
      </c>
      <c r="I183" t="s">
        <v>15</v>
      </c>
    </row>
    <row r="184" spans="1:9" x14ac:dyDescent="0.3">
      <c r="A184">
        <v>183</v>
      </c>
      <c r="B184">
        <v>155</v>
      </c>
      <c r="C184" t="s">
        <v>229</v>
      </c>
      <c r="D184" t="s">
        <v>10</v>
      </c>
      <c r="E184">
        <v>471</v>
      </c>
      <c r="F184">
        <v>518</v>
      </c>
      <c r="G184">
        <v>818</v>
      </c>
      <c r="H184">
        <v>43</v>
      </c>
      <c r="I184" t="s">
        <v>48</v>
      </c>
    </row>
    <row r="185" spans="1:9" x14ac:dyDescent="0.3">
      <c r="A185">
        <v>184</v>
      </c>
      <c r="B185">
        <v>175</v>
      </c>
      <c r="C185" t="s">
        <v>230</v>
      </c>
      <c r="D185" t="s">
        <v>28</v>
      </c>
      <c r="E185">
        <v>469</v>
      </c>
      <c r="F185">
        <v>448</v>
      </c>
      <c r="G185">
        <v>565</v>
      </c>
      <c r="H185">
        <v>29</v>
      </c>
      <c r="I185" t="s">
        <v>48</v>
      </c>
    </row>
    <row r="186" spans="1:9" x14ac:dyDescent="0.3">
      <c r="A186">
        <v>185</v>
      </c>
      <c r="B186">
        <v>157</v>
      </c>
      <c r="C186" t="s">
        <v>231</v>
      </c>
      <c r="D186" t="s">
        <v>31</v>
      </c>
      <c r="E186">
        <v>467</v>
      </c>
      <c r="F186">
        <v>504</v>
      </c>
      <c r="G186">
        <v>673</v>
      </c>
      <c r="H186">
        <v>54</v>
      </c>
      <c r="I186" t="s">
        <v>11</v>
      </c>
    </row>
    <row r="187" spans="1:9" x14ac:dyDescent="0.3">
      <c r="A187">
        <v>186</v>
      </c>
      <c r="B187">
        <v>178</v>
      </c>
      <c r="C187" t="s">
        <v>232</v>
      </c>
      <c r="D187" t="s">
        <v>10</v>
      </c>
      <c r="E187">
        <v>467</v>
      </c>
      <c r="F187">
        <v>441</v>
      </c>
      <c r="G187">
        <v>240</v>
      </c>
      <c r="H187">
        <v>18</v>
      </c>
      <c r="I187" t="s">
        <v>11</v>
      </c>
    </row>
    <row r="188" spans="1:9" x14ac:dyDescent="0.3">
      <c r="A188">
        <v>187</v>
      </c>
      <c r="B188">
        <v>150</v>
      </c>
      <c r="C188" t="s">
        <v>233</v>
      </c>
      <c r="D188" t="s">
        <v>129</v>
      </c>
      <c r="E188">
        <v>462</v>
      </c>
      <c r="F188">
        <v>550</v>
      </c>
      <c r="G188">
        <v>222</v>
      </c>
      <c r="H188">
        <v>55</v>
      </c>
      <c r="I188" t="s">
        <v>15</v>
      </c>
    </row>
    <row r="189" spans="1:9" x14ac:dyDescent="0.3">
      <c r="A189">
        <v>188</v>
      </c>
      <c r="B189">
        <v>165</v>
      </c>
      <c r="C189" t="s">
        <v>234</v>
      </c>
      <c r="D189" t="s">
        <v>84</v>
      </c>
      <c r="E189">
        <v>459</v>
      </c>
      <c r="F189">
        <v>482</v>
      </c>
      <c r="G189" t="s">
        <v>62</v>
      </c>
      <c r="H189" t="s">
        <v>62</v>
      </c>
      <c r="I189" t="s">
        <v>15</v>
      </c>
    </row>
    <row r="190" spans="1:9" x14ac:dyDescent="0.3">
      <c r="A190">
        <v>189</v>
      </c>
      <c r="B190" t="s">
        <v>235</v>
      </c>
      <c r="C190" t="s">
        <v>236</v>
      </c>
      <c r="D190" t="s">
        <v>84</v>
      </c>
      <c r="E190">
        <v>458</v>
      </c>
      <c r="F190">
        <v>165</v>
      </c>
      <c r="G190">
        <v>399</v>
      </c>
      <c r="H190">
        <v>30</v>
      </c>
      <c r="I190" t="s">
        <v>11</v>
      </c>
    </row>
    <row r="191" spans="1:9" x14ac:dyDescent="0.3">
      <c r="A191">
        <v>190</v>
      </c>
      <c r="B191" t="s">
        <v>69</v>
      </c>
      <c r="C191" t="s">
        <v>237</v>
      </c>
      <c r="D191" t="s">
        <v>10</v>
      </c>
      <c r="E191">
        <v>455</v>
      </c>
      <c r="F191">
        <v>259</v>
      </c>
      <c r="G191">
        <v>546</v>
      </c>
      <c r="H191">
        <v>60</v>
      </c>
      <c r="I191" t="s">
        <v>13</v>
      </c>
    </row>
    <row r="192" spans="1:9" x14ac:dyDescent="0.3">
      <c r="A192">
        <v>191</v>
      </c>
      <c r="B192" t="s">
        <v>69</v>
      </c>
      <c r="C192" t="s">
        <v>238</v>
      </c>
      <c r="D192" t="s">
        <v>73</v>
      </c>
      <c r="E192">
        <v>449</v>
      </c>
      <c r="F192">
        <v>4</v>
      </c>
      <c r="G192">
        <v>7</v>
      </c>
      <c r="H192">
        <v>1</v>
      </c>
      <c r="I192" t="s">
        <v>11</v>
      </c>
    </row>
    <row r="193" spans="1:9" x14ac:dyDescent="0.3">
      <c r="A193">
        <v>192</v>
      </c>
      <c r="B193">
        <v>184</v>
      </c>
      <c r="C193" t="s">
        <v>239</v>
      </c>
      <c r="D193" t="s">
        <v>10</v>
      </c>
      <c r="E193">
        <v>446</v>
      </c>
      <c r="F193">
        <v>426</v>
      </c>
      <c r="G193" s="1">
        <v>1070</v>
      </c>
      <c r="H193">
        <v>31</v>
      </c>
      <c r="I193" t="s">
        <v>11</v>
      </c>
    </row>
    <row r="194" spans="1:9" x14ac:dyDescent="0.3">
      <c r="A194">
        <v>193</v>
      </c>
      <c r="B194">
        <v>173</v>
      </c>
      <c r="C194" t="s">
        <v>240</v>
      </c>
      <c r="D194" t="s">
        <v>28</v>
      </c>
      <c r="E194">
        <v>445</v>
      </c>
      <c r="F194">
        <v>451</v>
      </c>
      <c r="G194">
        <v>92</v>
      </c>
      <c r="H194" t="s">
        <v>62</v>
      </c>
      <c r="I194" t="s">
        <v>15</v>
      </c>
    </row>
    <row r="195" spans="1:9" x14ac:dyDescent="0.3">
      <c r="A195">
        <v>194</v>
      </c>
      <c r="B195">
        <v>168</v>
      </c>
      <c r="C195" t="s">
        <v>241</v>
      </c>
      <c r="D195" t="s">
        <v>58</v>
      </c>
      <c r="E195">
        <v>438</v>
      </c>
      <c r="F195">
        <v>468</v>
      </c>
      <c r="G195">
        <v>126</v>
      </c>
      <c r="H195">
        <v>14</v>
      </c>
      <c r="I195" t="s">
        <v>45</v>
      </c>
    </row>
    <row r="196" spans="1:9" x14ac:dyDescent="0.3">
      <c r="A196">
        <v>195</v>
      </c>
      <c r="B196">
        <v>166</v>
      </c>
      <c r="C196" t="s">
        <v>242</v>
      </c>
      <c r="D196" t="s">
        <v>129</v>
      </c>
      <c r="E196">
        <v>434</v>
      </c>
      <c r="F196">
        <v>472</v>
      </c>
      <c r="G196">
        <v>365</v>
      </c>
      <c r="H196">
        <v>60</v>
      </c>
      <c r="I196" t="s">
        <v>15</v>
      </c>
    </row>
    <row r="197" spans="1:9" x14ac:dyDescent="0.3">
      <c r="A197">
        <v>196</v>
      </c>
      <c r="B197">
        <v>204</v>
      </c>
      <c r="C197" t="s">
        <v>243</v>
      </c>
      <c r="D197" t="s">
        <v>10</v>
      </c>
      <c r="E197">
        <v>433</v>
      </c>
      <c r="F197">
        <v>360</v>
      </c>
      <c r="G197">
        <v>284</v>
      </c>
      <c r="H197" t="s">
        <v>244</v>
      </c>
      <c r="I197" t="s">
        <v>41</v>
      </c>
    </row>
    <row r="198" spans="1:9" x14ac:dyDescent="0.3">
      <c r="A198">
        <v>197</v>
      </c>
      <c r="B198">
        <v>250</v>
      </c>
      <c r="C198" t="s">
        <v>245</v>
      </c>
      <c r="D198" t="s">
        <v>133</v>
      </c>
      <c r="E198">
        <v>433</v>
      </c>
      <c r="F198">
        <v>259</v>
      </c>
      <c r="G198">
        <v>488</v>
      </c>
      <c r="H198">
        <v>116</v>
      </c>
      <c r="I198" t="s">
        <v>15</v>
      </c>
    </row>
    <row r="199" spans="1:9" x14ac:dyDescent="0.3">
      <c r="A199">
        <v>198</v>
      </c>
      <c r="B199">
        <v>174</v>
      </c>
      <c r="C199" t="s">
        <v>246</v>
      </c>
      <c r="D199" t="s">
        <v>204</v>
      </c>
      <c r="E199">
        <v>433</v>
      </c>
      <c r="F199">
        <v>448</v>
      </c>
      <c r="G199">
        <v>322</v>
      </c>
      <c r="H199">
        <v>46</v>
      </c>
      <c r="I199" t="s">
        <v>15</v>
      </c>
    </row>
    <row r="200" spans="1:9" x14ac:dyDescent="0.3">
      <c r="A200">
        <v>199</v>
      </c>
      <c r="B200">
        <v>182</v>
      </c>
      <c r="C200" t="s">
        <v>247</v>
      </c>
      <c r="D200" t="s">
        <v>26</v>
      </c>
      <c r="E200">
        <v>432</v>
      </c>
      <c r="F200">
        <v>434</v>
      </c>
      <c r="G200">
        <v>238</v>
      </c>
      <c r="H200">
        <v>52</v>
      </c>
      <c r="I200" t="s">
        <v>11</v>
      </c>
    </row>
    <row r="201" spans="1:9" x14ac:dyDescent="0.3">
      <c r="A201">
        <v>200</v>
      </c>
      <c r="B201">
        <v>199</v>
      </c>
      <c r="C201" t="s">
        <v>248</v>
      </c>
      <c r="D201" t="s">
        <v>31</v>
      </c>
      <c r="E201">
        <v>431</v>
      </c>
      <c r="F201">
        <v>377</v>
      </c>
      <c r="G201">
        <v>393</v>
      </c>
      <c r="H201">
        <v>47</v>
      </c>
      <c r="I201" t="s">
        <v>15</v>
      </c>
    </row>
    <row r="202" spans="1:9" x14ac:dyDescent="0.3">
      <c r="A202">
        <v>201</v>
      </c>
      <c r="B202">
        <v>223</v>
      </c>
      <c r="C202" t="s">
        <v>249</v>
      </c>
      <c r="D202" t="s">
        <v>58</v>
      </c>
      <c r="E202">
        <v>428</v>
      </c>
      <c r="F202">
        <v>317</v>
      </c>
      <c r="G202" s="1">
        <v>4320</v>
      </c>
      <c r="H202">
        <v>224</v>
      </c>
      <c r="I202" t="s">
        <v>13</v>
      </c>
    </row>
    <row r="203" spans="1:9" x14ac:dyDescent="0.3">
      <c r="A203">
        <v>202</v>
      </c>
      <c r="B203">
        <v>194</v>
      </c>
      <c r="C203" t="s">
        <v>250</v>
      </c>
      <c r="D203" t="s">
        <v>10</v>
      </c>
      <c r="E203">
        <v>428</v>
      </c>
      <c r="F203">
        <v>389</v>
      </c>
      <c r="G203">
        <v>251</v>
      </c>
      <c r="H203">
        <v>26</v>
      </c>
      <c r="I203" t="s">
        <v>15</v>
      </c>
    </row>
    <row r="204" spans="1:9" x14ac:dyDescent="0.3">
      <c r="A204">
        <v>203</v>
      </c>
      <c r="B204">
        <v>188</v>
      </c>
      <c r="C204" t="s">
        <v>251</v>
      </c>
      <c r="D204" t="s">
        <v>58</v>
      </c>
      <c r="E204">
        <v>426</v>
      </c>
      <c r="F204">
        <v>407</v>
      </c>
      <c r="G204">
        <v>61</v>
      </c>
      <c r="H204">
        <v>21</v>
      </c>
      <c r="I204" t="s">
        <v>15</v>
      </c>
    </row>
    <row r="205" spans="1:9" x14ac:dyDescent="0.3">
      <c r="A205">
        <v>204</v>
      </c>
      <c r="B205" t="s">
        <v>69</v>
      </c>
      <c r="C205" t="s">
        <v>252</v>
      </c>
      <c r="D205" t="s">
        <v>60</v>
      </c>
      <c r="E205">
        <v>411</v>
      </c>
      <c r="F205" t="s">
        <v>62</v>
      </c>
      <c r="G205">
        <v>189</v>
      </c>
      <c r="H205">
        <v>50</v>
      </c>
      <c r="I205" t="s">
        <v>17</v>
      </c>
    </row>
    <row r="206" spans="1:9" x14ac:dyDescent="0.3">
      <c r="A206">
        <v>205</v>
      </c>
      <c r="B206">
        <v>229</v>
      </c>
      <c r="C206" t="s">
        <v>253</v>
      </c>
      <c r="D206" t="s">
        <v>10</v>
      </c>
      <c r="E206">
        <v>409</v>
      </c>
      <c r="F206">
        <v>304</v>
      </c>
      <c r="G206">
        <v>853</v>
      </c>
      <c r="H206">
        <v>46</v>
      </c>
      <c r="I206" t="s">
        <v>103</v>
      </c>
    </row>
    <row r="207" spans="1:9" x14ac:dyDescent="0.3">
      <c r="A207">
        <v>206</v>
      </c>
      <c r="B207">
        <v>218</v>
      </c>
      <c r="C207" t="s">
        <v>254</v>
      </c>
      <c r="D207" t="s">
        <v>73</v>
      </c>
      <c r="E207">
        <v>407</v>
      </c>
      <c r="F207">
        <v>335</v>
      </c>
      <c r="G207">
        <v>248</v>
      </c>
      <c r="H207">
        <v>17</v>
      </c>
      <c r="I207" t="s">
        <v>11</v>
      </c>
    </row>
    <row r="208" spans="1:9" x14ac:dyDescent="0.3">
      <c r="A208">
        <v>207</v>
      </c>
      <c r="B208">
        <v>205</v>
      </c>
      <c r="C208" t="s">
        <v>255</v>
      </c>
      <c r="D208" t="s">
        <v>209</v>
      </c>
      <c r="E208">
        <v>402</v>
      </c>
      <c r="F208">
        <v>359</v>
      </c>
      <c r="G208">
        <v>126</v>
      </c>
      <c r="H208">
        <v>31</v>
      </c>
      <c r="I208" t="s">
        <v>15</v>
      </c>
    </row>
    <row r="209" spans="1:9" x14ac:dyDescent="0.3">
      <c r="A209">
        <v>208</v>
      </c>
      <c r="B209">
        <v>220</v>
      </c>
      <c r="C209" t="s">
        <v>256</v>
      </c>
      <c r="D209" t="s">
        <v>10</v>
      </c>
      <c r="E209">
        <v>384</v>
      </c>
      <c r="F209">
        <v>326</v>
      </c>
      <c r="G209" s="1">
        <v>1420</v>
      </c>
      <c r="H209">
        <v>5</v>
      </c>
      <c r="I209" t="s">
        <v>103</v>
      </c>
    </row>
    <row r="210" spans="1:9" x14ac:dyDescent="0.3">
      <c r="A210">
        <v>209</v>
      </c>
      <c r="B210" t="s">
        <v>69</v>
      </c>
      <c r="C210" t="s">
        <v>257</v>
      </c>
      <c r="D210" t="s">
        <v>10</v>
      </c>
      <c r="E210">
        <v>381</v>
      </c>
      <c r="F210">
        <v>233</v>
      </c>
      <c r="G210">
        <v>0</v>
      </c>
      <c r="H210" t="s">
        <v>258</v>
      </c>
      <c r="I210" t="s">
        <v>54</v>
      </c>
    </row>
    <row r="211" spans="1:9" x14ac:dyDescent="0.3">
      <c r="A211">
        <v>210</v>
      </c>
      <c r="B211" t="s">
        <v>69</v>
      </c>
      <c r="C211" t="s">
        <v>259</v>
      </c>
      <c r="D211" t="s">
        <v>31</v>
      </c>
      <c r="E211">
        <v>375</v>
      </c>
      <c r="F211">
        <v>181</v>
      </c>
      <c r="G211">
        <v>404</v>
      </c>
      <c r="H211">
        <v>3</v>
      </c>
      <c r="I211" t="s">
        <v>11</v>
      </c>
    </row>
    <row r="212" spans="1:9" x14ac:dyDescent="0.3">
      <c r="A212">
        <v>211</v>
      </c>
      <c r="B212">
        <v>213</v>
      </c>
      <c r="C212" t="s">
        <v>260</v>
      </c>
      <c r="D212" t="s">
        <v>58</v>
      </c>
      <c r="E212">
        <v>374</v>
      </c>
      <c r="F212">
        <v>340</v>
      </c>
      <c r="G212">
        <v>483</v>
      </c>
      <c r="H212">
        <v>27</v>
      </c>
      <c r="I212" t="s">
        <v>11</v>
      </c>
    </row>
    <row r="213" spans="1:9" x14ac:dyDescent="0.3">
      <c r="A213">
        <v>212</v>
      </c>
      <c r="B213">
        <v>197</v>
      </c>
      <c r="C213" t="s">
        <v>261</v>
      </c>
      <c r="D213" t="s">
        <v>26</v>
      </c>
      <c r="E213">
        <v>370</v>
      </c>
      <c r="F213">
        <v>379</v>
      </c>
      <c r="G213">
        <v>610</v>
      </c>
      <c r="H213">
        <v>44</v>
      </c>
      <c r="I213" t="s">
        <v>15</v>
      </c>
    </row>
    <row r="214" spans="1:9" x14ac:dyDescent="0.3">
      <c r="A214">
        <v>213</v>
      </c>
      <c r="B214" t="s">
        <v>69</v>
      </c>
      <c r="C214" t="s">
        <v>262</v>
      </c>
      <c r="D214" t="s">
        <v>84</v>
      </c>
      <c r="E214">
        <v>370</v>
      </c>
      <c r="F214">
        <v>246</v>
      </c>
      <c r="G214">
        <v>163</v>
      </c>
      <c r="H214">
        <v>53</v>
      </c>
      <c r="I214" t="s">
        <v>15</v>
      </c>
    </row>
    <row r="215" spans="1:9" x14ac:dyDescent="0.3">
      <c r="A215">
        <v>214</v>
      </c>
      <c r="B215">
        <v>185</v>
      </c>
      <c r="C215" t="s">
        <v>263</v>
      </c>
      <c r="D215" t="s">
        <v>108</v>
      </c>
      <c r="E215">
        <v>362</v>
      </c>
      <c r="F215">
        <v>423</v>
      </c>
      <c r="G215">
        <v>213</v>
      </c>
      <c r="H215">
        <v>74</v>
      </c>
      <c r="I215" t="s">
        <v>15</v>
      </c>
    </row>
    <row r="216" spans="1:9" x14ac:dyDescent="0.3">
      <c r="A216">
        <v>215</v>
      </c>
      <c r="B216">
        <v>201</v>
      </c>
      <c r="C216" t="s">
        <v>264</v>
      </c>
      <c r="D216" t="s">
        <v>142</v>
      </c>
      <c r="E216">
        <v>357</v>
      </c>
      <c r="F216">
        <v>370</v>
      </c>
      <c r="G216">
        <v>238</v>
      </c>
      <c r="H216">
        <v>65</v>
      </c>
      <c r="I216" t="s">
        <v>15</v>
      </c>
    </row>
    <row r="217" spans="1:9" x14ac:dyDescent="0.3">
      <c r="A217">
        <v>216</v>
      </c>
      <c r="B217">
        <v>232</v>
      </c>
      <c r="C217" t="s">
        <v>265</v>
      </c>
      <c r="D217" t="s">
        <v>26</v>
      </c>
      <c r="E217">
        <v>354</v>
      </c>
      <c r="F217">
        <v>294</v>
      </c>
      <c r="G217">
        <v>228</v>
      </c>
      <c r="H217">
        <v>66</v>
      </c>
      <c r="I217" t="s">
        <v>15</v>
      </c>
    </row>
    <row r="218" spans="1:9" x14ac:dyDescent="0.3">
      <c r="A218">
        <v>217</v>
      </c>
      <c r="B218" t="s">
        <v>69</v>
      </c>
      <c r="C218" t="s">
        <v>266</v>
      </c>
      <c r="D218" t="s">
        <v>84</v>
      </c>
      <c r="E218">
        <v>354</v>
      </c>
      <c r="F218">
        <v>136</v>
      </c>
      <c r="G218">
        <v>172</v>
      </c>
      <c r="H218">
        <v>7</v>
      </c>
      <c r="I218" t="s">
        <v>48</v>
      </c>
    </row>
    <row r="219" spans="1:9" x14ac:dyDescent="0.3">
      <c r="A219">
        <v>218</v>
      </c>
      <c r="B219">
        <v>214</v>
      </c>
      <c r="C219" t="s">
        <v>267</v>
      </c>
      <c r="D219" t="s">
        <v>204</v>
      </c>
      <c r="E219">
        <v>350</v>
      </c>
      <c r="F219">
        <v>339</v>
      </c>
      <c r="G219">
        <v>187</v>
      </c>
      <c r="H219">
        <v>45</v>
      </c>
      <c r="I219" t="s">
        <v>15</v>
      </c>
    </row>
    <row r="220" spans="1:9" x14ac:dyDescent="0.3">
      <c r="A220">
        <v>219</v>
      </c>
      <c r="B220" t="s">
        <v>69</v>
      </c>
      <c r="C220" t="s">
        <v>268</v>
      </c>
      <c r="D220" t="s">
        <v>31</v>
      </c>
      <c r="E220">
        <v>343</v>
      </c>
      <c r="F220">
        <v>210</v>
      </c>
      <c r="G220">
        <v>91</v>
      </c>
      <c r="H220">
        <v>34</v>
      </c>
      <c r="I220" t="s">
        <v>11</v>
      </c>
    </row>
    <row r="221" spans="1:9" x14ac:dyDescent="0.3">
      <c r="A221">
        <v>220</v>
      </c>
      <c r="B221">
        <v>236</v>
      </c>
      <c r="C221" t="s">
        <v>269</v>
      </c>
      <c r="D221" t="s">
        <v>58</v>
      </c>
      <c r="E221">
        <v>343</v>
      </c>
      <c r="F221">
        <v>281</v>
      </c>
      <c r="G221">
        <v>475</v>
      </c>
      <c r="H221">
        <v>130</v>
      </c>
      <c r="I221" t="s">
        <v>15</v>
      </c>
    </row>
    <row r="222" spans="1:9" x14ac:dyDescent="0.3">
      <c r="A222">
        <v>221</v>
      </c>
      <c r="B222" t="s">
        <v>69</v>
      </c>
      <c r="C222" t="s">
        <v>270</v>
      </c>
      <c r="D222" t="s">
        <v>10</v>
      </c>
      <c r="E222">
        <v>342</v>
      </c>
      <c r="F222">
        <v>212</v>
      </c>
      <c r="G222">
        <v>71</v>
      </c>
      <c r="H222" t="s">
        <v>271</v>
      </c>
      <c r="I222" t="s">
        <v>41</v>
      </c>
    </row>
    <row r="223" spans="1:9" x14ac:dyDescent="0.3">
      <c r="A223">
        <v>222</v>
      </c>
      <c r="B223">
        <v>249</v>
      </c>
      <c r="C223" t="s">
        <v>272</v>
      </c>
      <c r="D223" t="s">
        <v>71</v>
      </c>
      <c r="E223">
        <v>337</v>
      </c>
      <c r="F223">
        <v>261</v>
      </c>
      <c r="G223">
        <v>367</v>
      </c>
      <c r="H223">
        <v>42</v>
      </c>
      <c r="I223" t="s">
        <v>15</v>
      </c>
    </row>
    <row r="224" spans="1:9" x14ac:dyDescent="0.3">
      <c r="A224">
        <v>223</v>
      </c>
      <c r="B224" t="s">
        <v>69</v>
      </c>
      <c r="C224" t="s">
        <v>273</v>
      </c>
      <c r="D224" t="s">
        <v>204</v>
      </c>
      <c r="E224">
        <v>337</v>
      </c>
      <c r="F224">
        <v>134</v>
      </c>
      <c r="G224">
        <v>312</v>
      </c>
      <c r="H224">
        <v>61</v>
      </c>
      <c r="I224" t="s">
        <v>15</v>
      </c>
    </row>
    <row r="225" spans="1:9" x14ac:dyDescent="0.3">
      <c r="A225">
        <v>224</v>
      </c>
      <c r="B225" t="s">
        <v>69</v>
      </c>
      <c r="C225" t="s">
        <v>274</v>
      </c>
      <c r="D225" t="s">
        <v>10</v>
      </c>
      <c r="E225">
        <v>335</v>
      </c>
      <c r="F225">
        <v>201</v>
      </c>
      <c r="G225">
        <v>781</v>
      </c>
      <c r="H225">
        <v>35</v>
      </c>
      <c r="I225" t="s">
        <v>13</v>
      </c>
    </row>
    <row r="226" spans="1:9" x14ac:dyDescent="0.3">
      <c r="A226">
        <v>225</v>
      </c>
      <c r="B226">
        <v>147</v>
      </c>
      <c r="C226" t="s">
        <v>275</v>
      </c>
      <c r="D226" t="s">
        <v>73</v>
      </c>
      <c r="E226">
        <v>333</v>
      </c>
      <c r="F226">
        <v>570</v>
      </c>
      <c r="G226">
        <v>257</v>
      </c>
      <c r="H226">
        <v>98</v>
      </c>
      <c r="I226" t="s">
        <v>15</v>
      </c>
    </row>
    <row r="227" spans="1:9" x14ac:dyDescent="0.3">
      <c r="A227">
        <v>226</v>
      </c>
      <c r="B227">
        <v>191</v>
      </c>
      <c r="C227" t="s">
        <v>276</v>
      </c>
      <c r="D227" t="s">
        <v>10</v>
      </c>
      <c r="E227">
        <v>332</v>
      </c>
      <c r="F227">
        <v>397</v>
      </c>
      <c r="G227" s="1">
        <v>2487</v>
      </c>
      <c r="H227">
        <v>21</v>
      </c>
      <c r="I227" t="s">
        <v>103</v>
      </c>
    </row>
    <row r="228" spans="1:9" x14ac:dyDescent="0.3">
      <c r="A228">
        <v>227</v>
      </c>
      <c r="B228" t="s">
        <v>69</v>
      </c>
      <c r="C228" t="s">
        <v>277</v>
      </c>
      <c r="D228" t="s">
        <v>10</v>
      </c>
      <c r="E228">
        <v>332</v>
      </c>
      <c r="F228">
        <v>219</v>
      </c>
      <c r="G228">
        <v>494</v>
      </c>
      <c r="H228">
        <v>34</v>
      </c>
      <c r="I228" t="s">
        <v>103</v>
      </c>
    </row>
    <row r="229" spans="1:9" x14ac:dyDescent="0.3">
      <c r="A229">
        <v>228</v>
      </c>
      <c r="B229">
        <v>163</v>
      </c>
      <c r="C229" t="s">
        <v>278</v>
      </c>
      <c r="D229" t="s">
        <v>58</v>
      </c>
      <c r="E229">
        <v>328</v>
      </c>
      <c r="F229">
        <v>488</v>
      </c>
      <c r="G229">
        <v>89</v>
      </c>
      <c r="H229">
        <v>17</v>
      </c>
      <c r="I229" t="s">
        <v>11</v>
      </c>
    </row>
    <row r="230" spans="1:9" x14ac:dyDescent="0.3">
      <c r="A230">
        <v>229</v>
      </c>
      <c r="B230">
        <v>225</v>
      </c>
      <c r="C230" t="s">
        <v>279</v>
      </c>
      <c r="D230" t="s">
        <v>58</v>
      </c>
      <c r="E230">
        <v>324</v>
      </c>
      <c r="F230">
        <v>308</v>
      </c>
      <c r="G230">
        <v>603</v>
      </c>
      <c r="H230">
        <v>46</v>
      </c>
      <c r="I230" t="s">
        <v>11</v>
      </c>
    </row>
    <row r="231" spans="1:9" x14ac:dyDescent="0.3">
      <c r="A231">
        <v>230</v>
      </c>
      <c r="B231" t="s">
        <v>69</v>
      </c>
      <c r="C231" t="s">
        <v>280</v>
      </c>
      <c r="D231" t="s">
        <v>10</v>
      </c>
      <c r="E231">
        <v>323</v>
      </c>
      <c r="F231">
        <v>227</v>
      </c>
      <c r="G231">
        <v>228</v>
      </c>
      <c r="H231" t="s">
        <v>281</v>
      </c>
      <c r="I231" t="s">
        <v>103</v>
      </c>
    </row>
    <row r="232" spans="1:9" x14ac:dyDescent="0.3">
      <c r="A232">
        <v>231</v>
      </c>
      <c r="B232" t="s">
        <v>69</v>
      </c>
      <c r="C232" t="s">
        <v>282</v>
      </c>
      <c r="D232" t="s">
        <v>31</v>
      </c>
      <c r="E232">
        <v>320</v>
      </c>
      <c r="F232">
        <v>176</v>
      </c>
      <c r="G232">
        <v>115</v>
      </c>
      <c r="H232">
        <v>46</v>
      </c>
      <c r="I232" t="s">
        <v>11</v>
      </c>
    </row>
    <row r="233" spans="1:9" x14ac:dyDescent="0.3">
      <c r="A233">
        <v>232</v>
      </c>
      <c r="B233" t="s">
        <v>69</v>
      </c>
      <c r="C233" t="s">
        <v>283</v>
      </c>
      <c r="D233" t="s">
        <v>133</v>
      </c>
      <c r="E233">
        <v>318</v>
      </c>
      <c r="F233">
        <v>194</v>
      </c>
      <c r="G233">
        <v>170</v>
      </c>
      <c r="H233">
        <v>32</v>
      </c>
      <c r="I233" t="s">
        <v>13</v>
      </c>
    </row>
    <row r="234" spans="1:9" x14ac:dyDescent="0.3">
      <c r="A234">
        <v>233</v>
      </c>
      <c r="B234">
        <v>224</v>
      </c>
      <c r="C234" t="s">
        <v>284</v>
      </c>
      <c r="D234" t="s">
        <v>28</v>
      </c>
      <c r="E234">
        <v>314</v>
      </c>
      <c r="F234">
        <v>313</v>
      </c>
      <c r="G234">
        <v>45</v>
      </c>
      <c r="H234">
        <v>5</v>
      </c>
      <c r="I234" t="s">
        <v>13</v>
      </c>
    </row>
    <row r="235" spans="1:9" x14ac:dyDescent="0.3">
      <c r="A235">
        <v>234</v>
      </c>
      <c r="B235" t="s">
        <v>69</v>
      </c>
      <c r="C235" t="s">
        <v>285</v>
      </c>
      <c r="D235" t="s">
        <v>10</v>
      </c>
      <c r="E235">
        <v>313</v>
      </c>
      <c r="F235">
        <v>131</v>
      </c>
      <c r="G235">
        <v>545</v>
      </c>
      <c r="H235">
        <v>113</v>
      </c>
      <c r="I235" t="s">
        <v>13</v>
      </c>
    </row>
    <row r="236" spans="1:9" x14ac:dyDescent="0.3">
      <c r="A236">
        <v>235</v>
      </c>
      <c r="B236" t="s">
        <v>69</v>
      </c>
      <c r="C236" t="s">
        <v>286</v>
      </c>
      <c r="D236" t="s">
        <v>73</v>
      </c>
      <c r="E236">
        <v>312</v>
      </c>
      <c r="F236">
        <v>63</v>
      </c>
      <c r="G236">
        <v>87</v>
      </c>
      <c r="H236">
        <v>12</v>
      </c>
      <c r="I236" t="s">
        <v>11</v>
      </c>
    </row>
    <row r="237" spans="1:9" x14ac:dyDescent="0.3">
      <c r="A237">
        <v>236</v>
      </c>
      <c r="B237" t="s">
        <v>69</v>
      </c>
      <c r="C237" t="s">
        <v>287</v>
      </c>
      <c r="D237" t="s">
        <v>288</v>
      </c>
      <c r="E237">
        <v>310</v>
      </c>
      <c r="F237">
        <v>93</v>
      </c>
      <c r="G237">
        <v>343</v>
      </c>
      <c r="H237">
        <v>51</v>
      </c>
      <c r="I237" t="s">
        <v>88</v>
      </c>
    </row>
    <row r="238" spans="1:9" x14ac:dyDescent="0.3">
      <c r="A238">
        <v>237</v>
      </c>
      <c r="B238" t="s">
        <v>69</v>
      </c>
      <c r="C238" t="s">
        <v>289</v>
      </c>
      <c r="D238" t="s">
        <v>288</v>
      </c>
      <c r="E238">
        <v>308</v>
      </c>
      <c r="F238">
        <v>37</v>
      </c>
      <c r="G238">
        <v>236</v>
      </c>
      <c r="H238">
        <v>51</v>
      </c>
      <c r="I238" t="s">
        <v>11</v>
      </c>
    </row>
    <row r="239" spans="1:9" x14ac:dyDescent="0.3">
      <c r="A239">
        <v>238</v>
      </c>
      <c r="B239" t="s">
        <v>69</v>
      </c>
      <c r="C239" t="s">
        <v>290</v>
      </c>
      <c r="D239" t="s">
        <v>28</v>
      </c>
      <c r="E239">
        <v>307</v>
      </c>
      <c r="F239">
        <v>230</v>
      </c>
      <c r="G239">
        <v>193</v>
      </c>
      <c r="H239">
        <v>5</v>
      </c>
      <c r="I239" t="s">
        <v>11</v>
      </c>
    </row>
    <row r="240" spans="1:9" x14ac:dyDescent="0.3">
      <c r="A240">
        <v>239</v>
      </c>
      <c r="B240">
        <v>227</v>
      </c>
      <c r="C240" t="s">
        <v>291</v>
      </c>
      <c r="D240" t="s">
        <v>10</v>
      </c>
      <c r="E240">
        <v>303</v>
      </c>
      <c r="F240">
        <v>306</v>
      </c>
      <c r="G240">
        <v>676</v>
      </c>
      <c r="H240">
        <v>21</v>
      </c>
      <c r="I240" t="s">
        <v>11</v>
      </c>
    </row>
    <row r="241" spans="1:9" x14ac:dyDescent="0.3">
      <c r="A241">
        <v>240</v>
      </c>
      <c r="B241">
        <v>240</v>
      </c>
      <c r="C241" t="s">
        <v>292</v>
      </c>
      <c r="D241" t="s">
        <v>28</v>
      </c>
      <c r="E241">
        <v>302</v>
      </c>
      <c r="F241">
        <v>275</v>
      </c>
      <c r="G241">
        <v>133</v>
      </c>
      <c r="H241" t="s">
        <v>293</v>
      </c>
      <c r="I241" t="s">
        <v>15</v>
      </c>
    </row>
    <row r="242" spans="1:9" x14ac:dyDescent="0.3">
      <c r="A242">
        <v>241</v>
      </c>
      <c r="B242" t="s">
        <v>69</v>
      </c>
      <c r="C242" t="s">
        <v>294</v>
      </c>
      <c r="D242" t="s">
        <v>58</v>
      </c>
      <c r="E242">
        <v>301</v>
      </c>
      <c r="F242">
        <v>350</v>
      </c>
      <c r="G242">
        <v>206</v>
      </c>
      <c r="H242">
        <v>2</v>
      </c>
      <c r="I242" t="s">
        <v>41</v>
      </c>
    </row>
    <row r="243" spans="1:9" x14ac:dyDescent="0.3">
      <c r="A243">
        <v>242</v>
      </c>
      <c r="B243">
        <v>198</v>
      </c>
      <c r="C243" t="s">
        <v>295</v>
      </c>
      <c r="D243" t="s">
        <v>26</v>
      </c>
      <c r="E243">
        <v>301</v>
      </c>
      <c r="F243">
        <v>378</v>
      </c>
      <c r="G243">
        <v>342</v>
      </c>
      <c r="H243">
        <v>76</v>
      </c>
      <c r="I243" t="s">
        <v>15</v>
      </c>
    </row>
    <row r="244" spans="1:9" x14ac:dyDescent="0.3">
      <c r="A244">
        <v>243</v>
      </c>
      <c r="B244">
        <v>216</v>
      </c>
      <c r="C244" t="s">
        <v>296</v>
      </c>
      <c r="D244" t="s">
        <v>58</v>
      </c>
      <c r="E244">
        <v>300</v>
      </c>
      <c r="F244">
        <v>338</v>
      </c>
      <c r="G244">
        <v>219</v>
      </c>
      <c r="H244">
        <v>2</v>
      </c>
      <c r="I244" t="s">
        <v>13</v>
      </c>
    </row>
    <row r="245" spans="1:9" x14ac:dyDescent="0.3">
      <c r="A245">
        <v>244</v>
      </c>
      <c r="B245" t="s">
        <v>69</v>
      </c>
      <c r="C245" t="s">
        <v>297</v>
      </c>
      <c r="D245" t="s">
        <v>28</v>
      </c>
      <c r="E245">
        <v>300</v>
      </c>
      <c r="F245">
        <v>155</v>
      </c>
      <c r="G245">
        <v>500</v>
      </c>
      <c r="H245">
        <v>12</v>
      </c>
      <c r="I245" t="s">
        <v>13</v>
      </c>
    </row>
    <row r="246" spans="1:9" x14ac:dyDescent="0.3">
      <c r="A246">
        <v>245</v>
      </c>
      <c r="B246" t="s">
        <v>69</v>
      </c>
      <c r="C246" t="s">
        <v>298</v>
      </c>
      <c r="D246" t="s">
        <v>71</v>
      </c>
      <c r="E246">
        <v>299</v>
      </c>
      <c r="F246">
        <v>299</v>
      </c>
      <c r="G246" t="s">
        <v>62</v>
      </c>
      <c r="H246" t="s">
        <v>62</v>
      </c>
      <c r="I246" t="s">
        <v>103</v>
      </c>
    </row>
    <row r="247" spans="1:9" x14ac:dyDescent="0.3">
      <c r="A247">
        <v>246</v>
      </c>
      <c r="B247" t="s">
        <v>69</v>
      </c>
      <c r="C247" t="s">
        <v>299</v>
      </c>
      <c r="D247" t="s">
        <v>60</v>
      </c>
      <c r="E247">
        <v>298</v>
      </c>
      <c r="F247">
        <v>155</v>
      </c>
      <c r="G247" t="s">
        <v>62</v>
      </c>
      <c r="H247" t="s">
        <v>62</v>
      </c>
      <c r="I247" t="s">
        <v>54</v>
      </c>
    </row>
    <row r="248" spans="1:9" x14ac:dyDescent="0.3">
      <c r="A248">
        <v>247</v>
      </c>
      <c r="B248">
        <v>193</v>
      </c>
      <c r="C248" t="s">
        <v>300</v>
      </c>
      <c r="D248" t="s">
        <v>58</v>
      </c>
      <c r="E248">
        <v>297</v>
      </c>
      <c r="F248">
        <v>392</v>
      </c>
      <c r="G248">
        <v>335</v>
      </c>
      <c r="H248">
        <v>30</v>
      </c>
      <c r="I248" t="s">
        <v>11</v>
      </c>
    </row>
    <row r="249" spans="1:9" x14ac:dyDescent="0.3">
      <c r="A249">
        <v>248</v>
      </c>
      <c r="B249" t="s">
        <v>69</v>
      </c>
      <c r="C249" t="s">
        <v>301</v>
      </c>
      <c r="D249" t="s">
        <v>10</v>
      </c>
      <c r="E249">
        <v>292</v>
      </c>
      <c r="F249">
        <v>171</v>
      </c>
      <c r="G249">
        <v>217</v>
      </c>
      <c r="H249">
        <v>14</v>
      </c>
      <c r="I249" t="s">
        <v>48</v>
      </c>
    </row>
    <row r="250" spans="1:9" x14ac:dyDescent="0.3">
      <c r="A250">
        <v>249</v>
      </c>
      <c r="B250">
        <v>234</v>
      </c>
      <c r="C250" t="s">
        <v>302</v>
      </c>
      <c r="D250" t="s">
        <v>129</v>
      </c>
      <c r="E250">
        <v>289</v>
      </c>
      <c r="F250">
        <v>285</v>
      </c>
      <c r="G250">
        <v>425</v>
      </c>
      <c r="H250" t="s">
        <v>62</v>
      </c>
      <c r="I250" t="s">
        <v>11</v>
      </c>
    </row>
    <row r="251" spans="1:9" x14ac:dyDescent="0.3">
      <c r="A251">
        <v>250</v>
      </c>
      <c r="B251">
        <v>231</v>
      </c>
      <c r="C251" t="s">
        <v>303</v>
      </c>
      <c r="D251" t="s">
        <v>10</v>
      </c>
      <c r="E251">
        <v>286</v>
      </c>
      <c r="F251">
        <v>299</v>
      </c>
      <c r="G251">
        <v>266</v>
      </c>
      <c r="H251">
        <v>26</v>
      </c>
      <c r="I251"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8BBA5-2A73-4E5C-B89B-27FDCFA13C31}">
  <dimension ref="A3:B39"/>
  <sheetViews>
    <sheetView showGridLines="0" workbookViewId="0">
      <selection activeCell="M31" sqref="M31"/>
    </sheetView>
  </sheetViews>
  <sheetFormatPr defaultRowHeight="14.4" x14ac:dyDescent="0.3"/>
  <cols>
    <col min="1" max="1" width="13.21875" bestFit="1" customWidth="1"/>
    <col min="2" max="3" width="25.21875" bestFit="1" customWidth="1"/>
  </cols>
  <sheetData>
    <row r="3" spans="1:2" x14ac:dyDescent="0.3">
      <c r="A3" s="3" t="s">
        <v>304</v>
      </c>
      <c r="B3" t="s">
        <v>306</v>
      </c>
    </row>
    <row r="4" spans="1:2" x14ac:dyDescent="0.3">
      <c r="A4" s="4" t="s">
        <v>10</v>
      </c>
      <c r="B4" s="2">
        <v>488749</v>
      </c>
    </row>
    <row r="5" spans="1:2" x14ac:dyDescent="0.3">
      <c r="A5" s="4" t="s">
        <v>28</v>
      </c>
      <c r="B5" s="2">
        <v>64844</v>
      </c>
    </row>
    <row r="6" spans="1:2" x14ac:dyDescent="0.3">
      <c r="A6" s="4" t="s">
        <v>31</v>
      </c>
      <c r="B6" s="2">
        <v>50613</v>
      </c>
    </row>
    <row r="7" spans="1:2" x14ac:dyDescent="0.3">
      <c r="A7" s="4" t="s">
        <v>58</v>
      </c>
      <c r="B7" s="2">
        <v>28595</v>
      </c>
    </row>
    <row r="8" spans="1:2" x14ac:dyDescent="0.3">
      <c r="A8" s="4" t="s">
        <v>26</v>
      </c>
      <c r="B8" s="2">
        <v>18990</v>
      </c>
    </row>
    <row r="9" spans="1:2" x14ac:dyDescent="0.3">
      <c r="A9" s="4" t="s">
        <v>73</v>
      </c>
      <c r="B9" s="2">
        <v>11956</v>
      </c>
    </row>
    <row r="10" spans="1:2" x14ac:dyDescent="0.3">
      <c r="A10" s="4" t="s">
        <v>71</v>
      </c>
      <c r="B10" s="2">
        <v>7666</v>
      </c>
    </row>
    <row r="11" spans="1:2" x14ac:dyDescent="0.3">
      <c r="A11" s="4" t="s">
        <v>60</v>
      </c>
      <c r="B11" s="2">
        <v>7238</v>
      </c>
    </row>
    <row r="12" spans="1:2" x14ac:dyDescent="0.3">
      <c r="A12" s="4" t="s">
        <v>84</v>
      </c>
      <c r="B12" s="2">
        <v>6124</v>
      </c>
    </row>
    <row r="13" spans="1:2" x14ac:dyDescent="0.3">
      <c r="A13" s="4" t="s">
        <v>133</v>
      </c>
      <c r="B13" s="2">
        <v>4195</v>
      </c>
    </row>
    <row r="14" spans="1:2" x14ac:dyDescent="0.3">
      <c r="A14" s="4" t="s">
        <v>129</v>
      </c>
      <c r="B14" s="2">
        <v>4029</v>
      </c>
    </row>
    <row r="15" spans="1:2" x14ac:dyDescent="0.3">
      <c r="A15" s="4" t="s">
        <v>108</v>
      </c>
      <c r="B15" s="2">
        <v>3104</v>
      </c>
    </row>
    <row r="16" spans="1:2" x14ac:dyDescent="0.3">
      <c r="A16" s="4" t="s">
        <v>204</v>
      </c>
      <c r="B16" s="2">
        <v>1697</v>
      </c>
    </row>
    <row r="17" spans="1:2" x14ac:dyDescent="0.3">
      <c r="A17" s="4" t="s">
        <v>209</v>
      </c>
      <c r="B17" s="2">
        <v>1510</v>
      </c>
    </row>
    <row r="18" spans="1:2" x14ac:dyDescent="0.3">
      <c r="A18" s="4" t="s">
        <v>142</v>
      </c>
      <c r="B18" s="2">
        <v>1481</v>
      </c>
    </row>
    <row r="19" spans="1:2" x14ac:dyDescent="0.3">
      <c r="A19" s="4" t="s">
        <v>288</v>
      </c>
      <c r="B19" s="2">
        <v>618</v>
      </c>
    </row>
    <row r="20" spans="1:2" x14ac:dyDescent="0.3">
      <c r="A20" s="4" t="s">
        <v>305</v>
      </c>
      <c r="B20" s="2">
        <v>701409</v>
      </c>
    </row>
    <row r="23" spans="1:2" x14ac:dyDescent="0.3">
      <c r="A23" s="5" t="s">
        <v>304</v>
      </c>
      <c r="B23" s="5" t="s">
        <v>306</v>
      </c>
    </row>
    <row r="24" spans="1:2" x14ac:dyDescent="0.3">
      <c r="A24" s="4" t="s">
        <v>10</v>
      </c>
      <c r="B24" s="2">
        <v>488749</v>
      </c>
    </row>
    <row r="25" spans="1:2" x14ac:dyDescent="0.3">
      <c r="A25" s="4" t="s">
        <v>28</v>
      </c>
      <c r="B25" s="2">
        <v>64844</v>
      </c>
    </row>
    <row r="26" spans="1:2" x14ac:dyDescent="0.3">
      <c r="A26" s="4" t="s">
        <v>31</v>
      </c>
      <c r="B26" s="2">
        <v>50613</v>
      </c>
    </row>
    <row r="27" spans="1:2" x14ac:dyDescent="0.3">
      <c r="A27" s="4" t="s">
        <v>58</v>
      </c>
      <c r="B27" s="2">
        <v>28595</v>
      </c>
    </row>
    <row r="28" spans="1:2" x14ac:dyDescent="0.3">
      <c r="A28" s="4" t="s">
        <v>26</v>
      </c>
      <c r="B28" s="2">
        <v>18990</v>
      </c>
    </row>
    <row r="29" spans="1:2" x14ac:dyDescent="0.3">
      <c r="A29" s="4" t="s">
        <v>73</v>
      </c>
      <c r="B29" s="2">
        <v>11956</v>
      </c>
    </row>
    <row r="30" spans="1:2" x14ac:dyDescent="0.3">
      <c r="A30" s="4" t="s">
        <v>71</v>
      </c>
      <c r="B30" s="2">
        <v>7666</v>
      </c>
    </row>
    <row r="31" spans="1:2" x14ac:dyDescent="0.3">
      <c r="A31" s="4" t="s">
        <v>60</v>
      </c>
      <c r="B31" s="2">
        <v>7238</v>
      </c>
    </row>
    <row r="32" spans="1:2" x14ac:dyDescent="0.3">
      <c r="A32" s="4" t="s">
        <v>84</v>
      </c>
      <c r="B32" s="2">
        <v>6124</v>
      </c>
    </row>
    <row r="33" spans="1:2" x14ac:dyDescent="0.3">
      <c r="A33" s="4" t="s">
        <v>133</v>
      </c>
      <c r="B33" s="2">
        <v>4195</v>
      </c>
    </row>
    <row r="34" spans="1:2" x14ac:dyDescent="0.3">
      <c r="A34" s="4" t="s">
        <v>129</v>
      </c>
      <c r="B34" s="2">
        <v>4029</v>
      </c>
    </row>
    <row r="35" spans="1:2" x14ac:dyDescent="0.3">
      <c r="A35" s="4" t="s">
        <v>108</v>
      </c>
      <c r="B35" s="2">
        <v>3104</v>
      </c>
    </row>
    <row r="36" spans="1:2" x14ac:dyDescent="0.3">
      <c r="A36" s="4" t="s">
        <v>204</v>
      </c>
      <c r="B36" s="2">
        <v>1697</v>
      </c>
    </row>
    <row r="37" spans="1:2" x14ac:dyDescent="0.3">
      <c r="A37" s="4" t="s">
        <v>209</v>
      </c>
      <c r="B37" s="2">
        <v>1510</v>
      </c>
    </row>
    <row r="38" spans="1:2" x14ac:dyDescent="0.3">
      <c r="A38" s="4" t="s">
        <v>142</v>
      </c>
      <c r="B38" s="2">
        <v>1481</v>
      </c>
    </row>
    <row r="39" spans="1:2" x14ac:dyDescent="0.3">
      <c r="A39" s="4" t="s">
        <v>288</v>
      </c>
      <c r="B39" s="2">
        <v>618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B1BC7-B434-418A-8CA7-A47B70C3703A}">
  <dimension ref="A3:B9"/>
  <sheetViews>
    <sheetView showGridLines="0" workbookViewId="0">
      <selection activeCell="AD5" sqref="AD5"/>
    </sheetView>
  </sheetViews>
  <sheetFormatPr defaultRowHeight="14.4" x14ac:dyDescent="0.3"/>
  <cols>
    <col min="1" max="1" width="21.109375" bestFit="1" customWidth="1"/>
    <col min="2" max="2" width="25.21875" bestFit="1" customWidth="1"/>
  </cols>
  <sheetData>
    <row r="3" spans="1:2" x14ac:dyDescent="0.3">
      <c r="A3" s="3" t="s">
        <v>304</v>
      </c>
      <c r="B3" t="s">
        <v>306</v>
      </c>
    </row>
    <row r="4" spans="1:2" x14ac:dyDescent="0.3">
      <c r="A4" s="4" t="s">
        <v>15</v>
      </c>
      <c r="B4" s="6">
        <v>0.34788900147002694</v>
      </c>
    </row>
    <row r="5" spans="1:2" x14ac:dyDescent="0.3">
      <c r="A5" s="4" t="s">
        <v>13</v>
      </c>
      <c r="B5" s="6">
        <v>0.27290229915891162</v>
      </c>
    </row>
    <row r="6" spans="1:2" x14ac:dyDescent="0.3">
      <c r="A6" s="4" t="s">
        <v>11</v>
      </c>
      <c r="B6" s="6">
        <v>0.18218216990690853</v>
      </c>
    </row>
    <row r="7" spans="1:2" x14ac:dyDescent="0.3">
      <c r="A7" s="4" t="s">
        <v>17</v>
      </c>
      <c r="B7" s="6">
        <v>0.15962898298355685</v>
      </c>
    </row>
    <row r="8" spans="1:2" x14ac:dyDescent="0.3">
      <c r="A8" s="4" t="s">
        <v>48</v>
      </c>
      <c r="B8" s="6">
        <v>3.7397546480596101E-2</v>
      </c>
    </row>
    <row r="9" spans="1:2" x14ac:dyDescent="0.3">
      <c r="A9" s="4" t="s">
        <v>305</v>
      </c>
      <c r="B9" s="6">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591E-5E34-42F9-9454-0CC798D0371F}">
  <dimension ref="A3:F150"/>
  <sheetViews>
    <sheetView showGridLines="0" workbookViewId="0">
      <selection activeCell="A10" sqref="A10"/>
    </sheetView>
  </sheetViews>
  <sheetFormatPr defaultRowHeight="14.4" x14ac:dyDescent="0.3"/>
  <cols>
    <col min="1" max="1" width="43.5546875" bestFit="1" customWidth="1"/>
    <col min="2" max="2" width="15" bestFit="1" customWidth="1"/>
    <col min="3" max="16" width="12.6640625" bestFit="1" customWidth="1"/>
    <col min="17" max="17" width="11.6640625" bestFit="1" customWidth="1"/>
    <col min="18" max="18" width="5.6640625" bestFit="1" customWidth="1"/>
    <col min="19" max="21" width="12.6640625" bestFit="1" customWidth="1"/>
    <col min="22" max="22" width="5.6640625" bestFit="1" customWidth="1"/>
    <col min="23" max="35" width="12.6640625" bestFit="1" customWidth="1"/>
    <col min="36" max="36" width="11.6640625" bestFit="1" customWidth="1"/>
    <col min="37" max="42" width="12.6640625" bestFit="1" customWidth="1"/>
    <col min="43" max="43" width="11.6640625" bestFit="1" customWidth="1"/>
    <col min="44" max="44" width="12.6640625" bestFit="1" customWidth="1"/>
    <col min="45" max="45" width="10.6640625" bestFit="1" customWidth="1"/>
    <col min="46" max="57" width="12.6640625" bestFit="1" customWidth="1"/>
    <col min="58" max="58" width="11.6640625" bestFit="1" customWidth="1"/>
    <col min="59" max="60" width="12.6640625" bestFit="1" customWidth="1"/>
    <col min="61" max="61" width="2" bestFit="1" customWidth="1"/>
    <col min="62" max="67" width="12" bestFit="1" customWidth="1"/>
    <col min="68" max="68" width="11" bestFit="1" customWidth="1"/>
    <col min="69" max="71" width="12" bestFit="1" customWidth="1"/>
    <col min="72" max="72" width="11" bestFit="1" customWidth="1"/>
    <col min="73" max="78" width="12" bestFit="1" customWidth="1"/>
    <col min="79" max="79" width="9" bestFit="1" customWidth="1"/>
    <col min="80" max="81" width="12" bestFit="1" customWidth="1"/>
    <col min="82" max="82" width="11" bestFit="1" customWidth="1"/>
    <col min="83" max="87" width="12" bestFit="1" customWidth="1"/>
    <col min="88" max="88" width="6" bestFit="1" customWidth="1"/>
    <col min="89" max="93" width="12" bestFit="1" customWidth="1"/>
    <col min="94" max="94" width="11" bestFit="1" customWidth="1"/>
    <col min="95" max="95" width="12" bestFit="1" customWidth="1"/>
    <col min="96" max="96" width="4" bestFit="1" customWidth="1"/>
    <col min="97" max="107" width="12" bestFit="1" customWidth="1"/>
    <col min="108" max="108" width="11" bestFit="1" customWidth="1"/>
    <col min="109" max="113" width="12" bestFit="1" customWidth="1"/>
    <col min="114" max="114" width="10" bestFit="1" customWidth="1"/>
    <col min="115" max="120" width="12" bestFit="1" customWidth="1"/>
    <col min="121" max="121" width="11" bestFit="1" customWidth="1"/>
    <col min="122" max="127" width="12" bestFit="1" customWidth="1"/>
    <col min="128" max="128" width="4" bestFit="1" customWidth="1"/>
    <col min="129" max="132" width="12" bestFit="1" customWidth="1"/>
    <col min="133" max="133" width="10" bestFit="1" customWidth="1"/>
    <col min="134" max="139" width="12" bestFit="1" customWidth="1"/>
    <col min="140" max="140" width="11" bestFit="1" customWidth="1"/>
    <col min="141" max="145" width="12" bestFit="1" customWidth="1"/>
    <col min="146" max="146" width="11" bestFit="1" customWidth="1"/>
    <col min="147" max="147" width="12" bestFit="1" customWidth="1"/>
    <col min="148" max="148" width="11" bestFit="1" customWidth="1"/>
    <col min="149" max="149" width="12" bestFit="1" customWidth="1"/>
    <col min="150" max="150" width="11" bestFit="1" customWidth="1"/>
    <col min="151" max="155" width="12" bestFit="1" customWidth="1"/>
    <col min="156" max="156" width="4" bestFit="1" customWidth="1"/>
    <col min="157" max="163" width="12" bestFit="1" customWidth="1"/>
    <col min="164" max="164" width="8" bestFit="1" customWidth="1"/>
    <col min="165" max="173" width="12" bestFit="1" customWidth="1"/>
    <col min="174" max="174" width="4" bestFit="1" customWidth="1"/>
    <col min="175" max="178" width="12" bestFit="1" customWidth="1"/>
    <col min="179" max="179" width="11" bestFit="1" customWidth="1"/>
    <col min="180" max="223" width="12" bestFit="1" customWidth="1"/>
    <col min="224" max="224" width="10" bestFit="1" customWidth="1"/>
    <col min="225" max="235" width="12" bestFit="1" customWidth="1"/>
    <col min="236" max="236" width="6" bestFit="1" customWidth="1"/>
    <col min="237" max="240" width="12" bestFit="1" customWidth="1"/>
    <col min="241" max="241" width="9.109375" bestFit="1" customWidth="1"/>
    <col min="242" max="242" width="8" bestFit="1" customWidth="1"/>
    <col min="243" max="243" width="10.5546875" bestFit="1" customWidth="1"/>
  </cols>
  <sheetData>
    <row r="3" spans="1:2" x14ac:dyDescent="0.3">
      <c r="A3" s="3" t="s">
        <v>304</v>
      </c>
      <c r="B3" t="s">
        <v>308</v>
      </c>
    </row>
    <row r="4" spans="1:2" x14ac:dyDescent="0.3">
      <c r="A4" s="4" t="s">
        <v>238</v>
      </c>
      <c r="B4" s="16">
        <v>111.25</v>
      </c>
    </row>
    <row r="5" spans="1:2" x14ac:dyDescent="0.3">
      <c r="A5" s="4" t="s">
        <v>289</v>
      </c>
      <c r="B5" s="16">
        <v>7.3243243243243246</v>
      </c>
    </row>
    <row r="6" spans="1:2" x14ac:dyDescent="0.3">
      <c r="A6" s="4" t="s">
        <v>286</v>
      </c>
      <c r="B6" s="16">
        <v>3.9523809523809526</v>
      </c>
    </row>
    <row r="7" spans="1:2" x14ac:dyDescent="0.3">
      <c r="A7" s="4" t="s">
        <v>177</v>
      </c>
      <c r="B7" s="16">
        <v>2.7574257425742572</v>
      </c>
    </row>
    <row r="8" spans="1:2" x14ac:dyDescent="0.3">
      <c r="A8" s="4" t="s">
        <v>72</v>
      </c>
      <c r="B8" s="16">
        <v>2.59400826446281</v>
      </c>
    </row>
    <row r="9" spans="1:2" x14ac:dyDescent="0.3">
      <c r="A9" s="4" t="s">
        <v>162</v>
      </c>
      <c r="B9" s="16">
        <v>2.375</v>
      </c>
    </row>
    <row r="10" spans="1:2" x14ac:dyDescent="0.3">
      <c r="A10" s="4" t="s">
        <v>287</v>
      </c>
      <c r="B10" s="16">
        <v>2.3333333333333335</v>
      </c>
    </row>
    <row r="11" spans="1:2" x14ac:dyDescent="0.3">
      <c r="A11" s="4" t="s">
        <v>159</v>
      </c>
      <c r="B11" s="16">
        <v>2.3018867924528301</v>
      </c>
    </row>
    <row r="12" spans="1:2" x14ac:dyDescent="0.3">
      <c r="A12" s="4" t="s">
        <v>98</v>
      </c>
      <c r="B12" s="16">
        <v>2.1379800853485063</v>
      </c>
    </row>
    <row r="13" spans="1:2" x14ac:dyDescent="0.3">
      <c r="A13" s="4" t="s">
        <v>135</v>
      </c>
      <c r="B13" s="16">
        <v>2.0166270783847979</v>
      </c>
    </row>
    <row r="14" spans="1:2" x14ac:dyDescent="0.3">
      <c r="A14" s="4" t="s">
        <v>236</v>
      </c>
      <c r="B14" s="16">
        <v>1.7757575757575759</v>
      </c>
    </row>
    <row r="15" spans="1:2" x14ac:dyDescent="0.3">
      <c r="A15" s="4" t="s">
        <v>305</v>
      </c>
      <c r="B15" s="16">
        <v>140.81872414901937</v>
      </c>
    </row>
    <row r="22" spans="1:2" x14ac:dyDescent="0.3">
      <c r="A22" s="5" t="s">
        <v>304</v>
      </c>
      <c r="B22" s="5" t="s">
        <v>308</v>
      </c>
    </row>
    <row r="23" spans="1:2" x14ac:dyDescent="0.3">
      <c r="A23" s="4" t="s">
        <v>289</v>
      </c>
      <c r="B23" s="16">
        <v>7.3243243243243246</v>
      </c>
    </row>
    <row r="24" spans="1:2" x14ac:dyDescent="0.3">
      <c r="A24" s="4" t="s">
        <v>286</v>
      </c>
      <c r="B24" s="16">
        <v>3.9523809523809526</v>
      </c>
    </row>
    <row r="25" spans="1:2" x14ac:dyDescent="0.3">
      <c r="A25" s="4" t="s">
        <v>177</v>
      </c>
      <c r="B25" s="16">
        <v>2.7574257425742572</v>
      </c>
    </row>
    <row r="26" spans="1:2" x14ac:dyDescent="0.3">
      <c r="A26" s="4" t="s">
        <v>72</v>
      </c>
      <c r="B26" s="16">
        <v>2.59400826446281</v>
      </c>
    </row>
    <row r="27" spans="1:2" x14ac:dyDescent="0.3">
      <c r="A27" s="4" t="s">
        <v>162</v>
      </c>
      <c r="B27" s="16">
        <v>2.375</v>
      </c>
    </row>
    <row r="28" spans="1:2" x14ac:dyDescent="0.3">
      <c r="A28" s="4" t="s">
        <v>287</v>
      </c>
      <c r="B28" s="16">
        <v>2.3333333333333335</v>
      </c>
    </row>
    <row r="29" spans="1:2" x14ac:dyDescent="0.3">
      <c r="A29" s="4" t="s">
        <v>159</v>
      </c>
      <c r="B29" s="16">
        <v>2.3018867924528301</v>
      </c>
    </row>
    <row r="30" spans="1:2" x14ac:dyDescent="0.3">
      <c r="A30" s="4" t="s">
        <v>98</v>
      </c>
      <c r="B30" s="16">
        <v>2.1379800853485063</v>
      </c>
    </row>
    <row r="31" spans="1:2" x14ac:dyDescent="0.3">
      <c r="A31" s="4"/>
      <c r="B31" s="16"/>
    </row>
    <row r="32" spans="1:2" x14ac:dyDescent="0.3">
      <c r="A32" s="4"/>
      <c r="B32" s="16"/>
    </row>
    <row r="138" spans="5:6" x14ac:dyDescent="0.3">
      <c r="E138" s="4"/>
      <c r="F138" s="16"/>
    </row>
    <row r="139" spans="5:6" x14ac:dyDescent="0.3">
      <c r="E139" s="4"/>
      <c r="F139" s="16"/>
    </row>
    <row r="140" spans="5:6" x14ac:dyDescent="0.3">
      <c r="E140" s="4"/>
      <c r="F140" s="16"/>
    </row>
    <row r="141" spans="5:6" x14ac:dyDescent="0.3">
      <c r="E141" s="4"/>
      <c r="F141" s="16"/>
    </row>
    <row r="142" spans="5:6" x14ac:dyDescent="0.3">
      <c r="E142" s="4"/>
      <c r="F142" s="16"/>
    </row>
    <row r="143" spans="5:6" x14ac:dyDescent="0.3">
      <c r="E143" s="4"/>
      <c r="F143" s="16"/>
    </row>
    <row r="144" spans="5:6" x14ac:dyDescent="0.3">
      <c r="E144" s="4"/>
      <c r="F144" s="16"/>
    </row>
    <row r="145" spans="5:6" x14ac:dyDescent="0.3">
      <c r="E145" s="4"/>
      <c r="F145" s="16"/>
    </row>
    <row r="146" spans="5:6" x14ac:dyDescent="0.3">
      <c r="E146" s="4"/>
      <c r="F146" s="16"/>
    </row>
    <row r="147" spans="5:6" x14ac:dyDescent="0.3">
      <c r="E147" s="4"/>
      <c r="F147" s="16"/>
    </row>
    <row r="148" spans="5:6" x14ac:dyDescent="0.3">
      <c r="E148" s="4"/>
      <c r="F148" s="16"/>
    </row>
    <row r="149" spans="5:6" x14ac:dyDescent="0.3">
      <c r="E149" s="4"/>
      <c r="F149" s="16"/>
    </row>
    <row r="150" spans="5:6" x14ac:dyDescent="0.3">
      <c r="E150" s="4"/>
      <c r="F150" s="16"/>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523D1-CDA7-4F13-B2F1-34F123C3F709}">
  <dimension ref="A3:F150"/>
  <sheetViews>
    <sheetView showGridLines="0" workbookViewId="0">
      <selection activeCell="K3" sqref="K3"/>
    </sheetView>
  </sheetViews>
  <sheetFormatPr defaultRowHeight="14.4" x14ac:dyDescent="0.3"/>
  <cols>
    <col min="1" max="1" width="44.88671875" bestFit="1" customWidth="1"/>
    <col min="2" max="2" width="15" bestFit="1" customWidth="1"/>
  </cols>
  <sheetData>
    <row r="3" spans="1:2" x14ac:dyDescent="0.3">
      <c r="A3" s="3" t="s">
        <v>304</v>
      </c>
      <c r="B3" t="s">
        <v>308</v>
      </c>
    </row>
    <row r="4" spans="1:2" x14ac:dyDescent="0.3">
      <c r="A4" s="4" t="s">
        <v>9</v>
      </c>
      <c r="B4" s="16">
        <v>-0.52385110691015169</v>
      </c>
    </row>
    <row r="5" spans="1:2" x14ac:dyDescent="0.3">
      <c r="A5" s="4" t="s">
        <v>155</v>
      </c>
      <c r="B5" s="16">
        <v>-0.51543694400837259</v>
      </c>
    </row>
    <row r="6" spans="1:2" x14ac:dyDescent="0.3">
      <c r="A6" s="4" t="s">
        <v>275</v>
      </c>
      <c r="B6" s="16">
        <v>-0.41578947368421054</v>
      </c>
    </row>
    <row r="7" spans="1:2" x14ac:dyDescent="0.3">
      <c r="A7" s="4" t="s">
        <v>46</v>
      </c>
      <c r="B7" s="16">
        <v>-0.33389601620526671</v>
      </c>
    </row>
    <row r="8" spans="1:2" x14ac:dyDescent="0.3">
      <c r="A8" s="4" t="s">
        <v>121</v>
      </c>
      <c r="B8" s="16">
        <v>-0.32867429055484965</v>
      </c>
    </row>
    <row r="9" spans="1:2" x14ac:dyDescent="0.3">
      <c r="A9" s="4" t="s">
        <v>278</v>
      </c>
      <c r="B9" s="16">
        <v>-0.32786885245901637</v>
      </c>
    </row>
    <row r="10" spans="1:2" x14ac:dyDescent="0.3">
      <c r="A10" s="4" t="s">
        <v>300</v>
      </c>
      <c r="B10" s="16">
        <v>-0.2423469387755102</v>
      </c>
    </row>
    <row r="11" spans="1:2" x14ac:dyDescent="0.3">
      <c r="A11" s="4" t="s">
        <v>100</v>
      </c>
      <c r="B11" s="16">
        <v>-0.23735695828719083</v>
      </c>
    </row>
    <row r="12" spans="1:2" x14ac:dyDescent="0.3">
      <c r="A12" s="4" t="s">
        <v>305</v>
      </c>
      <c r="B12" s="16">
        <v>-2.9252205808845684</v>
      </c>
    </row>
    <row r="138" spans="5:6" x14ac:dyDescent="0.3">
      <c r="E138" s="4"/>
      <c r="F138" s="16"/>
    </row>
    <row r="139" spans="5:6" x14ac:dyDescent="0.3">
      <c r="E139" s="4"/>
      <c r="F139" s="16"/>
    </row>
    <row r="140" spans="5:6" x14ac:dyDescent="0.3">
      <c r="E140" s="4"/>
      <c r="F140" s="16"/>
    </row>
    <row r="141" spans="5:6" x14ac:dyDescent="0.3">
      <c r="E141" s="4"/>
      <c r="F141" s="16"/>
    </row>
    <row r="142" spans="5:6" x14ac:dyDescent="0.3">
      <c r="E142" s="4"/>
      <c r="F142" s="16"/>
    </row>
    <row r="143" spans="5:6" x14ac:dyDescent="0.3">
      <c r="E143" s="4"/>
      <c r="F143" s="16"/>
    </row>
    <row r="144" spans="5:6" x14ac:dyDescent="0.3">
      <c r="E144" s="4"/>
      <c r="F144" s="16"/>
    </row>
    <row r="145" spans="5:6" x14ac:dyDescent="0.3">
      <c r="E145" s="4"/>
      <c r="F145" s="16"/>
    </row>
    <row r="146" spans="5:6" x14ac:dyDescent="0.3">
      <c r="E146" s="4"/>
      <c r="F146" s="16"/>
    </row>
    <row r="147" spans="5:6" x14ac:dyDescent="0.3">
      <c r="E147" s="4"/>
      <c r="F147" s="16"/>
    </row>
    <row r="148" spans="5:6" x14ac:dyDescent="0.3">
      <c r="E148" s="4"/>
      <c r="F148" s="16"/>
    </row>
    <row r="149" spans="5:6" x14ac:dyDescent="0.3">
      <c r="E149" s="4"/>
      <c r="F149" s="16"/>
    </row>
    <row r="150" spans="5:6" x14ac:dyDescent="0.3">
      <c r="E150" s="4"/>
      <c r="F150" s="16"/>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DD677-C374-4C26-BA3D-749A10168CE2}">
  <dimension ref="A3:B18"/>
  <sheetViews>
    <sheetView showGridLines="0" workbookViewId="0">
      <selection activeCell="H3" sqref="H3"/>
    </sheetView>
  </sheetViews>
  <sheetFormatPr defaultRowHeight="14.4" x14ac:dyDescent="0.3"/>
  <cols>
    <col min="1" max="1" width="21.33203125" bestFit="1" customWidth="1"/>
    <col min="2" max="2" width="25.21875" bestFit="1" customWidth="1"/>
  </cols>
  <sheetData>
    <row r="3" spans="1:2" x14ac:dyDescent="0.3">
      <c r="A3" s="3" t="s">
        <v>304</v>
      </c>
      <c r="B3" t="s">
        <v>306</v>
      </c>
    </row>
    <row r="4" spans="1:2" x14ac:dyDescent="0.3">
      <c r="A4" s="4" t="s">
        <v>9</v>
      </c>
      <c r="B4" s="2">
        <v>49619</v>
      </c>
    </row>
    <row r="5" spans="1:2" x14ac:dyDescent="0.3">
      <c r="A5" s="4" t="s">
        <v>12</v>
      </c>
      <c r="B5" s="2">
        <v>36429</v>
      </c>
    </row>
    <row r="6" spans="1:2" x14ac:dyDescent="0.3">
      <c r="A6" s="4" t="s">
        <v>14</v>
      </c>
      <c r="B6" s="2">
        <v>29739</v>
      </c>
    </row>
    <row r="7" spans="1:2" x14ac:dyDescent="0.3">
      <c r="A7" s="4" t="s">
        <v>16</v>
      </c>
      <c r="B7" s="2">
        <v>24500</v>
      </c>
    </row>
    <row r="8" spans="1:2" x14ac:dyDescent="0.3">
      <c r="A8" s="4" t="s">
        <v>18</v>
      </c>
      <c r="B8" s="2">
        <v>20915</v>
      </c>
    </row>
    <row r="9" spans="1:2" x14ac:dyDescent="0.3">
      <c r="A9" s="4" t="s">
        <v>19</v>
      </c>
      <c r="B9" s="2">
        <v>20102</v>
      </c>
    </row>
    <row r="10" spans="1:2" x14ac:dyDescent="0.3">
      <c r="A10" s="4" t="s">
        <v>305</v>
      </c>
      <c r="B10" s="2">
        <v>181304</v>
      </c>
    </row>
    <row r="12" spans="1:2" x14ac:dyDescent="0.3">
      <c r="A12" s="5" t="s">
        <v>304</v>
      </c>
      <c r="B12" s="5" t="s">
        <v>306</v>
      </c>
    </row>
    <row r="13" spans="1:2" x14ac:dyDescent="0.3">
      <c r="A13" s="4" t="s">
        <v>9</v>
      </c>
      <c r="B13" s="2">
        <v>49619</v>
      </c>
    </row>
    <row r="14" spans="1:2" x14ac:dyDescent="0.3">
      <c r="A14" s="4" t="s">
        <v>12</v>
      </c>
      <c r="B14" s="2">
        <v>36429</v>
      </c>
    </row>
    <row r="15" spans="1:2" x14ac:dyDescent="0.3">
      <c r="A15" s="4" t="s">
        <v>14</v>
      </c>
      <c r="B15" s="2">
        <v>29739</v>
      </c>
    </row>
    <row r="16" spans="1:2" x14ac:dyDescent="0.3">
      <c r="A16" s="4" t="s">
        <v>16</v>
      </c>
      <c r="B16" s="2">
        <v>24500</v>
      </c>
    </row>
    <row r="17" spans="1:2" x14ac:dyDescent="0.3">
      <c r="A17" s="4" t="s">
        <v>18</v>
      </c>
      <c r="B17" s="2">
        <v>20915</v>
      </c>
    </row>
    <row r="18" spans="1:2" x14ac:dyDescent="0.3">
      <c r="A18" s="4" t="s">
        <v>19</v>
      </c>
      <c r="B18" s="2">
        <v>20102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175F9-BC1E-47F6-A8AC-1FCADF47A639}">
  <dimension ref="A3:B14"/>
  <sheetViews>
    <sheetView showGridLines="0" workbookViewId="0">
      <selection activeCell="I4" sqref="I3:J4"/>
    </sheetView>
  </sheetViews>
  <sheetFormatPr defaultRowHeight="14.4" x14ac:dyDescent="0.3"/>
  <cols>
    <col min="1" max="1" width="21.109375" bestFit="1" customWidth="1"/>
    <col min="2" max="2" width="20.77734375" bestFit="1" customWidth="1"/>
  </cols>
  <sheetData>
    <row r="3" spans="1:2" x14ac:dyDescent="0.3">
      <c r="A3" s="3" t="s">
        <v>304</v>
      </c>
      <c r="B3" t="s">
        <v>310</v>
      </c>
    </row>
    <row r="4" spans="1:2" x14ac:dyDescent="0.3">
      <c r="A4" s="4" t="s">
        <v>15</v>
      </c>
      <c r="B4" s="17">
        <v>0.29783227510287363</v>
      </c>
    </row>
    <row r="5" spans="1:2" x14ac:dyDescent="0.3">
      <c r="A5" s="4" t="s">
        <v>13</v>
      </c>
      <c r="B5" s="17">
        <v>0.18890862176202847</v>
      </c>
    </row>
    <row r="6" spans="1:2" x14ac:dyDescent="0.3">
      <c r="A6" s="4" t="s">
        <v>54</v>
      </c>
      <c r="B6" s="17">
        <v>0.18766848880745432</v>
      </c>
    </row>
    <row r="7" spans="1:2" x14ac:dyDescent="0.3">
      <c r="A7" s="4" t="s">
        <v>17</v>
      </c>
      <c r="B7" s="17">
        <v>0.14584257390867592</v>
      </c>
    </row>
    <row r="8" spans="1:2" x14ac:dyDescent="0.3">
      <c r="A8" s="4" t="s">
        <v>41</v>
      </c>
      <c r="B8" s="17">
        <v>0.13522468099126922</v>
      </c>
    </row>
    <row r="9" spans="1:2" x14ac:dyDescent="0.3">
      <c r="A9" s="4" t="s">
        <v>88</v>
      </c>
      <c r="B9" s="17">
        <v>0.13098226936502808</v>
      </c>
    </row>
    <row r="10" spans="1:2" x14ac:dyDescent="0.3">
      <c r="A10" s="4" t="s">
        <v>11</v>
      </c>
      <c r="B10" s="17">
        <v>0.1133309803399152</v>
      </c>
    </row>
    <row r="11" spans="1:2" x14ac:dyDescent="0.3">
      <c r="A11" s="4" t="s">
        <v>45</v>
      </c>
      <c r="B11" s="17">
        <v>9.2789120927196822E-2</v>
      </c>
    </row>
    <row r="12" spans="1:2" x14ac:dyDescent="0.3">
      <c r="A12" s="4" t="s">
        <v>103</v>
      </c>
      <c r="B12" s="17">
        <v>8.1967632962951037E-2</v>
      </c>
    </row>
    <row r="13" spans="1:2" x14ac:dyDescent="0.3">
      <c r="A13" s="4" t="s">
        <v>48</v>
      </c>
      <c r="B13" s="17">
        <v>5.908017834484821E-2</v>
      </c>
    </row>
    <row r="14" spans="1:2" x14ac:dyDescent="0.3">
      <c r="A14" s="4" t="s">
        <v>305</v>
      </c>
      <c r="B14" s="17">
        <v>0.19178791969802747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69FEF-0593-4148-9978-500DBD619182}">
  <dimension ref="A1"/>
  <sheetViews>
    <sheetView showGridLines="0" zoomScale="78" zoomScaleNormal="78" workbookViewId="0">
      <selection activeCell="AD14" sqref="AD14"/>
    </sheetView>
  </sheetViews>
  <sheetFormatPr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19B4F-69AB-4805-9397-0624CDF0BD8F}">
  <dimension ref="A1"/>
  <sheetViews>
    <sheetView showGridLines="0" tabSelected="1" zoomScale="78" zoomScaleNormal="78" workbookViewId="0">
      <selection activeCell="AD9" sqref="AD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503C1-7BF2-4962-8AAA-D72CED52077A}">
  <dimension ref="A1:L251"/>
  <sheetViews>
    <sheetView workbookViewId="0">
      <selection activeCell="K247" sqref="K247"/>
    </sheetView>
  </sheetViews>
  <sheetFormatPr defaultRowHeight="14.4" x14ac:dyDescent="0.3"/>
  <cols>
    <col min="1" max="1" width="9.44140625" customWidth="1"/>
    <col min="2" max="2" width="13.77734375" customWidth="1"/>
    <col min="3" max="3" width="44.88671875" bestFit="1" customWidth="1"/>
    <col min="4" max="4" width="13.21875" bestFit="1" customWidth="1"/>
    <col min="5" max="6" width="20.77734375" style="2" customWidth="1"/>
    <col min="7" max="7" width="15.109375" style="2" customWidth="1"/>
    <col min="8" max="8" width="16.77734375" style="2" customWidth="1"/>
    <col min="9" max="9" width="21.109375" bestFit="1" customWidth="1"/>
    <col min="10" max="10" width="10.77734375" style="6" customWidth="1"/>
    <col min="11" max="11" width="13.6640625" style="6" customWidth="1"/>
  </cols>
  <sheetData>
    <row r="1" spans="1:11" x14ac:dyDescent="0.3">
      <c r="A1" s="13" t="s">
        <v>0</v>
      </c>
      <c r="B1" s="13" t="s">
        <v>1</v>
      </c>
      <c r="C1" s="13" t="s">
        <v>2</v>
      </c>
      <c r="D1" s="13" t="s">
        <v>3</v>
      </c>
      <c r="E1" s="14" t="s">
        <v>4</v>
      </c>
      <c r="F1" s="14" t="s">
        <v>5</v>
      </c>
      <c r="G1" s="14" t="s">
        <v>6</v>
      </c>
      <c r="H1" s="14" t="s">
        <v>7</v>
      </c>
      <c r="I1" s="13" t="s">
        <v>8</v>
      </c>
      <c r="J1" s="15" t="s">
        <v>307</v>
      </c>
      <c r="K1" s="15" t="s">
        <v>309</v>
      </c>
    </row>
    <row r="2" spans="1:11" hidden="1" x14ac:dyDescent="0.3">
      <c r="A2" s="7">
        <v>1</v>
      </c>
      <c r="B2" s="7">
        <v>1</v>
      </c>
      <c r="C2" s="7" t="s">
        <v>9</v>
      </c>
      <c r="D2" s="7" t="s">
        <v>10</v>
      </c>
      <c r="E2" s="8">
        <v>49619</v>
      </c>
      <c r="F2" s="8">
        <v>104209</v>
      </c>
      <c r="G2" s="8">
        <v>5934</v>
      </c>
      <c r="H2" s="8">
        <v>5304</v>
      </c>
      <c r="I2" s="7" t="s">
        <v>11</v>
      </c>
      <c r="J2" s="11">
        <f t="shared" ref="J2:J65" si="0">(E2-F2)/F2</f>
        <v>-0.52385110691015169</v>
      </c>
      <c r="K2" s="11">
        <f t="shared" ref="K2:K65" si="1">(H2/G2)</f>
        <v>0.89383215369059654</v>
      </c>
    </row>
    <row r="3" spans="1:11" hidden="1" x14ac:dyDescent="0.3">
      <c r="A3" s="9">
        <v>2</v>
      </c>
      <c r="B3" s="9">
        <v>3</v>
      </c>
      <c r="C3" s="9" t="s">
        <v>12</v>
      </c>
      <c r="D3" s="9" t="s">
        <v>10</v>
      </c>
      <c r="E3" s="10">
        <v>36429</v>
      </c>
      <c r="F3" s="10">
        <v>38666</v>
      </c>
      <c r="G3" s="10">
        <v>14507</v>
      </c>
      <c r="H3" s="10">
        <v>5340</v>
      </c>
      <c r="I3" s="9" t="s">
        <v>13</v>
      </c>
      <c r="J3" s="12">
        <f t="shared" si="0"/>
        <v>-5.7854445766306314E-2</v>
      </c>
      <c r="K3" s="12">
        <f t="shared" si="1"/>
        <v>0.36809815950920244</v>
      </c>
    </row>
    <row r="4" spans="1:11" hidden="1" x14ac:dyDescent="0.3">
      <c r="A4" s="7">
        <v>3</v>
      </c>
      <c r="B4" s="7">
        <v>4</v>
      </c>
      <c r="C4" s="7" t="s">
        <v>14</v>
      </c>
      <c r="D4" s="7" t="s">
        <v>10</v>
      </c>
      <c r="E4" s="8">
        <v>29739</v>
      </c>
      <c r="F4" s="8">
        <v>19610</v>
      </c>
      <c r="G4" s="8">
        <v>10025</v>
      </c>
      <c r="H4" s="8">
        <v>1785</v>
      </c>
      <c r="I4" s="7" t="s">
        <v>15</v>
      </c>
      <c r="J4" s="11">
        <f t="shared" si="0"/>
        <v>0.51652218255991844</v>
      </c>
      <c r="K4" s="11">
        <f t="shared" si="1"/>
        <v>0.17805486284289276</v>
      </c>
    </row>
    <row r="5" spans="1:11" hidden="1" x14ac:dyDescent="0.3">
      <c r="A5" s="9">
        <v>4</v>
      </c>
      <c r="B5" s="9">
        <v>13</v>
      </c>
      <c r="C5" s="9" t="s">
        <v>16</v>
      </c>
      <c r="D5" s="9" t="s">
        <v>10</v>
      </c>
      <c r="E5" s="10">
        <v>24500</v>
      </c>
      <c r="F5" s="10">
        <v>11083</v>
      </c>
      <c r="G5" s="10">
        <v>12281</v>
      </c>
      <c r="H5" s="10">
        <v>930</v>
      </c>
      <c r="I5" s="9" t="s">
        <v>17</v>
      </c>
      <c r="J5" s="12">
        <f t="shared" si="0"/>
        <v>1.2105927997834522</v>
      </c>
      <c r="K5" s="12">
        <f t="shared" si="1"/>
        <v>7.5726732350785766E-2</v>
      </c>
    </row>
    <row r="6" spans="1:11" hidden="1" x14ac:dyDescent="0.3">
      <c r="A6" s="7">
        <v>5</v>
      </c>
      <c r="B6" s="7">
        <v>7</v>
      </c>
      <c r="C6" s="7" t="s">
        <v>18</v>
      </c>
      <c r="D6" s="7" t="s">
        <v>10</v>
      </c>
      <c r="E6" s="8">
        <v>20915</v>
      </c>
      <c r="F6" s="8">
        <v>13760</v>
      </c>
      <c r="G6" s="8">
        <v>18342</v>
      </c>
      <c r="H6" s="8">
        <v>1737</v>
      </c>
      <c r="I6" s="7" t="s">
        <v>15</v>
      </c>
      <c r="J6" s="11">
        <f t="shared" si="0"/>
        <v>0.51998546511627908</v>
      </c>
      <c r="K6" s="11">
        <f t="shared" si="1"/>
        <v>9.4700686947988222E-2</v>
      </c>
    </row>
    <row r="7" spans="1:11" hidden="1" x14ac:dyDescent="0.3">
      <c r="A7" s="9">
        <v>6</v>
      </c>
      <c r="B7" s="9">
        <v>5</v>
      </c>
      <c r="C7" s="9" t="s">
        <v>19</v>
      </c>
      <c r="D7" s="9" t="s">
        <v>10</v>
      </c>
      <c r="E7" s="10">
        <v>20102</v>
      </c>
      <c r="F7" s="10">
        <v>15698</v>
      </c>
      <c r="G7" s="10">
        <v>5985</v>
      </c>
      <c r="H7" s="10">
        <v>1013</v>
      </c>
      <c r="I7" s="9" t="s">
        <v>17</v>
      </c>
      <c r="J7" s="12">
        <f t="shared" si="0"/>
        <v>0.28054529239393555</v>
      </c>
      <c r="K7" s="12">
        <f t="shared" si="1"/>
        <v>0.16925647451963241</v>
      </c>
    </row>
    <row r="8" spans="1:11" hidden="1" x14ac:dyDescent="0.3">
      <c r="A8" s="7">
        <v>7</v>
      </c>
      <c r="B8" s="7">
        <v>12</v>
      </c>
      <c r="C8" s="7" t="s">
        <v>20</v>
      </c>
      <c r="D8" s="7" t="s">
        <v>10</v>
      </c>
      <c r="E8" s="8">
        <v>18608</v>
      </c>
      <c r="F8" s="8">
        <v>11122</v>
      </c>
      <c r="G8" s="8">
        <v>2396</v>
      </c>
      <c r="H8" s="8">
        <v>574</v>
      </c>
      <c r="I8" s="7" t="s">
        <v>15</v>
      </c>
      <c r="J8" s="11">
        <f t="shared" si="0"/>
        <v>0.67308038122639813</v>
      </c>
      <c r="K8" s="11">
        <f t="shared" si="1"/>
        <v>0.2395659432387312</v>
      </c>
    </row>
    <row r="9" spans="1:11" hidden="1" x14ac:dyDescent="0.3">
      <c r="A9" s="9">
        <v>8</v>
      </c>
      <c r="B9" s="9">
        <v>18</v>
      </c>
      <c r="C9" s="9" t="s">
        <v>21</v>
      </c>
      <c r="D9" s="9" t="s">
        <v>10</v>
      </c>
      <c r="E9" s="10">
        <v>15354</v>
      </c>
      <c r="F9" s="10">
        <v>9042</v>
      </c>
      <c r="G9" s="10">
        <v>13099</v>
      </c>
      <c r="H9" s="10">
        <v>586</v>
      </c>
      <c r="I9" s="9" t="s">
        <v>13</v>
      </c>
      <c r="J9" s="12">
        <f t="shared" si="0"/>
        <v>0.69807564698075641</v>
      </c>
      <c r="K9" s="12">
        <f t="shared" si="1"/>
        <v>4.4736239407588363E-2</v>
      </c>
    </row>
    <row r="10" spans="1:11" hidden="1" x14ac:dyDescent="0.3">
      <c r="A10" s="7">
        <v>9</v>
      </c>
      <c r="B10" s="7">
        <v>10</v>
      </c>
      <c r="C10" s="7" t="s">
        <v>22</v>
      </c>
      <c r="D10" s="7" t="s">
        <v>10</v>
      </c>
      <c r="E10" s="8">
        <v>14446</v>
      </c>
      <c r="F10" s="8">
        <v>13273</v>
      </c>
      <c r="G10" s="8">
        <v>6892</v>
      </c>
      <c r="H10" s="8">
        <v>2249</v>
      </c>
      <c r="I10" s="7" t="s">
        <v>13</v>
      </c>
      <c r="J10" s="11">
        <f t="shared" si="0"/>
        <v>8.8374896406238232E-2</v>
      </c>
      <c r="K10" s="11">
        <f t="shared" si="1"/>
        <v>0.3263203714451538</v>
      </c>
    </row>
    <row r="11" spans="1:11" hidden="1" x14ac:dyDescent="0.3">
      <c r="A11" s="9">
        <v>10</v>
      </c>
      <c r="B11" s="9">
        <v>22</v>
      </c>
      <c r="C11" s="9" t="s">
        <v>23</v>
      </c>
      <c r="D11" s="9" t="s">
        <v>10</v>
      </c>
      <c r="E11" s="10">
        <v>13909</v>
      </c>
      <c r="F11" s="10">
        <v>8265</v>
      </c>
      <c r="G11" s="10">
        <v>4195</v>
      </c>
      <c r="H11" s="10">
        <v>789</v>
      </c>
      <c r="I11" s="9" t="s">
        <v>13</v>
      </c>
      <c r="J11" s="12">
        <f t="shared" si="0"/>
        <v>0.6828796128251664</v>
      </c>
      <c r="K11" s="12">
        <f t="shared" si="1"/>
        <v>0.18808104886769964</v>
      </c>
    </row>
    <row r="12" spans="1:11" hidden="1" x14ac:dyDescent="0.3">
      <c r="A12" s="7">
        <v>11</v>
      </c>
      <c r="B12" s="7">
        <v>6</v>
      </c>
      <c r="C12" s="7" t="s">
        <v>24</v>
      </c>
      <c r="D12" s="7" t="s">
        <v>10</v>
      </c>
      <c r="E12" s="8">
        <v>13062</v>
      </c>
      <c r="F12" s="8">
        <v>14725</v>
      </c>
      <c r="G12" s="8">
        <v>8406</v>
      </c>
      <c r="H12" s="8">
        <v>3051</v>
      </c>
      <c r="I12" s="7" t="s">
        <v>13</v>
      </c>
      <c r="J12" s="11">
        <f t="shared" si="0"/>
        <v>-0.11293718166383701</v>
      </c>
      <c r="K12" s="11">
        <f t="shared" si="1"/>
        <v>0.36295503211991437</v>
      </c>
    </row>
    <row r="13" spans="1:11" hidden="1" x14ac:dyDescent="0.3">
      <c r="A13" s="9">
        <v>12</v>
      </c>
      <c r="B13" s="9">
        <v>9</v>
      </c>
      <c r="C13" s="9" t="s">
        <v>25</v>
      </c>
      <c r="D13" s="9" t="s">
        <v>26</v>
      </c>
      <c r="E13" s="10">
        <v>11898</v>
      </c>
      <c r="F13" s="10">
        <v>13282</v>
      </c>
      <c r="G13" s="10">
        <v>2430</v>
      </c>
      <c r="H13" s="10">
        <v>633</v>
      </c>
      <c r="I13" s="9" t="s">
        <v>17</v>
      </c>
      <c r="J13" s="12">
        <f t="shared" si="0"/>
        <v>-0.10420117452190936</v>
      </c>
      <c r="K13" s="12">
        <f t="shared" si="1"/>
        <v>0.26049382716049385</v>
      </c>
    </row>
    <row r="14" spans="1:11" hidden="1" x14ac:dyDescent="0.3">
      <c r="A14" s="7">
        <v>13</v>
      </c>
      <c r="B14" s="7">
        <v>8</v>
      </c>
      <c r="C14" s="7" t="s">
        <v>27</v>
      </c>
      <c r="D14" s="7" t="s">
        <v>28</v>
      </c>
      <c r="E14" s="8">
        <v>11782</v>
      </c>
      <c r="F14" s="8">
        <v>13517</v>
      </c>
      <c r="G14" s="8">
        <v>3980</v>
      </c>
      <c r="H14" s="8">
        <v>668</v>
      </c>
      <c r="I14" s="7" t="s">
        <v>17</v>
      </c>
      <c r="J14" s="11">
        <f t="shared" si="0"/>
        <v>-0.12835688392394762</v>
      </c>
      <c r="K14" s="11">
        <f t="shared" si="1"/>
        <v>0.16783919597989949</v>
      </c>
    </row>
    <row r="15" spans="1:11" hidden="1" x14ac:dyDescent="0.3">
      <c r="A15" s="9">
        <v>14</v>
      </c>
      <c r="B15" s="9">
        <v>11</v>
      </c>
      <c r="C15" s="9" t="s">
        <v>29</v>
      </c>
      <c r="D15" s="9" t="s">
        <v>10</v>
      </c>
      <c r="E15" s="10">
        <v>11581</v>
      </c>
      <c r="F15" s="10">
        <v>13008</v>
      </c>
      <c r="G15" s="10">
        <v>11642</v>
      </c>
      <c r="H15" s="10">
        <v>2235</v>
      </c>
      <c r="I15" s="9" t="s">
        <v>13</v>
      </c>
      <c r="J15" s="12">
        <f t="shared" si="0"/>
        <v>-0.10970172201722017</v>
      </c>
      <c r="K15" s="12">
        <f t="shared" si="1"/>
        <v>0.19197732348393748</v>
      </c>
    </row>
    <row r="16" spans="1:11" hidden="1" x14ac:dyDescent="0.3">
      <c r="A16" s="7">
        <v>15</v>
      </c>
      <c r="B16" s="7">
        <v>20</v>
      </c>
      <c r="C16" s="7" t="s">
        <v>30</v>
      </c>
      <c r="D16" s="7" t="s">
        <v>31</v>
      </c>
      <c r="E16" s="8">
        <v>11203</v>
      </c>
      <c r="F16" s="8">
        <v>8947</v>
      </c>
      <c r="G16" s="8">
        <v>3375</v>
      </c>
      <c r="H16" s="8">
        <v>881</v>
      </c>
      <c r="I16" s="7" t="s">
        <v>13</v>
      </c>
      <c r="J16" s="11">
        <f t="shared" si="0"/>
        <v>0.25215155918184867</v>
      </c>
      <c r="K16" s="11">
        <f t="shared" si="1"/>
        <v>0.26103703703703701</v>
      </c>
    </row>
    <row r="17" spans="1:11" hidden="1" x14ac:dyDescent="0.3">
      <c r="A17" s="9">
        <v>16</v>
      </c>
      <c r="B17" s="9">
        <v>24</v>
      </c>
      <c r="C17" s="9" t="s">
        <v>32</v>
      </c>
      <c r="D17" s="9" t="s">
        <v>10</v>
      </c>
      <c r="E17" s="10">
        <v>11048</v>
      </c>
      <c r="F17" s="10">
        <v>7239</v>
      </c>
      <c r="G17" s="10">
        <v>9040</v>
      </c>
      <c r="H17" s="10">
        <v>1201</v>
      </c>
      <c r="I17" s="9" t="s">
        <v>15</v>
      </c>
      <c r="J17" s="12">
        <f t="shared" si="0"/>
        <v>0.52617764884652574</v>
      </c>
      <c r="K17" s="12">
        <f t="shared" si="1"/>
        <v>0.13285398230088497</v>
      </c>
    </row>
    <row r="18" spans="1:11" hidden="1" x14ac:dyDescent="0.3">
      <c r="A18" s="7">
        <v>17</v>
      </c>
      <c r="B18" s="7">
        <v>19</v>
      </c>
      <c r="C18" s="7" t="s">
        <v>33</v>
      </c>
      <c r="D18" s="7" t="s">
        <v>10</v>
      </c>
      <c r="E18" s="8">
        <v>11003</v>
      </c>
      <c r="F18" s="8">
        <v>8978</v>
      </c>
      <c r="G18" s="8">
        <v>8694</v>
      </c>
      <c r="H18" s="8">
        <v>640</v>
      </c>
      <c r="I18" s="7" t="s">
        <v>15</v>
      </c>
      <c r="J18" s="11">
        <f t="shared" si="0"/>
        <v>0.22555134773891736</v>
      </c>
      <c r="K18" s="11">
        <f t="shared" si="1"/>
        <v>7.3613986657464922E-2</v>
      </c>
    </row>
    <row r="19" spans="1:11" hidden="1" x14ac:dyDescent="0.3">
      <c r="A19" s="9">
        <v>18</v>
      </c>
      <c r="B19" s="9">
        <v>23</v>
      </c>
      <c r="C19" s="9" t="s">
        <v>34</v>
      </c>
      <c r="D19" s="9" t="s">
        <v>31</v>
      </c>
      <c r="E19" s="10">
        <v>10471</v>
      </c>
      <c r="F19" s="10">
        <v>7963</v>
      </c>
      <c r="G19" s="10">
        <v>4036</v>
      </c>
      <c r="H19" s="10">
        <v>729</v>
      </c>
      <c r="I19" s="9" t="s">
        <v>17</v>
      </c>
      <c r="J19" s="12">
        <f t="shared" si="0"/>
        <v>0.31495667462011806</v>
      </c>
      <c r="K19" s="12">
        <f t="shared" si="1"/>
        <v>0.18062438057482655</v>
      </c>
    </row>
    <row r="20" spans="1:11" hidden="1" x14ac:dyDescent="0.3">
      <c r="A20" s="7">
        <v>19</v>
      </c>
      <c r="B20" s="7">
        <v>15</v>
      </c>
      <c r="C20" s="7" t="s">
        <v>35</v>
      </c>
      <c r="D20" s="7" t="s">
        <v>28</v>
      </c>
      <c r="E20" s="8">
        <v>10250</v>
      </c>
      <c r="F20" s="8">
        <v>9913</v>
      </c>
      <c r="G20" s="8">
        <v>4425</v>
      </c>
      <c r="H20" s="8">
        <v>572</v>
      </c>
      <c r="I20" s="7" t="s">
        <v>15</v>
      </c>
      <c r="J20" s="11">
        <f t="shared" si="0"/>
        <v>3.3995763139312012E-2</v>
      </c>
      <c r="K20" s="11">
        <f t="shared" si="1"/>
        <v>0.12926553672316385</v>
      </c>
    </row>
    <row r="21" spans="1:11" hidden="1" x14ac:dyDescent="0.3">
      <c r="A21" s="9">
        <v>20</v>
      </c>
      <c r="B21" s="9">
        <v>17</v>
      </c>
      <c r="C21" s="9" t="s">
        <v>36</v>
      </c>
      <c r="D21" s="9" t="s">
        <v>10</v>
      </c>
      <c r="E21" s="10">
        <v>10032</v>
      </c>
      <c r="F21" s="10">
        <v>9094</v>
      </c>
      <c r="G21" s="10">
        <v>4029</v>
      </c>
      <c r="H21" s="10">
        <v>622</v>
      </c>
      <c r="I21" s="9" t="s">
        <v>13</v>
      </c>
      <c r="J21" s="12">
        <f t="shared" si="0"/>
        <v>0.10314493072355399</v>
      </c>
      <c r="K21" s="12">
        <f t="shared" si="1"/>
        <v>0.15438073963762719</v>
      </c>
    </row>
    <row r="22" spans="1:11" hidden="1" x14ac:dyDescent="0.3">
      <c r="A22" s="7">
        <v>21</v>
      </c>
      <c r="B22" s="7">
        <v>26</v>
      </c>
      <c r="C22" s="7" t="s">
        <v>37</v>
      </c>
      <c r="D22" s="7" t="s">
        <v>10</v>
      </c>
      <c r="E22" s="8">
        <v>9577</v>
      </c>
      <c r="F22" s="8">
        <v>6292</v>
      </c>
      <c r="G22" s="8">
        <v>10901</v>
      </c>
      <c r="H22" s="8">
        <v>305</v>
      </c>
      <c r="I22" s="7" t="s">
        <v>11</v>
      </c>
      <c r="J22" s="11">
        <f t="shared" si="0"/>
        <v>0.52209154481881759</v>
      </c>
      <c r="K22" s="11">
        <f t="shared" si="1"/>
        <v>2.7979084487661683E-2</v>
      </c>
    </row>
    <row r="23" spans="1:11" hidden="1" x14ac:dyDescent="0.3">
      <c r="A23" s="9">
        <v>22</v>
      </c>
      <c r="B23" s="9">
        <v>28</v>
      </c>
      <c r="C23" s="9" t="s">
        <v>38</v>
      </c>
      <c r="D23" s="9" t="s">
        <v>10</v>
      </c>
      <c r="E23" s="10">
        <v>8393</v>
      </c>
      <c r="F23" s="10">
        <v>6019</v>
      </c>
      <c r="G23" s="10">
        <v>4501</v>
      </c>
      <c r="H23" s="10">
        <v>209</v>
      </c>
      <c r="I23" s="9" t="s">
        <v>15</v>
      </c>
      <c r="J23" s="12">
        <f t="shared" si="0"/>
        <v>0.39441767735504235</v>
      </c>
      <c r="K23" s="12">
        <f t="shared" si="1"/>
        <v>4.6434125749833369E-2</v>
      </c>
    </row>
    <row r="24" spans="1:11" hidden="1" x14ac:dyDescent="0.3">
      <c r="A24" s="7">
        <v>23</v>
      </c>
      <c r="B24" s="7">
        <v>32</v>
      </c>
      <c r="C24" s="7" t="s">
        <v>39</v>
      </c>
      <c r="D24" s="7" t="s">
        <v>10</v>
      </c>
      <c r="E24" s="8">
        <v>8153</v>
      </c>
      <c r="F24" s="8">
        <v>4822</v>
      </c>
      <c r="G24" s="8">
        <v>6617</v>
      </c>
      <c r="H24" s="8">
        <v>781</v>
      </c>
      <c r="I24" s="7" t="s">
        <v>15</v>
      </c>
      <c r="J24" s="11">
        <f t="shared" si="0"/>
        <v>0.69079220240564077</v>
      </c>
      <c r="K24" s="11">
        <f t="shared" si="1"/>
        <v>0.11802931842224573</v>
      </c>
    </row>
    <row r="25" spans="1:11" hidden="1" x14ac:dyDescent="0.3">
      <c r="A25" s="9">
        <v>24</v>
      </c>
      <c r="B25" s="9">
        <v>25</v>
      </c>
      <c r="C25" s="9" t="s">
        <v>40</v>
      </c>
      <c r="D25" s="9" t="s">
        <v>10</v>
      </c>
      <c r="E25" s="10">
        <v>7300</v>
      </c>
      <c r="F25" s="10">
        <v>6497</v>
      </c>
      <c r="G25" s="10">
        <v>7448</v>
      </c>
      <c r="H25" s="10">
        <v>200</v>
      </c>
      <c r="I25" s="9" t="s">
        <v>41</v>
      </c>
      <c r="J25" s="12">
        <f t="shared" si="0"/>
        <v>0.12359550561797752</v>
      </c>
      <c r="K25" s="12">
        <f t="shared" si="1"/>
        <v>2.6852846401718582E-2</v>
      </c>
    </row>
    <row r="26" spans="1:11" hidden="1" x14ac:dyDescent="0.3">
      <c r="A26" s="7">
        <v>25</v>
      </c>
      <c r="B26" s="7">
        <v>16</v>
      </c>
      <c r="C26" s="7" t="s">
        <v>42</v>
      </c>
      <c r="D26" s="7" t="s">
        <v>31</v>
      </c>
      <c r="E26" s="8">
        <v>6903</v>
      </c>
      <c r="F26" s="8">
        <v>4112</v>
      </c>
      <c r="G26" s="8">
        <v>3888</v>
      </c>
      <c r="H26" s="8">
        <v>339</v>
      </c>
      <c r="I26" s="7" t="s">
        <v>17</v>
      </c>
      <c r="J26" s="11">
        <f t="shared" si="0"/>
        <v>0.67874513618677046</v>
      </c>
      <c r="K26" s="11">
        <f t="shared" si="1"/>
        <v>8.7191358024691357E-2</v>
      </c>
    </row>
    <row r="27" spans="1:11" hidden="1" x14ac:dyDescent="0.3">
      <c r="A27" s="9">
        <v>26</v>
      </c>
      <c r="B27" s="9">
        <v>45</v>
      </c>
      <c r="C27" s="9" t="s">
        <v>43</v>
      </c>
      <c r="D27" s="9" t="s">
        <v>10</v>
      </c>
      <c r="E27" s="10">
        <v>6716</v>
      </c>
      <c r="F27" s="10">
        <v>2974</v>
      </c>
      <c r="G27" s="10">
        <v>3703</v>
      </c>
      <c r="H27" s="10">
        <v>350</v>
      </c>
      <c r="I27" s="9" t="s">
        <v>15</v>
      </c>
      <c r="J27" s="12">
        <f t="shared" si="0"/>
        <v>1.2582380632145258</v>
      </c>
      <c r="K27" s="12">
        <f t="shared" si="1"/>
        <v>9.4517958412098299E-2</v>
      </c>
    </row>
    <row r="28" spans="1:11" hidden="1" x14ac:dyDescent="0.3">
      <c r="A28" s="7">
        <v>27</v>
      </c>
      <c r="B28" s="7">
        <v>33</v>
      </c>
      <c r="C28" s="7" t="s">
        <v>44</v>
      </c>
      <c r="D28" s="7" t="s">
        <v>10</v>
      </c>
      <c r="E28" s="8">
        <v>6186</v>
      </c>
      <c r="F28" s="8">
        <v>4462</v>
      </c>
      <c r="G28" s="8">
        <v>2450</v>
      </c>
      <c r="H28" s="8">
        <v>311</v>
      </c>
      <c r="I28" s="7" t="s">
        <v>45</v>
      </c>
      <c r="J28" s="11">
        <f t="shared" si="0"/>
        <v>0.38637382339757959</v>
      </c>
      <c r="K28" s="11">
        <f t="shared" si="1"/>
        <v>0.12693877551020408</v>
      </c>
    </row>
    <row r="29" spans="1:11" hidden="1" x14ac:dyDescent="0.3">
      <c r="A29" s="9">
        <v>28</v>
      </c>
      <c r="B29" s="9">
        <v>21</v>
      </c>
      <c r="C29" s="9" t="s">
        <v>46</v>
      </c>
      <c r="D29" s="9" t="s">
        <v>10</v>
      </c>
      <c r="E29" s="10">
        <v>5919</v>
      </c>
      <c r="F29" s="10">
        <v>8886</v>
      </c>
      <c r="G29" s="10">
        <v>2118</v>
      </c>
      <c r="H29" s="10">
        <v>609</v>
      </c>
      <c r="I29" s="9" t="s">
        <v>13</v>
      </c>
      <c r="J29" s="12">
        <f t="shared" si="0"/>
        <v>-0.33389601620526671</v>
      </c>
      <c r="K29" s="12">
        <f t="shared" si="1"/>
        <v>0.28753541076487255</v>
      </c>
    </row>
    <row r="30" spans="1:11" hidden="1" x14ac:dyDescent="0.3">
      <c r="A30" s="7">
        <v>29</v>
      </c>
      <c r="B30" s="7">
        <v>38</v>
      </c>
      <c r="C30" s="7" t="s">
        <v>47</v>
      </c>
      <c r="D30" s="7" t="s">
        <v>10</v>
      </c>
      <c r="E30" s="8">
        <v>5886</v>
      </c>
      <c r="F30" s="8">
        <v>4018</v>
      </c>
      <c r="G30" s="8">
        <v>5249</v>
      </c>
      <c r="H30" s="8">
        <v>329</v>
      </c>
      <c r="I30" s="7" t="s">
        <v>48</v>
      </c>
      <c r="J30" s="11">
        <f t="shared" si="0"/>
        <v>0.4649079143852663</v>
      </c>
      <c r="K30" s="11">
        <f t="shared" si="1"/>
        <v>6.2678605448656888E-2</v>
      </c>
    </row>
    <row r="31" spans="1:11" hidden="1" x14ac:dyDescent="0.3">
      <c r="A31" s="9">
        <v>30</v>
      </c>
      <c r="B31" s="9">
        <v>42</v>
      </c>
      <c r="C31" s="9" t="s">
        <v>49</v>
      </c>
      <c r="D31" s="9" t="s">
        <v>10</v>
      </c>
      <c r="E31" s="10">
        <v>5826</v>
      </c>
      <c r="F31" s="10">
        <v>4002</v>
      </c>
      <c r="G31" s="10">
        <v>4269</v>
      </c>
      <c r="H31" s="10">
        <v>230</v>
      </c>
      <c r="I31" s="9" t="s">
        <v>15</v>
      </c>
      <c r="J31" s="12">
        <f t="shared" si="0"/>
        <v>0.45577211394302847</v>
      </c>
      <c r="K31" s="12">
        <f t="shared" si="1"/>
        <v>5.3876786132583745E-2</v>
      </c>
    </row>
    <row r="32" spans="1:11" hidden="1" x14ac:dyDescent="0.3">
      <c r="A32" s="7">
        <v>31</v>
      </c>
      <c r="B32" s="7">
        <v>27</v>
      </c>
      <c r="C32" s="7" t="s">
        <v>50</v>
      </c>
      <c r="D32" s="7" t="s">
        <v>31</v>
      </c>
      <c r="E32" s="8">
        <v>5759</v>
      </c>
      <c r="F32" s="8">
        <v>6078</v>
      </c>
      <c r="G32" s="8">
        <v>628</v>
      </c>
      <c r="H32" s="8">
        <v>224</v>
      </c>
      <c r="I32" s="7" t="s">
        <v>13</v>
      </c>
      <c r="J32" s="11">
        <f t="shared" si="0"/>
        <v>-5.2484369858506089E-2</v>
      </c>
      <c r="K32" s="11">
        <f t="shared" si="1"/>
        <v>0.35668789808917195</v>
      </c>
    </row>
    <row r="33" spans="1:11" hidden="1" x14ac:dyDescent="0.3">
      <c r="A33" s="9">
        <v>32</v>
      </c>
      <c r="B33" s="9">
        <v>29</v>
      </c>
      <c r="C33" s="9" t="s">
        <v>51</v>
      </c>
      <c r="D33" s="9" t="s">
        <v>28</v>
      </c>
      <c r="E33" s="10">
        <v>5622</v>
      </c>
      <c r="F33" s="10">
        <v>5652</v>
      </c>
      <c r="G33" s="10">
        <v>2953</v>
      </c>
      <c r="H33" s="10">
        <v>196</v>
      </c>
      <c r="I33" s="9" t="s">
        <v>15</v>
      </c>
      <c r="J33" s="12">
        <f t="shared" si="0"/>
        <v>-5.3078556263269636E-3</v>
      </c>
      <c r="K33" s="12">
        <f t="shared" si="1"/>
        <v>6.6373179817135114E-2</v>
      </c>
    </row>
    <row r="34" spans="1:11" hidden="1" x14ac:dyDescent="0.3">
      <c r="A34" s="7">
        <v>33</v>
      </c>
      <c r="B34" s="7">
        <v>47</v>
      </c>
      <c r="C34" s="7" t="s">
        <v>52</v>
      </c>
      <c r="D34" s="7" t="s">
        <v>10</v>
      </c>
      <c r="E34" s="8">
        <v>5471</v>
      </c>
      <c r="F34" s="8">
        <v>3177</v>
      </c>
      <c r="G34" s="8">
        <v>1212</v>
      </c>
      <c r="H34" s="8">
        <v>188</v>
      </c>
      <c r="I34" s="7" t="s">
        <v>15</v>
      </c>
      <c r="J34" s="11">
        <f t="shared" si="0"/>
        <v>0.72206484104501101</v>
      </c>
      <c r="K34" s="11">
        <f t="shared" si="1"/>
        <v>0.15511551155115511</v>
      </c>
    </row>
    <row r="35" spans="1:11" hidden="1" x14ac:dyDescent="0.3">
      <c r="A35" s="9">
        <v>34</v>
      </c>
      <c r="B35" s="9">
        <v>35</v>
      </c>
      <c r="C35" s="9" t="s">
        <v>53</v>
      </c>
      <c r="D35" s="9" t="s">
        <v>10</v>
      </c>
      <c r="E35" s="10">
        <v>5296</v>
      </c>
      <c r="F35" s="10">
        <v>4223</v>
      </c>
      <c r="G35" s="10">
        <v>2216</v>
      </c>
      <c r="H35" s="10">
        <v>757</v>
      </c>
      <c r="I35" s="9" t="s">
        <v>54</v>
      </c>
      <c r="J35" s="12">
        <f t="shared" si="0"/>
        <v>0.25408477385744732</v>
      </c>
      <c r="K35" s="12">
        <f t="shared" si="1"/>
        <v>0.34160649819494587</v>
      </c>
    </row>
    <row r="36" spans="1:11" hidden="1" x14ac:dyDescent="0.3">
      <c r="A36" s="7">
        <v>35</v>
      </c>
      <c r="B36" s="7">
        <v>40</v>
      </c>
      <c r="C36" s="7" t="s">
        <v>55</v>
      </c>
      <c r="D36" s="7" t="s">
        <v>10</v>
      </c>
      <c r="E36" s="8">
        <v>5209</v>
      </c>
      <c r="F36" s="8">
        <v>3926</v>
      </c>
      <c r="G36" s="8">
        <v>5729</v>
      </c>
      <c r="H36" s="8">
        <v>249</v>
      </c>
      <c r="I36" s="7" t="s">
        <v>48</v>
      </c>
      <c r="J36" s="11">
        <f t="shared" si="0"/>
        <v>0.32679572083545594</v>
      </c>
      <c r="K36" s="11">
        <f t="shared" si="1"/>
        <v>4.3463082562401813E-2</v>
      </c>
    </row>
    <row r="37" spans="1:11" hidden="1" x14ac:dyDescent="0.3">
      <c r="A37" s="9">
        <v>36</v>
      </c>
      <c r="B37" s="9">
        <v>39</v>
      </c>
      <c r="C37" s="9" t="s">
        <v>56</v>
      </c>
      <c r="D37" s="9" t="s">
        <v>10</v>
      </c>
      <c r="E37" s="10">
        <v>5160</v>
      </c>
      <c r="F37" s="10">
        <v>4008</v>
      </c>
      <c r="G37" s="10">
        <v>2660</v>
      </c>
      <c r="H37" s="10">
        <v>127</v>
      </c>
      <c r="I37" s="9" t="s">
        <v>11</v>
      </c>
      <c r="J37" s="12">
        <f t="shared" si="0"/>
        <v>0.28742514970059879</v>
      </c>
      <c r="K37" s="12">
        <f t="shared" si="1"/>
        <v>4.7744360902255638E-2</v>
      </c>
    </row>
    <row r="38" spans="1:11" hidden="1" x14ac:dyDescent="0.3">
      <c r="A38" s="7">
        <v>37</v>
      </c>
      <c r="B38" s="7">
        <v>30</v>
      </c>
      <c r="C38" s="7" t="s">
        <v>57</v>
      </c>
      <c r="D38" s="7" t="s">
        <v>58</v>
      </c>
      <c r="E38" s="8">
        <v>5009</v>
      </c>
      <c r="F38" s="8">
        <v>5432</v>
      </c>
      <c r="G38" s="8">
        <v>3216</v>
      </c>
      <c r="H38" s="8">
        <v>845</v>
      </c>
      <c r="I38" s="7" t="s">
        <v>15</v>
      </c>
      <c r="J38" s="11">
        <f t="shared" si="0"/>
        <v>-7.7871870397643594E-2</v>
      </c>
      <c r="K38" s="11">
        <f t="shared" si="1"/>
        <v>0.26274875621890548</v>
      </c>
    </row>
    <row r="39" spans="1:11" hidden="1" x14ac:dyDescent="0.3">
      <c r="A39" s="9">
        <v>38</v>
      </c>
      <c r="B39" s="9">
        <v>31</v>
      </c>
      <c r="C39" s="9" t="s">
        <v>59</v>
      </c>
      <c r="D39" s="9" t="s">
        <v>60</v>
      </c>
      <c r="E39" s="10">
        <v>4856</v>
      </c>
      <c r="F39" s="10">
        <v>4527</v>
      </c>
      <c r="G39" s="10">
        <v>1762</v>
      </c>
      <c r="H39" s="10">
        <v>420</v>
      </c>
      <c r="I39" s="9" t="s">
        <v>13</v>
      </c>
      <c r="J39" s="12">
        <f t="shared" si="0"/>
        <v>7.2675060746631326E-2</v>
      </c>
      <c r="K39" s="12">
        <f t="shared" si="1"/>
        <v>0.2383654937570942</v>
      </c>
    </row>
    <row r="40" spans="1:11" hidden="1" x14ac:dyDescent="0.3">
      <c r="A40" s="7">
        <v>39</v>
      </c>
      <c r="B40" s="7">
        <v>36</v>
      </c>
      <c r="C40" s="7" t="s">
        <v>61</v>
      </c>
      <c r="D40" s="7" t="s">
        <v>28</v>
      </c>
      <c r="E40" s="8">
        <v>4623</v>
      </c>
      <c r="F40" s="8">
        <v>4167</v>
      </c>
      <c r="G40" s="8">
        <v>911</v>
      </c>
      <c r="H40" s="8"/>
      <c r="I40" s="7" t="s">
        <v>13</v>
      </c>
      <c r="J40" s="11">
        <f t="shared" si="0"/>
        <v>0.10943124550035997</v>
      </c>
      <c r="K40" s="11">
        <f t="shared" si="1"/>
        <v>0</v>
      </c>
    </row>
    <row r="41" spans="1:11" hidden="1" x14ac:dyDescent="0.3">
      <c r="A41" s="9">
        <v>40</v>
      </c>
      <c r="B41" s="9">
        <v>37</v>
      </c>
      <c r="C41" s="9" t="s">
        <v>63</v>
      </c>
      <c r="D41" s="9" t="s">
        <v>10</v>
      </c>
      <c r="E41" s="10">
        <v>4437</v>
      </c>
      <c r="F41" s="10">
        <v>4027</v>
      </c>
      <c r="G41" s="10">
        <v>16755</v>
      </c>
      <c r="H41" s="10">
        <v>450</v>
      </c>
      <c r="I41" s="9" t="s">
        <v>15</v>
      </c>
      <c r="J41" s="12">
        <f t="shared" si="0"/>
        <v>0.10181276384405265</v>
      </c>
      <c r="K41" s="12">
        <f t="shared" si="1"/>
        <v>2.685765443151298E-2</v>
      </c>
    </row>
    <row r="42" spans="1:11" hidden="1" x14ac:dyDescent="0.3">
      <c r="A42" s="7">
        <v>41</v>
      </c>
      <c r="B42" s="7">
        <v>34</v>
      </c>
      <c r="C42" s="7" t="s">
        <v>64</v>
      </c>
      <c r="D42" s="7" t="s">
        <v>10</v>
      </c>
      <c r="E42" s="8">
        <v>4400</v>
      </c>
      <c r="F42" s="8">
        <v>4227</v>
      </c>
      <c r="G42" s="8">
        <v>1275</v>
      </c>
      <c r="H42" s="8">
        <v>819</v>
      </c>
      <c r="I42" s="7" t="s">
        <v>13</v>
      </c>
      <c r="J42" s="11">
        <f t="shared" si="0"/>
        <v>4.0927371658386565E-2</v>
      </c>
      <c r="K42" s="11">
        <f t="shared" si="1"/>
        <v>0.64235294117647057</v>
      </c>
    </row>
    <row r="43" spans="1:11" hidden="1" x14ac:dyDescent="0.3">
      <c r="A43" s="9">
        <v>42</v>
      </c>
      <c r="B43" s="9">
        <v>43</v>
      </c>
      <c r="C43" s="9" t="s">
        <v>65</v>
      </c>
      <c r="D43" s="9" t="s">
        <v>28</v>
      </c>
      <c r="E43" s="10">
        <v>4238</v>
      </c>
      <c r="F43" s="10">
        <v>3563</v>
      </c>
      <c r="G43" s="10">
        <v>2270</v>
      </c>
      <c r="H43" s="10">
        <v>223</v>
      </c>
      <c r="I43" s="9" t="s">
        <v>15</v>
      </c>
      <c r="J43" s="12">
        <f t="shared" si="0"/>
        <v>0.18944709514454111</v>
      </c>
      <c r="K43" s="12">
        <f t="shared" si="1"/>
        <v>9.8237885462555061E-2</v>
      </c>
    </row>
    <row r="44" spans="1:11" hidden="1" x14ac:dyDescent="0.3">
      <c r="A44" s="7">
        <v>43</v>
      </c>
      <c r="B44" s="7">
        <v>44</v>
      </c>
      <c r="C44" s="7" t="s">
        <v>66</v>
      </c>
      <c r="D44" s="7" t="s">
        <v>10</v>
      </c>
      <c r="E44" s="8">
        <v>4160</v>
      </c>
      <c r="F44" s="8">
        <v>3516</v>
      </c>
      <c r="G44" s="8">
        <v>5245</v>
      </c>
      <c r="H44" s="8">
        <v>270</v>
      </c>
      <c r="I44" s="7" t="s">
        <v>11</v>
      </c>
      <c r="J44" s="11">
        <f t="shared" si="0"/>
        <v>0.18316268486916951</v>
      </c>
      <c r="K44" s="11">
        <f t="shared" si="1"/>
        <v>5.1477597712106769E-2</v>
      </c>
    </row>
    <row r="45" spans="1:11" hidden="1" x14ac:dyDescent="0.3">
      <c r="A45" s="9">
        <v>44</v>
      </c>
      <c r="B45" s="9">
        <v>41</v>
      </c>
      <c r="C45" s="9" t="s">
        <v>67</v>
      </c>
      <c r="D45" s="9" t="s">
        <v>10</v>
      </c>
      <c r="E45" s="10">
        <v>3989</v>
      </c>
      <c r="F45" s="10">
        <v>3864</v>
      </c>
      <c r="G45" s="10">
        <v>3260</v>
      </c>
      <c r="H45" s="10">
        <v>132</v>
      </c>
      <c r="I45" s="9" t="s">
        <v>17</v>
      </c>
      <c r="J45" s="12">
        <f t="shared" si="0"/>
        <v>3.2349896480331264E-2</v>
      </c>
      <c r="K45" s="12">
        <f t="shared" si="1"/>
        <v>4.0490797546012272E-2</v>
      </c>
    </row>
    <row r="46" spans="1:11" hidden="1" x14ac:dyDescent="0.3">
      <c r="A46" s="7">
        <v>45</v>
      </c>
      <c r="B46" s="7">
        <v>46</v>
      </c>
      <c r="C46" s="7" t="s">
        <v>68</v>
      </c>
      <c r="D46" s="7" t="s">
        <v>10</v>
      </c>
      <c r="E46" s="8">
        <v>3912</v>
      </c>
      <c r="F46" s="8">
        <v>3457</v>
      </c>
      <c r="G46" s="8">
        <v>1347</v>
      </c>
      <c r="H46" s="8">
        <v>162</v>
      </c>
      <c r="I46" s="7" t="s">
        <v>11</v>
      </c>
      <c r="J46" s="11">
        <f t="shared" si="0"/>
        <v>0.13161700896731271</v>
      </c>
      <c r="K46" s="11">
        <f t="shared" si="1"/>
        <v>0.12026726057906459</v>
      </c>
    </row>
    <row r="47" spans="1:11" hidden="1" x14ac:dyDescent="0.3">
      <c r="A47" s="9">
        <v>46</v>
      </c>
      <c r="B47" s="9" t="s">
        <v>69</v>
      </c>
      <c r="C47" s="9" t="s">
        <v>70</v>
      </c>
      <c r="D47" s="9" t="s">
        <v>71</v>
      </c>
      <c r="E47" s="10">
        <v>3793</v>
      </c>
      <c r="F47" s="10">
        <v>4364</v>
      </c>
      <c r="G47" s="10">
        <v>1072</v>
      </c>
      <c r="H47" s="10">
        <v>352</v>
      </c>
      <c r="I47" s="9" t="s">
        <v>15</v>
      </c>
      <c r="J47" s="12">
        <f t="shared" si="0"/>
        <v>-0.13084326306141156</v>
      </c>
      <c r="K47" s="12">
        <f t="shared" si="1"/>
        <v>0.32835820895522388</v>
      </c>
    </row>
    <row r="48" spans="1:11" hidden="1" x14ac:dyDescent="0.3">
      <c r="A48" s="7">
        <v>47</v>
      </c>
      <c r="B48" s="7">
        <v>131</v>
      </c>
      <c r="C48" s="7" t="s">
        <v>72</v>
      </c>
      <c r="D48" s="7" t="s">
        <v>73</v>
      </c>
      <c r="E48" s="8">
        <v>3479</v>
      </c>
      <c r="F48" s="8">
        <v>968</v>
      </c>
      <c r="G48" s="8">
        <v>561</v>
      </c>
      <c r="H48" s="8">
        <v>17</v>
      </c>
      <c r="I48" s="7" t="s">
        <v>17</v>
      </c>
      <c r="J48" s="11">
        <f t="shared" si="0"/>
        <v>2.59400826446281</v>
      </c>
      <c r="K48" s="11">
        <f t="shared" si="1"/>
        <v>3.0303030303030304E-2</v>
      </c>
    </row>
    <row r="49" spans="1:12" hidden="1" x14ac:dyDescent="0.3">
      <c r="A49" s="9">
        <v>48</v>
      </c>
      <c r="B49" s="9">
        <v>49</v>
      </c>
      <c r="C49" s="9" t="s">
        <v>74</v>
      </c>
      <c r="D49" s="9" t="s">
        <v>10</v>
      </c>
      <c r="E49" s="10">
        <v>3456</v>
      </c>
      <c r="F49" s="10">
        <v>3067</v>
      </c>
      <c r="G49" s="10">
        <v>818</v>
      </c>
      <c r="H49" s="10">
        <v>32</v>
      </c>
      <c r="I49" s="9" t="s">
        <v>15</v>
      </c>
      <c r="J49" s="12">
        <f t="shared" si="0"/>
        <v>0.12683403977828497</v>
      </c>
      <c r="K49" s="12">
        <f t="shared" si="1"/>
        <v>3.9119804400977995E-2</v>
      </c>
    </row>
    <row r="50" spans="1:12" hidden="1" x14ac:dyDescent="0.3">
      <c r="A50" s="7">
        <v>49</v>
      </c>
      <c r="B50" s="7">
        <v>50</v>
      </c>
      <c r="C50" s="7" t="s">
        <v>76</v>
      </c>
      <c r="D50" s="7" t="s">
        <v>10</v>
      </c>
      <c r="E50" s="8">
        <v>3339</v>
      </c>
      <c r="F50" s="8">
        <v>2753</v>
      </c>
      <c r="G50" s="8">
        <v>2133</v>
      </c>
      <c r="H50" s="8">
        <v>114</v>
      </c>
      <c r="I50" s="7" t="s">
        <v>48</v>
      </c>
      <c r="J50" s="11">
        <f t="shared" si="0"/>
        <v>0.21285869960043588</v>
      </c>
      <c r="K50" s="11">
        <f t="shared" si="1"/>
        <v>5.3445850914205346E-2</v>
      </c>
    </row>
    <row r="51" spans="1:12" hidden="1" x14ac:dyDescent="0.3">
      <c r="A51" s="9">
        <v>50</v>
      </c>
      <c r="B51" s="9">
        <v>63</v>
      </c>
      <c r="C51" s="9" t="s">
        <v>78</v>
      </c>
      <c r="D51" s="9" t="s">
        <v>10</v>
      </c>
      <c r="E51" s="10">
        <v>3194</v>
      </c>
      <c r="F51" s="10">
        <v>1963</v>
      </c>
      <c r="G51" s="10">
        <v>1111</v>
      </c>
      <c r="H51" s="10">
        <v>440</v>
      </c>
      <c r="I51" s="9" t="s">
        <v>13</v>
      </c>
      <c r="J51" s="12">
        <f t="shared" si="0"/>
        <v>0.62710137544574629</v>
      </c>
      <c r="K51" s="12">
        <f t="shared" si="1"/>
        <v>0.39603960396039606</v>
      </c>
    </row>
    <row r="52" spans="1:12" hidden="1" x14ac:dyDescent="0.3">
      <c r="A52" s="7">
        <v>51</v>
      </c>
      <c r="B52" s="7">
        <v>54</v>
      </c>
      <c r="C52" s="7" t="s">
        <v>79</v>
      </c>
      <c r="D52" s="7" t="s">
        <v>10</v>
      </c>
      <c r="E52" s="8">
        <v>3117</v>
      </c>
      <c r="F52" s="8">
        <v>2612</v>
      </c>
      <c r="G52" s="8">
        <v>2856</v>
      </c>
      <c r="H52" s="8">
        <v>330</v>
      </c>
      <c r="I52" s="7" t="s">
        <v>13</v>
      </c>
      <c r="J52" s="11">
        <f t="shared" si="0"/>
        <v>0.19333843797856048</v>
      </c>
      <c r="K52" s="11">
        <f t="shared" si="1"/>
        <v>0.11554621848739496</v>
      </c>
    </row>
    <row r="53" spans="1:12" hidden="1" x14ac:dyDescent="0.3">
      <c r="A53" s="9">
        <v>52</v>
      </c>
      <c r="B53" s="9">
        <v>109</v>
      </c>
      <c r="C53" s="9" t="s">
        <v>80</v>
      </c>
      <c r="D53" s="9" t="s">
        <v>10</v>
      </c>
      <c r="E53" s="10">
        <v>3095</v>
      </c>
      <c r="F53" s="10">
        <v>2999</v>
      </c>
      <c r="G53" s="10">
        <v>1010</v>
      </c>
      <c r="H53" s="10">
        <v>202</v>
      </c>
      <c r="I53" s="9" t="s">
        <v>15</v>
      </c>
      <c r="J53" s="12">
        <f t="shared" si="0"/>
        <v>3.2010670223407804E-2</v>
      </c>
      <c r="K53" s="12">
        <f t="shared" si="1"/>
        <v>0.2</v>
      </c>
    </row>
    <row r="54" spans="1:12" hidden="1" x14ac:dyDescent="0.3">
      <c r="A54" s="7">
        <v>53</v>
      </c>
      <c r="B54" s="7">
        <v>210</v>
      </c>
      <c r="C54" s="7" t="s">
        <v>81</v>
      </c>
      <c r="D54" s="7" t="s">
        <v>10</v>
      </c>
      <c r="E54" s="8">
        <v>2977</v>
      </c>
      <c r="F54" s="8">
        <v>1695</v>
      </c>
      <c r="G54" s="8">
        <v>13</v>
      </c>
      <c r="H54" s="8">
        <v>59</v>
      </c>
      <c r="I54" s="7" t="s">
        <v>15</v>
      </c>
      <c r="J54" s="11">
        <f t="shared" si="0"/>
        <v>0.75634218289085542</v>
      </c>
      <c r="K54" s="11">
        <f t="shared" si="1"/>
        <v>4.5384615384615383</v>
      </c>
    </row>
    <row r="55" spans="1:12" hidden="1" x14ac:dyDescent="0.3">
      <c r="A55" s="9">
        <v>54</v>
      </c>
      <c r="B55" s="9">
        <v>51</v>
      </c>
      <c r="C55" s="9" t="s">
        <v>82</v>
      </c>
      <c r="D55" s="9" t="s">
        <v>28</v>
      </c>
      <c r="E55" s="10">
        <v>2766</v>
      </c>
      <c r="F55" s="10">
        <v>2752</v>
      </c>
      <c r="G55" s="10">
        <v>459</v>
      </c>
      <c r="H55" s="10">
        <v>135</v>
      </c>
      <c r="I55" s="9" t="s">
        <v>13</v>
      </c>
      <c r="J55" s="12">
        <f t="shared" si="0"/>
        <v>5.0872093023255818E-3</v>
      </c>
      <c r="K55" s="12">
        <f t="shared" si="1"/>
        <v>0.29411764705882354</v>
      </c>
    </row>
    <row r="56" spans="1:12" hidden="1" x14ac:dyDescent="0.3">
      <c r="A56" s="7">
        <v>55</v>
      </c>
      <c r="B56" s="7">
        <v>59</v>
      </c>
      <c r="C56" s="7" t="s">
        <v>83</v>
      </c>
      <c r="D56" s="7" t="s">
        <v>84</v>
      </c>
      <c r="E56" s="8">
        <v>2680</v>
      </c>
      <c r="F56" s="8">
        <v>2311</v>
      </c>
      <c r="G56" s="8">
        <v>2405</v>
      </c>
      <c r="H56" s="8">
        <v>380</v>
      </c>
      <c r="I56" s="7" t="s">
        <v>17</v>
      </c>
      <c r="J56" s="11">
        <f t="shared" si="0"/>
        <v>0.15967113803548247</v>
      </c>
      <c r="K56" s="11">
        <f t="shared" si="1"/>
        <v>0.15800415800415801</v>
      </c>
    </row>
    <row r="57" spans="1:12" hidden="1" x14ac:dyDescent="0.3">
      <c r="A57" s="9">
        <v>56</v>
      </c>
      <c r="B57" s="9">
        <v>53</v>
      </c>
      <c r="C57" s="9" t="s">
        <v>85</v>
      </c>
      <c r="D57" s="9" t="s">
        <v>31</v>
      </c>
      <c r="E57" s="10">
        <v>2658</v>
      </c>
      <c r="F57" s="10">
        <v>2662</v>
      </c>
      <c r="G57" s="10">
        <v>858</v>
      </c>
      <c r="H57" s="10">
        <v>98</v>
      </c>
      <c r="I57" s="9" t="s">
        <v>11</v>
      </c>
      <c r="J57" s="12">
        <f t="shared" si="0"/>
        <v>-1.5026296018031556E-3</v>
      </c>
      <c r="K57" s="12">
        <f t="shared" si="1"/>
        <v>0.11421911421911422</v>
      </c>
    </row>
    <row r="58" spans="1:12" hidden="1" x14ac:dyDescent="0.3">
      <c r="A58" s="7">
        <v>57</v>
      </c>
      <c r="B58" s="7">
        <v>72</v>
      </c>
      <c r="C58" s="7" t="s">
        <v>86</v>
      </c>
      <c r="D58" s="7" t="s">
        <v>10</v>
      </c>
      <c r="E58" s="8">
        <v>2641</v>
      </c>
      <c r="F58" s="8">
        <v>1759</v>
      </c>
      <c r="G58" s="8">
        <v>1833</v>
      </c>
      <c r="H58" s="8">
        <v>126</v>
      </c>
      <c r="I58" s="7" t="s">
        <v>11</v>
      </c>
      <c r="J58" s="11">
        <f t="shared" si="0"/>
        <v>0.50142126208072768</v>
      </c>
      <c r="K58" s="11">
        <f t="shared" si="1"/>
        <v>6.8739770867430439E-2</v>
      </c>
    </row>
    <row r="59" spans="1:12" hidden="1" x14ac:dyDescent="0.3">
      <c r="A59" s="9">
        <v>58</v>
      </c>
      <c r="B59" s="9">
        <v>55</v>
      </c>
      <c r="C59" s="9" t="s">
        <v>87</v>
      </c>
      <c r="D59" s="9" t="s">
        <v>28</v>
      </c>
      <c r="E59" s="10">
        <v>2614</v>
      </c>
      <c r="F59" s="10">
        <v>2514</v>
      </c>
      <c r="G59" s="10">
        <v>821</v>
      </c>
      <c r="H59" s="10">
        <v>93</v>
      </c>
      <c r="I59" s="9" t="s">
        <v>88</v>
      </c>
      <c r="J59" s="12">
        <f t="shared" si="0"/>
        <v>3.9777247414478918E-2</v>
      </c>
      <c r="K59" s="12">
        <f t="shared" si="1"/>
        <v>0.11327649208282582</v>
      </c>
    </row>
    <row r="60" spans="1:12" x14ac:dyDescent="0.3">
      <c r="A60" s="7">
        <v>59</v>
      </c>
      <c r="B60" s="7" t="s">
        <v>69</v>
      </c>
      <c r="C60" s="7" t="s">
        <v>89</v>
      </c>
      <c r="D60" s="7" t="s">
        <v>31</v>
      </c>
      <c r="E60" s="8">
        <v>2575</v>
      </c>
      <c r="F60" s="8" t="s">
        <v>62</v>
      </c>
      <c r="G60" s="8">
        <v>814</v>
      </c>
      <c r="H60" s="8">
        <v>183</v>
      </c>
      <c r="I60" s="7" t="s">
        <v>11</v>
      </c>
      <c r="J60" s="11" t="e">
        <f t="shared" si="0"/>
        <v>#VALUE!</v>
      </c>
      <c r="K60" s="11">
        <f t="shared" si="1"/>
        <v>0.22481572481572482</v>
      </c>
    </row>
    <row r="61" spans="1:12" hidden="1" x14ac:dyDescent="0.3">
      <c r="A61" s="9">
        <v>60</v>
      </c>
      <c r="B61" s="9">
        <v>87</v>
      </c>
      <c r="C61" s="9" t="s">
        <v>90</v>
      </c>
      <c r="D61" s="9" t="s">
        <v>10</v>
      </c>
      <c r="E61" s="10">
        <v>2440</v>
      </c>
      <c r="F61" s="10">
        <v>1414</v>
      </c>
      <c r="G61" s="10">
        <v>448</v>
      </c>
      <c r="H61" s="10">
        <v>155</v>
      </c>
      <c r="I61" s="9" t="s">
        <v>15</v>
      </c>
      <c r="J61" s="12">
        <f t="shared" si="0"/>
        <v>0.72560113154172556</v>
      </c>
      <c r="K61" s="12">
        <f t="shared" si="1"/>
        <v>0.34598214285714285</v>
      </c>
    </row>
    <row r="62" spans="1:12" hidden="1" x14ac:dyDescent="0.3">
      <c r="A62" s="7">
        <v>61</v>
      </c>
      <c r="B62" s="7">
        <v>56</v>
      </c>
      <c r="C62" s="7" t="s">
        <v>91</v>
      </c>
      <c r="D62" s="7" t="s">
        <v>28</v>
      </c>
      <c r="E62" s="8">
        <v>2378</v>
      </c>
      <c r="F62" s="8">
        <v>2512</v>
      </c>
      <c r="G62" s="8">
        <v>1013</v>
      </c>
      <c r="H62" s="8">
        <v>85</v>
      </c>
      <c r="I62" s="7" t="s">
        <v>11</v>
      </c>
      <c r="J62" s="11">
        <f t="shared" si="0"/>
        <v>-5.3343949044585989E-2</v>
      </c>
      <c r="K62" s="11">
        <f t="shared" si="1"/>
        <v>8.3909180651530108E-2</v>
      </c>
      <c r="L62" t="str" cm="1">
        <f t="array" ref="L62">IFERROR(NetIncomeCell/RevenueCell,"")</f>
        <v/>
      </c>
    </row>
    <row r="63" spans="1:12" hidden="1" x14ac:dyDescent="0.3">
      <c r="A63" s="9">
        <v>62</v>
      </c>
      <c r="B63" s="9">
        <v>66</v>
      </c>
      <c r="C63" s="9" t="s">
        <v>92</v>
      </c>
      <c r="D63" s="9" t="s">
        <v>10</v>
      </c>
      <c r="E63" s="10">
        <v>2340</v>
      </c>
      <c r="F63" s="10">
        <v>1838</v>
      </c>
      <c r="G63" s="10">
        <v>1813</v>
      </c>
      <c r="H63" s="10">
        <v>112</v>
      </c>
      <c r="I63" s="9" t="s">
        <v>45</v>
      </c>
      <c r="J63" s="12">
        <f t="shared" si="0"/>
        <v>0.27312295973884659</v>
      </c>
      <c r="K63" s="12">
        <f t="shared" si="1"/>
        <v>6.1776061776061778E-2</v>
      </c>
    </row>
    <row r="64" spans="1:12" hidden="1" x14ac:dyDescent="0.3">
      <c r="A64" s="7">
        <v>63</v>
      </c>
      <c r="B64" s="7">
        <v>70</v>
      </c>
      <c r="C64" s="7" t="s">
        <v>93</v>
      </c>
      <c r="D64" s="7" t="s">
        <v>10</v>
      </c>
      <c r="E64" s="8">
        <v>2279</v>
      </c>
      <c r="F64" s="8">
        <v>1696</v>
      </c>
      <c r="G64" s="8">
        <v>8458</v>
      </c>
      <c r="H64" s="8">
        <v>140</v>
      </c>
      <c r="I64" s="7" t="s">
        <v>48</v>
      </c>
      <c r="J64" s="11">
        <f t="shared" si="0"/>
        <v>0.34375</v>
      </c>
      <c r="K64" s="11">
        <f t="shared" si="1"/>
        <v>1.6552376448332941E-2</v>
      </c>
    </row>
    <row r="65" spans="1:11" hidden="1" x14ac:dyDescent="0.3">
      <c r="A65" s="9">
        <v>64</v>
      </c>
      <c r="B65" s="9">
        <v>65</v>
      </c>
      <c r="C65" s="9" t="s">
        <v>94</v>
      </c>
      <c r="D65" s="9" t="s">
        <v>10</v>
      </c>
      <c r="E65" s="10">
        <v>2277</v>
      </c>
      <c r="F65" s="10">
        <v>1901</v>
      </c>
      <c r="G65" s="10">
        <v>1924</v>
      </c>
      <c r="H65" s="10">
        <v>186</v>
      </c>
      <c r="I65" s="9" t="s">
        <v>15</v>
      </c>
      <c r="J65" s="12">
        <f t="shared" si="0"/>
        <v>0.19779063650710152</v>
      </c>
      <c r="K65" s="12">
        <f t="shared" si="1"/>
        <v>9.6673596673596679E-2</v>
      </c>
    </row>
    <row r="66" spans="1:11" hidden="1" x14ac:dyDescent="0.3">
      <c r="A66" s="7">
        <v>65</v>
      </c>
      <c r="B66" s="7">
        <v>91</v>
      </c>
      <c r="C66" s="7" t="s">
        <v>95</v>
      </c>
      <c r="D66" s="7" t="s">
        <v>10</v>
      </c>
      <c r="E66" s="8">
        <v>2244</v>
      </c>
      <c r="F66" s="8">
        <v>1337</v>
      </c>
      <c r="G66" s="8">
        <v>1591</v>
      </c>
      <c r="H66" s="8">
        <v>40</v>
      </c>
      <c r="I66" s="7" t="s">
        <v>11</v>
      </c>
      <c r="J66" s="11">
        <f t="shared" ref="J66:J129" si="2">(E66-F66)/F66</f>
        <v>0.67838444278234855</v>
      </c>
      <c r="K66" s="11">
        <f t="shared" ref="K66:K129" si="3">(H66/G66)</f>
        <v>2.51414204902577E-2</v>
      </c>
    </row>
    <row r="67" spans="1:11" hidden="1" x14ac:dyDescent="0.3">
      <c r="A67" s="9">
        <v>66</v>
      </c>
      <c r="B67" s="9">
        <v>57</v>
      </c>
      <c r="C67" s="9" t="s">
        <v>96</v>
      </c>
      <c r="D67" s="9" t="s">
        <v>10</v>
      </c>
      <c r="E67" s="10">
        <v>2237</v>
      </c>
      <c r="F67" s="10">
        <v>2477</v>
      </c>
      <c r="G67" s="10">
        <v>8791</v>
      </c>
      <c r="H67" s="10">
        <v>153</v>
      </c>
      <c r="I67" s="9" t="s">
        <v>11</v>
      </c>
      <c r="J67" s="12">
        <f t="shared" si="2"/>
        <v>-9.6891400888171178E-2</v>
      </c>
      <c r="K67" s="12">
        <f t="shared" si="3"/>
        <v>1.7404163348879537E-2</v>
      </c>
    </row>
    <row r="68" spans="1:11" hidden="1" x14ac:dyDescent="0.3">
      <c r="A68" s="7">
        <v>67</v>
      </c>
      <c r="B68" s="7">
        <v>75</v>
      </c>
      <c r="C68" s="7" t="s">
        <v>97</v>
      </c>
      <c r="D68" s="7" t="s">
        <v>10</v>
      </c>
      <c r="E68" s="8">
        <v>2208</v>
      </c>
      <c r="F68" s="8">
        <v>1721</v>
      </c>
      <c r="G68" s="8">
        <v>5265</v>
      </c>
      <c r="H68" s="8">
        <v>13</v>
      </c>
      <c r="I68" s="7" t="s">
        <v>13</v>
      </c>
      <c r="J68" s="11">
        <f t="shared" si="2"/>
        <v>0.28297501452643814</v>
      </c>
      <c r="K68" s="11">
        <f t="shared" si="3"/>
        <v>2.4691358024691358E-3</v>
      </c>
    </row>
    <row r="69" spans="1:11" hidden="1" x14ac:dyDescent="0.3">
      <c r="A69" s="9">
        <v>68</v>
      </c>
      <c r="B69" s="9">
        <v>130</v>
      </c>
      <c r="C69" s="9" t="s">
        <v>98</v>
      </c>
      <c r="D69" s="9" t="s">
        <v>73</v>
      </c>
      <c r="E69" s="10">
        <v>2206</v>
      </c>
      <c r="F69" s="10">
        <v>703</v>
      </c>
      <c r="G69" s="10">
        <v>599</v>
      </c>
      <c r="H69" s="10">
        <v>99</v>
      </c>
      <c r="I69" s="9" t="s">
        <v>11</v>
      </c>
      <c r="J69" s="12">
        <f t="shared" si="2"/>
        <v>2.1379800853485063</v>
      </c>
      <c r="K69" s="12">
        <f t="shared" si="3"/>
        <v>0.1652754590984975</v>
      </c>
    </row>
    <row r="70" spans="1:11" hidden="1" x14ac:dyDescent="0.3">
      <c r="A70" s="7">
        <v>69</v>
      </c>
      <c r="B70" s="7">
        <v>60</v>
      </c>
      <c r="C70" s="7" t="s">
        <v>99</v>
      </c>
      <c r="D70" s="7" t="s">
        <v>58</v>
      </c>
      <c r="E70" s="8">
        <v>2122</v>
      </c>
      <c r="F70" s="8">
        <v>2222</v>
      </c>
      <c r="G70" s="8">
        <v>2174</v>
      </c>
      <c r="H70" s="8">
        <v>474</v>
      </c>
      <c r="I70" s="7" t="s">
        <v>15</v>
      </c>
      <c r="J70" s="11">
        <f t="shared" si="2"/>
        <v>-4.5004500450045004E-2</v>
      </c>
      <c r="K70" s="11">
        <f t="shared" si="3"/>
        <v>0.21803127874885003</v>
      </c>
    </row>
    <row r="71" spans="1:11" hidden="1" x14ac:dyDescent="0.3">
      <c r="A71" s="9">
        <v>70</v>
      </c>
      <c r="B71" s="9">
        <v>52</v>
      </c>
      <c r="C71" s="9" t="s">
        <v>100</v>
      </c>
      <c r="D71" s="9" t="s">
        <v>10</v>
      </c>
      <c r="E71" s="10">
        <v>2066</v>
      </c>
      <c r="F71" s="10">
        <v>2709</v>
      </c>
      <c r="G71" s="10">
        <v>2087</v>
      </c>
      <c r="H71" s="10">
        <v>120</v>
      </c>
      <c r="I71" s="9" t="s">
        <v>11</v>
      </c>
      <c r="J71" s="12">
        <f t="shared" si="2"/>
        <v>-0.23735695828719083</v>
      </c>
      <c r="K71" s="12">
        <f t="shared" si="3"/>
        <v>5.7498802108289414E-2</v>
      </c>
    </row>
    <row r="72" spans="1:11" hidden="1" x14ac:dyDescent="0.3">
      <c r="A72" s="7">
        <v>71</v>
      </c>
      <c r="B72" s="7">
        <v>84</v>
      </c>
      <c r="C72" s="7" t="s">
        <v>101</v>
      </c>
      <c r="D72" s="7" t="s">
        <v>28</v>
      </c>
      <c r="E72" s="8">
        <v>2040</v>
      </c>
      <c r="F72" s="8">
        <v>1462</v>
      </c>
      <c r="G72" s="8">
        <v>825</v>
      </c>
      <c r="H72" s="8">
        <v>96</v>
      </c>
      <c r="I72" s="7" t="s">
        <v>13</v>
      </c>
      <c r="J72" s="11">
        <f t="shared" si="2"/>
        <v>0.39534883720930231</v>
      </c>
      <c r="K72" s="11">
        <f t="shared" si="3"/>
        <v>0.11636363636363636</v>
      </c>
    </row>
    <row r="73" spans="1:11" hidden="1" x14ac:dyDescent="0.3">
      <c r="A73" s="9">
        <v>72</v>
      </c>
      <c r="B73" s="9">
        <v>73</v>
      </c>
      <c r="C73" s="9" t="s">
        <v>102</v>
      </c>
      <c r="D73" s="9" t="s">
        <v>28</v>
      </c>
      <c r="E73" s="10">
        <v>2014</v>
      </c>
      <c r="F73" s="10">
        <v>1751</v>
      </c>
      <c r="G73" s="10">
        <v>399</v>
      </c>
      <c r="H73" s="10"/>
      <c r="I73" s="9" t="s">
        <v>103</v>
      </c>
      <c r="J73" s="12">
        <f t="shared" si="2"/>
        <v>0.15019988577955454</v>
      </c>
      <c r="K73" s="12">
        <f t="shared" si="3"/>
        <v>0</v>
      </c>
    </row>
    <row r="74" spans="1:11" hidden="1" x14ac:dyDescent="0.3">
      <c r="A74" s="7">
        <v>73</v>
      </c>
      <c r="B74" s="7">
        <v>69</v>
      </c>
      <c r="C74" s="7" t="s">
        <v>104</v>
      </c>
      <c r="D74" s="7" t="s">
        <v>10</v>
      </c>
      <c r="E74" s="8">
        <v>1815</v>
      </c>
      <c r="F74" s="8">
        <v>1796</v>
      </c>
      <c r="G74" s="8">
        <v>5732</v>
      </c>
      <c r="H74" s="8">
        <v>59</v>
      </c>
      <c r="I74" s="7" t="s">
        <v>11</v>
      </c>
      <c r="J74" s="11">
        <f t="shared" si="2"/>
        <v>1.0579064587973273E-2</v>
      </c>
      <c r="K74" s="11">
        <f t="shared" si="3"/>
        <v>1.0293091416608514E-2</v>
      </c>
    </row>
    <row r="75" spans="1:11" hidden="1" x14ac:dyDescent="0.3">
      <c r="A75" s="9">
        <v>74</v>
      </c>
      <c r="B75" s="9">
        <v>71</v>
      </c>
      <c r="C75" s="9" t="s">
        <v>105</v>
      </c>
      <c r="D75" s="9" t="s">
        <v>10</v>
      </c>
      <c r="E75" s="10">
        <v>1774</v>
      </c>
      <c r="F75" s="10">
        <v>1766</v>
      </c>
      <c r="G75" s="10">
        <v>6788</v>
      </c>
      <c r="H75" s="10">
        <v>29</v>
      </c>
      <c r="I75" s="9" t="s">
        <v>15</v>
      </c>
      <c r="J75" s="12">
        <f t="shared" si="2"/>
        <v>4.5300113250283129E-3</v>
      </c>
      <c r="K75" s="12">
        <f t="shared" si="3"/>
        <v>4.2722451384796696E-3</v>
      </c>
    </row>
    <row r="76" spans="1:11" hidden="1" x14ac:dyDescent="0.3">
      <c r="A76" s="7">
        <v>75</v>
      </c>
      <c r="B76" s="7">
        <v>81</v>
      </c>
      <c r="C76" s="7" t="s">
        <v>106</v>
      </c>
      <c r="D76" s="7" t="s">
        <v>28</v>
      </c>
      <c r="E76" s="8">
        <v>1740</v>
      </c>
      <c r="F76" s="8">
        <v>1504</v>
      </c>
      <c r="G76" s="8">
        <v>1110</v>
      </c>
      <c r="H76" s="8">
        <v>60</v>
      </c>
      <c r="I76" s="7" t="s">
        <v>15</v>
      </c>
      <c r="J76" s="11">
        <f t="shared" si="2"/>
        <v>0.15691489361702127</v>
      </c>
      <c r="K76" s="11">
        <f t="shared" si="3"/>
        <v>5.4054054054054057E-2</v>
      </c>
    </row>
    <row r="77" spans="1:11" hidden="1" x14ac:dyDescent="0.3">
      <c r="A77" s="9">
        <v>76</v>
      </c>
      <c r="B77" s="9">
        <v>68</v>
      </c>
      <c r="C77" s="9" t="s">
        <v>107</v>
      </c>
      <c r="D77" s="9" t="s">
        <v>108</v>
      </c>
      <c r="E77" s="10">
        <v>1726</v>
      </c>
      <c r="F77" s="10">
        <v>1806</v>
      </c>
      <c r="G77" s="10">
        <v>1304</v>
      </c>
      <c r="H77" s="10">
        <v>338</v>
      </c>
      <c r="I77" s="9" t="s">
        <v>17</v>
      </c>
      <c r="J77" s="12">
        <f t="shared" si="2"/>
        <v>-4.4296788482834998E-2</v>
      </c>
      <c r="K77" s="12">
        <f t="shared" si="3"/>
        <v>0.25920245398773006</v>
      </c>
    </row>
    <row r="78" spans="1:11" hidden="1" x14ac:dyDescent="0.3">
      <c r="A78" s="7">
        <v>77</v>
      </c>
      <c r="B78" s="7">
        <v>94</v>
      </c>
      <c r="C78" s="7" t="s">
        <v>109</v>
      </c>
      <c r="D78" s="7" t="s">
        <v>71</v>
      </c>
      <c r="E78" s="8">
        <v>1723</v>
      </c>
      <c r="F78" s="8">
        <v>1288</v>
      </c>
      <c r="G78" s="8">
        <v>662</v>
      </c>
      <c r="H78" s="8">
        <v>204</v>
      </c>
      <c r="I78" s="7" t="s">
        <v>15</v>
      </c>
      <c r="J78" s="11">
        <f t="shared" si="2"/>
        <v>0.33773291925465837</v>
      </c>
      <c r="K78" s="11">
        <f t="shared" si="3"/>
        <v>0.30815709969788518</v>
      </c>
    </row>
    <row r="79" spans="1:11" hidden="1" x14ac:dyDescent="0.3">
      <c r="A79" s="9">
        <v>78</v>
      </c>
      <c r="B79" s="9">
        <v>76</v>
      </c>
      <c r="C79" s="9" t="s">
        <v>110</v>
      </c>
      <c r="D79" s="9" t="s">
        <v>58</v>
      </c>
      <c r="E79" s="10">
        <v>1717</v>
      </c>
      <c r="F79" s="10">
        <v>1716</v>
      </c>
      <c r="G79" s="10">
        <v>562</v>
      </c>
      <c r="H79" s="10">
        <v>187</v>
      </c>
      <c r="I79" s="9" t="s">
        <v>13</v>
      </c>
      <c r="J79" s="12">
        <f t="shared" si="2"/>
        <v>5.8275058275058275E-4</v>
      </c>
      <c r="K79" s="12">
        <f t="shared" si="3"/>
        <v>0.33274021352313166</v>
      </c>
    </row>
    <row r="80" spans="1:11" x14ac:dyDescent="0.3">
      <c r="A80" s="7">
        <v>79</v>
      </c>
      <c r="B80" s="7" t="s">
        <v>69</v>
      </c>
      <c r="C80" s="7" t="s">
        <v>111</v>
      </c>
      <c r="D80" s="7" t="s">
        <v>10</v>
      </c>
      <c r="E80" s="8">
        <v>1715</v>
      </c>
      <c r="F80" s="8" t="s">
        <v>62</v>
      </c>
      <c r="G80" s="8">
        <v>1109</v>
      </c>
      <c r="H80" s="8">
        <v>268</v>
      </c>
      <c r="I80" s="7" t="s">
        <v>54</v>
      </c>
      <c r="J80" s="11" t="e">
        <f t="shared" si="2"/>
        <v>#VALUE!</v>
      </c>
      <c r="K80" s="11">
        <f t="shared" si="3"/>
        <v>0.24165915238954014</v>
      </c>
    </row>
    <row r="81" spans="1:11" hidden="1" x14ac:dyDescent="0.3">
      <c r="A81" s="9">
        <v>80</v>
      </c>
      <c r="B81" s="9">
        <v>80</v>
      </c>
      <c r="C81" s="9" t="s">
        <v>113</v>
      </c>
      <c r="D81" s="9" t="s">
        <v>28</v>
      </c>
      <c r="E81" s="10">
        <v>1709</v>
      </c>
      <c r="F81" s="10">
        <v>1522</v>
      </c>
      <c r="G81" s="10">
        <v>660</v>
      </c>
      <c r="H81" s="10">
        <v>73</v>
      </c>
      <c r="I81" s="9" t="s">
        <v>54</v>
      </c>
      <c r="J81" s="12">
        <f t="shared" si="2"/>
        <v>0.12286465177398161</v>
      </c>
      <c r="K81" s="12">
        <f t="shared" si="3"/>
        <v>0.11060606060606061</v>
      </c>
    </row>
    <row r="82" spans="1:11" hidden="1" x14ac:dyDescent="0.3">
      <c r="A82" s="7">
        <v>81</v>
      </c>
      <c r="B82" s="7">
        <v>74</v>
      </c>
      <c r="C82" s="7" t="s">
        <v>114</v>
      </c>
      <c r="D82" s="7" t="s">
        <v>31</v>
      </c>
      <c r="E82" s="8">
        <v>1691</v>
      </c>
      <c r="F82" s="8">
        <v>1729</v>
      </c>
      <c r="G82" s="8">
        <v>1786</v>
      </c>
      <c r="H82" s="8">
        <v>596</v>
      </c>
      <c r="I82" s="7" t="s">
        <v>15</v>
      </c>
      <c r="J82" s="11">
        <f t="shared" si="2"/>
        <v>-2.197802197802198E-2</v>
      </c>
      <c r="K82" s="11">
        <f t="shared" si="3"/>
        <v>0.33370660694288912</v>
      </c>
    </row>
    <row r="83" spans="1:11" hidden="1" x14ac:dyDescent="0.3">
      <c r="A83" s="9">
        <v>82</v>
      </c>
      <c r="B83" s="9">
        <v>85</v>
      </c>
      <c r="C83" s="9" t="s">
        <v>115</v>
      </c>
      <c r="D83" s="9" t="s">
        <v>10</v>
      </c>
      <c r="E83" s="10">
        <v>1679</v>
      </c>
      <c r="F83" s="10">
        <v>1435</v>
      </c>
      <c r="G83" s="10">
        <v>1129</v>
      </c>
      <c r="H83" s="10">
        <v>127</v>
      </c>
      <c r="I83" s="9" t="s">
        <v>48</v>
      </c>
      <c r="J83" s="12">
        <f t="shared" si="2"/>
        <v>0.17003484320557491</v>
      </c>
      <c r="K83" s="12">
        <f t="shared" si="3"/>
        <v>0.112488928255093</v>
      </c>
    </row>
    <row r="84" spans="1:11" hidden="1" x14ac:dyDescent="0.3">
      <c r="A84" s="7">
        <v>83</v>
      </c>
      <c r="B84" s="7">
        <v>77</v>
      </c>
      <c r="C84" s="7" t="s">
        <v>116</v>
      </c>
      <c r="D84" s="7" t="s">
        <v>10</v>
      </c>
      <c r="E84" s="8">
        <v>1658</v>
      </c>
      <c r="F84" s="8">
        <v>1700</v>
      </c>
      <c r="G84" s="8">
        <v>861</v>
      </c>
      <c r="H84" s="8">
        <v>107</v>
      </c>
      <c r="I84" s="7" t="s">
        <v>11</v>
      </c>
      <c r="J84" s="11">
        <f t="shared" si="2"/>
        <v>-2.4705882352941175E-2</v>
      </c>
      <c r="K84" s="11">
        <f t="shared" si="3"/>
        <v>0.12427409988385599</v>
      </c>
    </row>
    <row r="85" spans="1:11" hidden="1" x14ac:dyDescent="0.3">
      <c r="A85" s="9">
        <v>84</v>
      </c>
      <c r="B85" s="9">
        <v>92</v>
      </c>
      <c r="C85" s="9" t="s">
        <v>117</v>
      </c>
      <c r="D85" s="9" t="s">
        <v>26</v>
      </c>
      <c r="E85" s="10">
        <v>1657</v>
      </c>
      <c r="F85" s="10">
        <v>1310</v>
      </c>
      <c r="G85" s="10">
        <v>1254</v>
      </c>
      <c r="H85" s="10">
        <v>357</v>
      </c>
      <c r="I85" s="9" t="s">
        <v>15</v>
      </c>
      <c r="J85" s="12">
        <f t="shared" si="2"/>
        <v>0.26488549618320612</v>
      </c>
      <c r="K85" s="12">
        <f t="shared" si="3"/>
        <v>0.28468899521531099</v>
      </c>
    </row>
    <row r="86" spans="1:11" hidden="1" x14ac:dyDescent="0.3">
      <c r="A86" s="7">
        <v>85</v>
      </c>
      <c r="B86" s="7">
        <v>99</v>
      </c>
      <c r="C86" s="7" t="s">
        <v>118</v>
      </c>
      <c r="D86" s="7" t="s">
        <v>58</v>
      </c>
      <c r="E86" s="8">
        <v>1633</v>
      </c>
      <c r="F86" s="8">
        <v>1208</v>
      </c>
      <c r="G86" s="8">
        <v>2018</v>
      </c>
      <c r="H86" s="8">
        <v>254</v>
      </c>
      <c r="I86" s="7" t="s">
        <v>17</v>
      </c>
      <c r="J86" s="11">
        <f t="shared" si="2"/>
        <v>0.35182119205298013</v>
      </c>
      <c r="K86" s="11">
        <f t="shared" si="3"/>
        <v>0.12586719524281467</v>
      </c>
    </row>
    <row r="87" spans="1:11" hidden="1" x14ac:dyDescent="0.3">
      <c r="A87" s="9">
        <v>86</v>
      </c>
      <c r="B87" s="9">
        <v>97</v>
      </c>
      <c r="C87" s="9" t="s">
        <v>119</v>
      </c>
      <c r="D87" s="9" t="s">
        <v>10</v>
      </c>
      <c r="E87" s="10">
        <v>1596</v>
      </c>
      <c r="F87" s="10">
        <v>1229</v>
      </c>
      <c r="G87" s="10">
        <v>2802</v>
      </c>
      <c r="H87" s="10">
        <v>187</v>
      </c>
      <c r="I87" s="9" t="s">
        <v>103</v>
      </c>
      <c r="J87" s="12">
        <f t="shared" si="2"/>
        <v>0.2986167615947925</v>
      </c>
      <c r="K87" s="12">
        <f t="shared" si="3"/>
        <v>6.6738044254104206E-2</v>
      </c>
    </row>
    <row r="88" spans="1:11" hidden="1" x14ac:dyDescent="0.3">
      <c r="A88" s="7">
        <v>87</v>
      </c>
      <c r="B88" s="7">
        <v>89</v>
      </c>
      <c r="C88" s="7" t="s">
        <v>120</v>
      </c>
      <c r="D88" s="7" t="s">
        <v>10</v>
      </c>
      <c r="E88" s="8">
        <v>1586</v>
      </c>
      <c r="F88" s="8">
        <v>1389</v>
      </c>
      <c r="G88" s="8">
        <v>1429</v>
      </c>
      <c r="H88" s="8">
        <v>52</v>
      </c>
      <c r="I88" s="7" t="s">
        <v>45</v>
      </c>
      <c r="J88" s="11">
        <f t="shared" si="2"/>
        <v>0.14182865370770339</v>
      </c>
      <c r="K88" s="11">
        <f t="shared" si="3"/>
        <v>3.6389083275017498E-2</v>
      </c>
    </row>
    <row r="89" spans="1:11" hidden="1" x14ac:dyDescent="0.3">
      <c r="A89" s="9">
        <v>88</v>
      </c>
      <c r="B89" s="9">
        <v>58</v>
      </c>
      <c r="C89" s="9" t="s">
        <v>121</v>
      </c>
      <c r="D89" s="9" t="s">
        <v>31</v>
      </c>
      <c r="E89" s="10">
        <v>1585</v>
      </c>
      <c r="F89" s="10">
        <v>2361</v>
      </c>
      <c r="G89" s="10">
        <v>983</v>
      </c>
      <c r="H89" s="10">
        <v>420</v>
      </c>
      <c r="I89" s="9" t="s">
        <v>15</v>
      </c>
      <c r="J89" s="12">
        <f t="shared" si="2"/>
        <v>-0.32867429055484965</v>
      </c>
      <c r="K89" s="12">
        <f t="shared" si="3"/>
        <v>0.42726347914547302</v>
      </c>
    </row>
    <row r="90" spans="1:11" hidden="1" x14ac:dyDescent="0.3">
      <c r="A90" s="7">
        <v>89</v>
      </c>
      <c r="B90" s="7">
        <v>96</v>
      </c>
      <c r="C90" s="7" t="s">
        <v>122</v>
      </c>
      <c r="D90" s="7" t="s">
        <v>28</v>
      </c>
      <c r="E90" s="8">
        <v>1568</v>
      </c>
      <c r="F90" s="8">
        <v>1253</v>
      </c>
      <c r="G90" s="8">
        <v>1431</v>
      </c>
      <c r="H90" s="8"/>
      <c r="I90" s="7" t="s">
        <v>48</v>
      </c>
      <c r="J90" s="11">
        <f t="shared" si="2"/>
        <v>0.25139664804469275</v>
      </c>
      <c r="K90" s="11">
        <f t="shared" si="3"/>
        <v>0</v>
      </c>
    </row>
    <row r="91" spans="1:11" hidden="1" x14ac:dyDescent="0.3">
      <c r="A91" s="9">
        <v>90</v>
      </c>
      <c r="B91" s="9">
        <v>83</v>
      </c>
      <c r="C91" s="9" t="s">
        <v>123</v>
      </c>
      <c r="D91" s="9" t="s">
        <v>10</v>
      </c>
      <c r="E91" s="10">
        <v>1556</v>
      </c>
      <c r="F91" s="10">
        <v>1466</v>
      </c>
      <c r="G91" s="10">
        <v>2641</v>
      </c>
      <c r="H91" s="10">
        <v>148</v>
      </c>
      <c r="I91" s="9" t="s">
        <v>17</v>
      </c>
      <c r="J91" s="12">
        <f t="shared" si="2"/>
        <v>6.1391541609822645E-2</v>
      </c>
      <c r="K91" s="12">
        <f t="shared" si="3"/>
        <v>5.6039379023097309E-2</v>
      </c>
    </row>
    <row r="92" spans="1:11" x14ac:dyDescent="0.3">
      <c r="A92" s="7">
        <v>91</v>
      </c>
      <c r="B92" s="7" t="s">
        <v>69</v>
      </c>
      <c r="C92" s="7" t="s">
        <v>124</v>
      </c>
      <c r="D92" s="7" t="s">
        <v>58</v>
      </c>
      <c r="E92" s="8">
        <v>1550</v>
      </c>
      <c r="F92" s="8"/>
      <c r="G92" s="8"/>
      <c r="H92" s="8"/>
      <c r="I92" s="7" t="s">
        <v>15</v>
      </c>
      <c r="J92" s="11" t="e">
        <f t="shared" si="2"/>
        <v>#DIV/0!</v>
      </c>
      <c r="K92" s="11"/>
    </row>
    <row r="93" spans="1:11" hidden="1" x14ac:dyDescent="0.3">
      <c r="A93" s="9">
        <v>92</v>
      </c>
      <c r="B93" s="9">
        <v>82</v>
      </c>
      <c r="C93" s="9" t="s">
        <v>125</v>
      </c>
      <c r="D93" s="9" t="s">
        <v>10</v>
      </c>
      <c r="E93" s="10">
        <v>1508</v>
      </c>
      <c r="F93" s="10">
        <v>1504</v>
      </c>
      <c r="G93" s="10">
        <v>593</v>
      </c>
      <c r="H93" s="10">
        <v>111</v>
      </c>
      <c r="I93" s="9" t="s">
        <v>48</v>
      </c>
      <c r="J93" s="12">
        <f t="shared" si="2"/>
        <v>2.6595744680851063E-3</v>
      </c>
      <c r="K93" s="12">
        <f t="shared" si="3"/>
        <v>0.18718381112984822</v>
      </c>
    </row>
    <row r="94" spans="1:11" hidden="1" x14ac:dyDescent="0.3">
      <c r="A94" s="7">
        <v>93</v>
      </c>
      <c r="B94" s="7">
        <v>79</v>
      </c>
      <c r="C94" s="7" t="s">
        <v>126</v>
      </c>
      <c r="D94" s="7" t="s">
        <v>58</v>
      </c>
      <c r="E94" s="8">
        <v>1478</v>
      </c>
      <c r="F94" s="8">
        <v>1635</v>
      </c>
      <c r="G94" s="8">
        <v>1018</v>
      </c>
      <c r="H94" s="8">
        <v>272</v>
      </c>
      <c r="I94" s="7" t="s">
        <v>11</v>
      </c>
      <c r="J94" s="11">
        <f t="shared" si="2"/>
        <v>-9.6024464831804282E-2</v>
      </c>
      <c r="K94" s="11">
        <f t="shared" si="3"/>
        <v>0.26719056974459726</v>
      </c>
    </row>
    <row r="95" spans="1:11" hidden="1" x14ac:dyDescent="0.3">
      <c r="A95" s="9">
        <v>94</v>
      </c>
      <c r="B95" s="9">
        <v>105</v>
      </c>
      <c r="C95" s="9" t="s">
        <v>127</v>
      </c>
      <c r="D95" s="9" t="s">
        <v>10</v>
      </c>
      <c r="E95" s="10">
        <v>1464</v>
      </c>
      <c r="F95" s="10">
        <v>1071</v>
      </c>
      <c r="G95" s="10">
        <v>129</v>
      </c>
      <c r="H95" s="10">
        <v>539</v>
      </c>
      <c r="I95" s="9" t="s">
        <v>15</v>
      </c>
      <c r="J95" s="12">
        <f t="shared" si="2"/>
        <v>0.36694677871148457</v>
      </c>
      <c r="K95" s="12">
        <f t="shared" si="3"/>
        <v>4.1782945736434112</v>
      </c>
    </row>
    <row r="96" spans="1:11" hidden="1" x14ac:dyDescent="0.3">
      <c r="A96" s="7">
        <v>95</v>
      </c>
      <c r="B96" s="7">
        <v>67</v>
      </c>
      <c r="C96" s="7" t="s">
        <v>128</v>
      </c>
      <c r="D96" s="7" t="s">
        <v>129</v>
      </c>
      <c r="E96" s="8">
        <v>1441</v>
      </c>
      <c r="F96" s="8">
        <v>1830</v>
      </c>
      <c r="G96" s="8">
        <v>429</v>
      </c>
      <c r="H96" s="8">
        <v>75</v>
      </c>
      <c r="I96" s="7" t="s">
        <v>11</v>
      </c>
      <c r="J96" s="11">
        <f t="shared" si="2"/>
        <v>-0.21256830601092896</v>
      </c>
      <c r="K96" s="11">
        <f t="shared" si="3"/>
        <v>0.17482517482517482</v>
      </c>
    </row>
    <row r="97" spans="1:11" hidden="1" x14ac:dyDescent="0.3">
      <c r="A97" s="9">
        <v>96</v>
      </c>
      <c r="B97" s="9">
        <v>100</v>
      </c>
      <c r="C97" s="9" t="s">
        <v>130</v>
      </c>
      <c r="D97" s="9" t="s">
        <v>58</v>
      </c>
      <c r="E97" s="10">
        <v>1433</v>
      </c>
      <c r="F97" s="10">
        <v>1181</v>
      </c>
      <c r="G97" s="10">
        <v>832</v>
      </c>
      <c r="H97" s="10">
        <v>142</v>
      </c>
      <c r="I97" s="9" t="s">
        <v>15</v>
      </c>
      <c r="J97" s="12">
        <f t="shared" si="2"/>
        <v>0.21337849280270957</v>
      </c>
      <c r="K97" s="12">
        <f t="shared" si="3"/>
        <v>0.17067307692307693</v>
      </c>
    </row>
    <row r="98" spans="1:11" hidden="1" x14ac:dyDescent="0.3">
      <c r="A98" s="7">
        <v>97</v>
      </c>
      <c r="B98" s="7">
        <v>108</v>
      </c>
      <c r="C98" s="7" t="s">
        <v>131</v>
      </c>
      <c r="D98" s="7" t="s">
        <v>28</v>
      </c>
      <c r="E98" s="8">
        <v>1432</v>
      </c>
      <c r="F98" s="8">
        <v>1016</v>
      </c>
      <c r="G98" s="8">
        <v>1307</v>
      </c>
      <c r="H98" s="8">
        <v>45</v>
      </c>
      <c r="I98" s="7" t="s">
        <v>11</v>
      </c>
      <c r="J98" s="11">
        <f t="shared" si="2"/>
        <v>0.40944881889763779</v>
      </c>
      <c r="K98" s="11">
        <f t="shared" si="3"/>
        <v>3.442999234889059E-2</v>
      </c>
    </row>
    <row r="99" spans="1:11" hidden="1" x14ac:dyDescent="0.3">
      <c r="A99" s="9">
        <v>98</v>
      </c>
      <c r="B99" s="9">
        <v>90</v>
      </c>
      <c r="C99" s="9" t="s">
        <v>132</v>
      </c>
      <c r="D99" s="9" t="s">
        <v>133</v>
      </c>
      <c r="E99" s="10">
        <v>1386</v>
      </c>
      <c r="F99" s="10">
        <v>1387</v>
      </c>
      <c r="G99" s="10">
        <v>415</v>
      </c>
      <c r="H99" s="10">
        <v>34</v>
      </c>
      <c r="I99" s="9" t="s">
        <v>11</v>
      </c>
      <c r="J99" s="12">
        <f t="shared" si="2"/>
        <v>-7.2098053352559477E-4</v>
      </c>
      <c r="K99" s="12">
        <f t="shared" si="3"/>
        <v>8.1927710843373497E-2</v>
      </c>
    </row>
    <row r="100" spans="1:11" hidden="1" x14ac:dyDescent="0.3">
      <c r="A100" s="7">
        <v>99</v>
      </c>
      <c r="B100" s="7">
        <v>104</v>
      </c>
      <c r="C100" s="7" t="s">
        <v>134</v>
      </c>
      <c r="D100" s="7" t="s">
        <v>10</v>
      </c>
      <c r="E100" s="8">
        <v>1343</v>
      </c>
      <c r="F100" s="8">
        <v>1115</v>
      </c>
      <c r="G100" s="8">
        <v>5657</v>
      </c>
      <c r="H100" s="8">
        <v>136</v>
      </c>
      <c r="I100" s="7" t="s">
        <v>48</v>
      </c>
      <c r="J100" s="11">
        <f t="shared" si="2"/>
        <v>0.20448430493273542</v>
      </c>
      <c r="K100" s="11">
        <f t="shared" si="3"/>
        <v>2.4041011136644863E-2</v>
      </c>
    </row>
    <row r="101" spans="1:11" hidden="1" x14ac:dyDescent="0.3">
      <c r="A101" s="9">
        <v>100</v>
      </c>
      <c r="B101" s="9">
        <v>186</v>
      </c>
      <c r="C101" s="9" t="s">
        <v>135</v>
      </c>
      <c r="D101" s="9" t="s">
        <v>73</v>
      </c>
      <c r="E101" s="10">
        <v>1270</v>
      </c>
      <c r="F101" s="10">
        <v>421</v>
      </c>
      <c r="G101" s="10">
        <v>230</v>
      </c>
      <c r="H101" s="10">
        <v>14</v>
      </c>
      <c r="I101" s="9" t="s">
        <v>15</v>
      </c>
      <c r="J101" s="12">
        <f t="shared" si="2"/>
        <v>2.0166270783847979</v>
      </c>
      <c r="K101" s="12">
        <f t="shared" si="3"/>
        <v>6.0869565217391307E-2</v>
      </c>
    </row>
    <row r="102" spans="1:11" hidden="1" x14ac:dyDescent="0.3">
      <c r="A102" s="7">
        <v>101</v>
      </c>
      <c r="B102" s="7">
        <v>106</v>
      </c>
      <c r="C102" s="7" t="s">
        <v>137</v>
      </c>
      <c r="D102" s="7" t="s">
        <v>58</v>
      </c>
      <c r="E102" s="8">
        <v>1252</v>
      </c>
      <c r="F102" s="8">
        <v>1047</v>
      </c>
      <c r="G102" s="8">
        <v>464</v>
      </c>
      <c r="H102" s="8">
        <v>157</v>
      </c>
      <c r="I102" s="7" t="s">
        <v>13</v>
      </c>
      <c r="J102" s="11">
        <f t="shared" si="2"/>
        <v>0.19579751671442217</v>
      </c>
      <c r="K102" s="11">
        <f t="shared" si="3"/>
        <v>0.33836206896551724</v>
      </c>
    </row>
    <row r="103" spans="1:11" hidden="1" x14ac:dyDescent="0.3">
      <c r="A103" s="9">
        <v>102</v>
      </c>
      <c r="B103" s="9">
        <v>98</v>
      </c>
      <c r="C103" s="9" t="s">
        <v>138</v>
      </c>
      <c r="D103" s="9" t="s">
        <v>26</v>
      </c>
      <c r="E103" s="10">
        <v>1231</v>
      </c>
      <c r="F103" s="10">
        <v>1214</v>
      </c>
      <c r="G103" s="10">
        <v>1214</v>
      </c>
      <c r="H103" s="10">
        <v>311</v>
      </c>
      <c r="I103" s="9" t="s">
        <v>15</v>
      </c>
      <c r="J103" s="12">
        <f t="shared" si="2"/>
        <v>1.400329489291598E-2</v>
      </c>
      <c r="K103" s="12">
        <f t="shared" si="3"/>
        <v>0.25617792421746294</v>
      </c>
    </row>
    <row r="104" spans="1:11" hidden="1" x14ac:dyDescent="0.3">
      <c r="A104" s="7">
        <v>103</v>
      </c>
      <c r="B104" s="7">
        <v>164</v>
      </c>
      <c r="C104" s="7" t="s">
        <v>139</v>
      </c>
      <c r="D104" s="7" t="s">
        <v>73</v>
      </c>
      <c r="E104" s="8">
        <v>1230</v>
      </c>
      <c r="F104" s="8">
        <v>483</v>
      </c>
      <c r="G104" s="8">
        <v>818</v>
      </c>
      <c r="H104" s="8">
        <v>34</v>
      </c>
      <c r="I104" s="7" t="s">
        <v>11</v>
      </c>
      <c r="J104" s="11">
        <f t="shared" si="2"/>
        <v>1.5465838509316769</v>
      </c>
      <c r="K104" s="11">
        <f t="shared" si="3"/>
        <v>4.1564792176039117E-2</v>
      </c>
    </row>
    <row r="105" spans="1:11" hidden="1" x14ac:dyDescent="0.3">
      <c r="A105" s="9">
        <v>104</v>
      </c>
      <c r="B105" s="9">
        <v>114</v>
      </c>
      <c r="C105" s="9" t="s">
        <v>140</v>
      </c>
      <c r="D105" s="9" t="s">
        <v>10</v>
      </c>
      <c r="E105" s="10">
        <v>1194</v>
      </c>
      <c r="F105" s="10">
        <v>835</v>
      </c>
      <c r="G105" s="10">
        <v>311</v>
      </c>
      <c r="H105" s="10">
        <v>42</v>
      </c>
      <c r="I105" s="9" t="s">
        <v>15</v>
      </c>
      <c r="J105" s="12">
        <f t="shared" si="2"/>
        <v>0.42994011976047902</v>
      </c>
      <c r="K105" s="12">
        <f t="shared" si="3"/>
        <v>0.13504823151125403</v>
      </c>
    </row>
    <row r="106" spans="1:11" x14ac:dyDescent="0.3">
      <c r="A106" s="7">
        <v>105</v>
      </c>
      <c r="B106" s="7" t="s">
        <v>69</v>
      </c>
      <c r="C106" s="7" t="s">
        <v>141</v>
      </c>
      <c r="D106" s="7" t="s">
        <v>142</v>
      </c>
      <c r="E106" s="8">
        <v>1124</v>
      </c>
      <c r="F106" s="8" t="s">
        <v>62</v>
      </c>
      <c r="G106" s="8">
        <v>505</v>
      </c>
      <c r="H106" s="8">
        <v>87</v>
      </c>
      <c r="I106" s="7" t="s">
        <v>17</v>
      </c>
      <c r="J106" s="11" t="e">
        <f t="shared" si="2"/>
        <v>#VALUE!</v>
      </c>
      <c r="K106" s="11">
        <f t="shared" si="3"/>
        <v>0.17227722772277226</v>
      </c>
    </row>
    <row r="107" spans="1:11" hidden="1" x14ac:dyDescent="0.3">
      <c r="A107" s="9">
        <v>106</v>
      </c>
      <c r="B107" s="9">
        <v>140</v>
      </c>
      <c r="C107" s="9" t="s">
        <v>143</v>
      </c>
      <c r="D107" s="9" t="s">
        <v>28</v>
      </c>
      <c r="E107" s="10">
        <v>1115</v>
      </c>
      <c r="F107" s="10">
        <v>635</v>
      </c>
      <c r="G107" s="10">
        <v>229</v>
      </c>
      <c r="H107" s="10">
        <v>31</v>
      </c>
      <c r="I107" s="9" t="s">
        <v>45</v>
      </c>
      <c r="J107" s="12">
        <f t="shared" si="2"/>
        <v>0.75590551181102361</v>
      </c>
      <c r="K107" s="12">
        <f t="shared" si="3"/>
        <v>0.13537117903930132</v>
      </c>
    </row>
    <row r="108" spans="1:11" hidden="1" x14ac:dyDescent="0.3">
      <c r="A108" s="7">
        <v>107</v>
      </c>
      <c r="B108" s="7">
        <v>93</v>
      </c>
      <c r="C108" s="7" t="s">
        <v>144</v>
      </c>
      <c r="D108" s="7" t="s">
        <v>10</v>
      </c>
      <c r="E108" s="8">
        <v>1110</v>
      </c>
      <c r="F108" s="8">
        <v>1298</v>
      </c>
      <c r="G108" s="8">
        <v>299</v>
      </c>
      <c r="H108" s="8">
        <v>115</v>
      </c>
      <c r="I108" s="7" t="s">
        <v>15</v>
      </c>
      <c r="J108" s="11">
        <f t="shared" si="2"/>
        <v>-0.1448382126348228</v>
      </c>
      <c r="K108" s="11">
        <f t="shared" si="3"/>
        <v>0.38461538461538464</v>
      </c>
    </row>
    <row r="109" spans="1:11" hidden="1" x14ac:dyDescent="0.3">
      <c r="A109" s="9">
        <v>108</v>
      </c>
      <c r="B109" s="9">
        <v>139</v>
      </c>
      <c r="C109" s="9" t="s">
        <v>145</v>
      </c>
      <c r="D109" s="9" t="s">
        <v>31</v>
      </c>
      <c r="E109" s="10">
        <v>1070</v>
      </c>
      <c r="F109" s="10">
        <v>636</v>
      </c>
      <c r="G109" s="10">
        <v>1451</v>
      </c>
      <c r="H109" s="10">
        <v>193</v>
      </c>
      <c r="I109" s="9" t="s">
        <v>15</v>
      </c>
      <c r="J109" s="12">
        <f t="shared" si="2"/>
        <v>0.6823899371069182</v>
      </c>
      <c r="K109" s="12">
        <f t="shared" si="3"/>
        <v>0.13301171605789111</v>
      </c>
    </row>
    <row r="110" spans="1:11" hidden="1" x14ac:dyDescent="0.3">
      <c r="A110" s="7">
        <v>109</v>
      </c>
      <c r="B110" s="7">
        <v>88</v>
      </c>
      <c r="C110" s="7" t="s">
        <v>146</v>
      </c>
      <c r="D110" s="7" t="s">
        <v>31</v>
      </c>
      <c r="E110" s="8">
        <v>1064</v>
      </c>
      <c r="F110" s="8">
        <v>1390</v>
      </c>
      <c r="G110" s="8">
        <v>503</v>
      </c>
      <c r="H110" s="8">
        <v>133</v>
      </c>
      <c r="I110" s="7" t="s">
        <v>15</v>
      </c>
      <c r="J110" s="11">
        <f t="shared" si="2"/>
        <v>-0.23453237410071942</v>
      </c>
      <c r="K110" s="11">
        <f t="shared" si="3"/>
        <v>0.26441351888667991</v>
      </c>
    </row>
    <row r="111" spans="1:11" hidden="1" x14ac:dyDescent="0.3">
      <c r="A111" s="9">
        <v>110</v>
      </c>
      <c r="B111" s="9">
        <v>103</v>
      </c>
      <c r="C111" s="9" t="s">
        <v>147</v>
      </c>
      <c r="D111" s="9" t="s">
        <v>26</v>
      </c>
      <c r="E111" s="10">
        <v>1031</v>
      </c>
      <c r="F111" s="10">
        <v>1143</v>
      </c>
      <c r="G111" s="10">
        <v>791</v>
      </c>
      <c r="H111" s="10">
        <v>40</v>
      </c>
      <c r="I111" s="9" t="s">
        <v>11</v>
      </c>
      <c r="J111" s="12">
        <f t="shared" si="2"/>
        <v>-9.7987751531058612E-2</v>
      </c>
      <c r="K111" s="12">
        <f t="shared" si="3"/>
        <v>5.0568900126422248E-2</v>
      </c>
    </row>
    <row r="112" spans="1:11" hidden="1" x14ac:dyDescent="0.3">
      <c r="A112" s="7">
        <v>111</v>
      </c>
      <c r="B112" s="7">
        <v>111</v>
      </c>
      <c r="C112" s="7" t="s">
        <v>148</v>
      </c>
      <c r="D112" s="7" t="s">
        <v>108</v>
      </c>
      <c r="E112" s="8">
        <v>1016</v>
      </c>
      <c r="F112" s="8">
        <v>927</v>
      </c>
      <c r="G112" s="8">
        <v>1426</v>
      </c>
      <c r="H112" s="8">
        <v>81</v>
      </c>
      <c r="I112" s="7" t="s">
        <v>54</v>
      </c>
      <c r="J112" s="11">
        <f t="shared" si="2"/>
        <v>9.6008629989212516E-2</v>
      </c>
      <c r="K112" s="11">
        <f t="shared" si="3"/>
        <v>5.6802244039270686E-2</v>
      </c>
    </row>
    <row r="113" spans="1:11" hidden="1" x14ac:dyDescent="0.3">
      <c r="A113" s="9">
        <v>112</v>
      </c>
      <c r="B113" s="9">
        <v>115</v>
      </c>
      <c r="C113" s="9" t="s">
        <v>150</v>
      </c>
      <c r="D113" s="9" t="s">
        <v>28</v>
      </c>
      <c r="E113" s="10">
        <v>1009</v>
      </c>
      <c r="F113" s="10">
        <v>829</v>
      </c>
      <c r="G113" s="10">
        <v>533</v>
      </c>
      <c r="H113" s="10">
        <v>67</v>
      </c>
      <c r="I113" s="9" t="s">
        <v>15</v>
      </c>
      <c r="J113" s="12">
        <f t="shared" si="2"/>
        <v>0.21712907117008443</v>
      </c>
      <c r="K113" s="12">
        <f t="shared" si="3"/>
        <v>0.12570356472795496</v>
      </c>
    </row>
    <row r="114" spans="1:11" hidden="1" x14ac:dyDescent="0.3">
      <c r="A114" s="7">
        <v>113</v>
      </c>
      <c r="B114" s="7" t="s">
        <v>69</v>
      </c>
      <c r="C114" s="7" t="s">
        <v>151</v>
      </c>
      <c r="D114" s="7" t="s">
        <v>10</v>
      </c>
      <c r="E114" s="8">
        <v>1001</v>
      </c>
      <c r="F114" s="8">
        <v>770</v>
      </c>
      <c r="G114" s="8">
        <v>57</v>
      </c>
      <c r="H114" s="8">
        <v>78</v>
      </c>
      <c r="I114" s="7" t="s">
        <v>15</v>
      </c>
      <c r="J114" s="11">
        <f t="shared" si="2"/>
        <v>0.3</v>
      </c>
      <c r="K114" s="11">
        <f t="shared" si="3"/>
        <v>1.368421052631579</v>
      </c>
    </row>
    <row r="115" spans="1:11" hidden="1" x14ac:dyDescent="0.3">
      <c r="A115" s="9">
        <v>114</v>
      </c>
      <c r="B115" s="9">
        <v>95</v>
      </c>
      <c r="C115" s="9" t="s">
        <v>152</v>
      </c>
      <c r="D115" s="9" t="s">
        <v>58</v>
      </c>
      <c r="E115" s="10">
        <v>987</v>
      </c>
      <c r="F115" s="10">
        <v>1253</v>
      </c>
      <c r="G115" s="10">
        <v>2934</v>
      </c>
      <c r="H115" s="10">
        <v>191</v>
      </c>
      <c r="I115" s="9" t="s">
        <v>103</v>
      </c>
      <c r="J115" s="12">
        <f t="shared" si="2"/>
        <v>-0.21229050279329609</v>
      </c>
      <c r="K115" s="12">
        <f t="shared" si="3"/>
        <v>6.50988411724608E-2</v>
      </c>
    </row>
    <row r="116" spans="1:11" hidden="1" x14ac:dyDescent="0.3">
      <c r="A116" s="7">
        <v>115</v>
      </c>
      <c r="B116" s="7">
        <v>116</v>
      </c>
      <c r="C116" s="7" t="s">
        <v>153</v>
      </c>
      <c r="D116" s="7" t="s">
        <v>58</v>
      </c>
      <c r="E116" s="8">
        <v>954</v>
      </c>
      <c r="F116" s="8">
        <v>821</v>
      </c>
      <c r="G116" s="8">
        <v>891</v>
      </c>
      <c r="H116" s="8">
        <v>106</v>
      </c>
      <c r="I116" s="7" t="s">
        <v>15</v>
      </c>
      <c r="J116" s="11">
        <f t="shared" si="2"/>
        <v>0.16199756394640683</v>
      </c>
      <c r="K116" s="11">
        <f t="shared" si="3"/>
        <v>0.11896745230078563</v>
      </c>
    </row>
    <row r="117" spans="1:11" hidden="1" x14ac:dyDescent="0.3">
      <c r="A117" s="9">
        <v>116</v>
      </c>
      <c r="B117" s="9">
        <v>128</v>
      </c>
      <c r="C117" s="9" t="s">
        <v>154</v>
      </c>
      <c r="D117" s="9" t="s">
        <v>58</v>
      </c>
      <c r="E117" s="10">
        <v>942</v>
      </c>
      <c r="F117" s="10">
        <v>712</v>
      </c>
      <c r="G117" s="10">
        <v>529</v>
      </c>
      <c r="H117" s="10">
        <v>93</v>
      </c>
      <c r="I117" s="9" t="s">
        <v>15</v>
      </c>
      <c r="J117" s="12">
        <f t="shared" si="2"/>
        <v>0.32303370786516855</v>
      </c>
      <c r="K117" s="12">
        <f t="shared" si="3"/>
        <v>0.17580340264650285</v>
      </c>
    </row>
    <row r="118" spans="1:11" hidden="1" x14ac:dyDescent="0.3">
      <c r="A118" s="7">
        <v>117</v>
      </c>
      <c r="B118" s="7">
        <v>64</v>
      </c>
      <c r="C118" s="7" t="s">
        <v>155</v>
      </c>
      <c r="D118" s="7" t="s">
        <v>58</v>
      </c>
      <c r="E118" s="8">
        <v>926</v>
      </c>
      <c r="F118" s="8">
        <v>1911</v>
      </c>
      <c r="G118" s="8">
        <v>78</v>
      </c>
      <c r="H118" s="8">
        <v>10</v>
      </c>
      <c r="I118" s="7" t="s">
        <v>15</v>
      </c>
      <c r="J118" s="11">
        <f t="shared" si="2"/>
        <v>-0.51543694400837259</v>
      </c>
      <c r="K118" s="11">
        <f t="shared" si="3"/>
        <v>0.12820512820512819</v>
      </c>
    </row>
    <row r="119" spans="1:11" x14ac:dyDescent="0.3">
      <c r="A119" s="9">
        <v>118</v>
      </c>
      <c r="B119" s="9"/>
      <c r="C119" s="9" t="s">
        <v>156</v>
      </c>
      <c r="D119" s="9" t="s">
        <v>10</v>
      </c>
      <c r="E119" s="10">
        <v>918</v>
      </c>
      <c r="F119" s="10"/>
      <c r="G119" s="10"/>
      <c r="H119" s="10"/>
      <c r="I119" s="9" t="s">
        <v>157</v>
      </c>
      <c r="J119" s="12" t="e">
        <f t="shared" si="2"/>
        <v>#DIV/0!</v>
      </c>
      <c r="K119" s="12"/>
    </row>
    <row r="120" spans="1:11" hidden="1" x14ac:dyDescent="0.3">
      <c r="A120" s="7">
        <v>119</v>
      </c>
      <c r="B120" s="7">
        <v>112</v>
      </c>
      <c r="C120" s="7" t="s">
        <v>158</v>
      </c>
      <c r="D120" s="7" t="s">
        <v>31</v>
      </c>
      <c r="E120" s="8">
        <v>918</v>
      </c>
      <c r="F120" s="8">
        <v>869</v>
      </c>
      <c r="G120" s="8">
        <v>715</v>
      </c>
      <c r="H120" s="8">
        <v>124</v>
      </c>
      <c r="I120" s="7" t="s">
        <v>13</v>
      </c>
      <c r="J120" s="11">
        <f t="shared" si="2"/>
        <v>5.6386651323360182E-2</v>
      </c>
      <c r="K120" s="11">
        <f t="shared" si="3"/>
        <v>0.17342657342657342</v>
      </c>
    </row>
    <row r="121" spans="1:11" hidden="1" x14ac:dyDescent="0.3">
      <c r="A121" s="9">
        <v>120</v>
      </c>
      <c r="B121" s="9">
        <v>246</v>
      </c>
      <c r="C121" s="9" t="s">
        <v>159</v>
      </c>
      <c r="D121" s="9" t="s">
        <v>73</v>
      </c>
      <c r="E121" s="10">
        <v>875</v>
      </c>
      <c r="F121" s="10">
        <v>265</v>
      </c>
      <c r="G121" s="10">
        <v>230</v>
      </c>
      <c r="H121" s="10">
        <v>26</v>
      </c>
      <c r="I121" s="9" t="s">
        <v>41</v>
      </c>
      <c r="J121" s="12">
        <f t="shared" si="2"/>
        <v>2.3018867924528301</v>
      </c>
      <c r="K121" s="12">
        <f t="shared" si="3"/>
        <v>0.11304347826086956</v>
      </c>
    </row>
    <row r="122" spans="1:11" hidden="1" x14ac:dyDescent="0.3">
      <c r="A122" s="7">
        <v>121</v>
      </c>
      <c r="B122" s="7">
        <v>148</v>
      </c>
      <c r="C122" s="7" t="s">
        <v>160</v>
      </c>
      <c r="D122" s="7" t="s">
        <v>10</v>
      </c>
      <c r="E122" s="8">
        <v>870</v>
      </c>
      <c r="F122" s="8">
        <v>561</v>
      </c>
      <c r="G122" s="8">
        <v>1087</v>
      </c>
      <c r="H122" s="8">
        <v>40</v>
      </c>
      <c r="I122" s="7" t="s">
        <v>13</v>
      </c>
      <c r="J122" s="11">
        <f t="shared" si="2"/>
        <v>0.55080213903743314</v>
      </c>
      <c r="K122" s="11">
        <f t="shared" si="3"/>
        <v>3.6798528058877643E-2</v>
      </c>
    </row>
    <row r="123" spans="1:11" hidden="1" x14ac:dyDescent="0.3">
      <c r="A123" s="9">
        <v>122</v>
      </c>
      <c r="B123" s="9">
        <v>170</v>
      </c>
      <c r="C123" s="9" t="s">
        <v>161</v>
      </c>
      <c r="D123" s="9" t="s">
        <v>10</v>
      </c>
      <c r="E123" s="10">
        <v>865</v>
      </c>
      <c r="F123" s="10">
        <v>462</v>
      </c>
      <c r="G123" s="10">
        <v>347</v>
      </c>
      <c r="H123" s="10">
        <v>1</v>
      </c>
      <c r="I123" s="9" t="s">
        <v>41</v>
      </c>
      <c r="J123" s="12">
        <f t="shared" si="2"/>
        <v>0.87229437229437234</v>
      </c>
      <c r="K123" s="12">
        <f t="shared" si="3"/>
        <v>2.881844380403458E-3</v>
      </c>
    </row>
    <row r="124" spans="1:11" hidden="1" x14ac:dyDescent="0.3">
      <c r="A124" s="7">
        <v>123</v>
      </c>
      <c r="B124" s="7" t="s">
        <v>69</v>
      </c>
      <c r="C124" s="7" t="s">
        <v>162</v>
      </c>
      <c r="D124" s="7" t="s">
        <v>73</v>
      </c>
      <c r="E124" s="8">
        <v>864</v>
      </c>
      <c r="F124" s="8">
        <v>256</v>
      </c>
      <c r="G124" s="8">
        <v>406</v>
      </c>
      <c r="H124" s="8">
        <v>1</v>
      </c>
      <c r="I124" s="7" t="s">
        <v>11</v>
      </c>
      <c r="J124" s="11">
        <f t="shared" si="2"/>
        <v>2.375</v>
      </c>
      <c r="K124" s="11">
        <f t="shared" si="3"/>
        <v>2.4630541871921183E-3</v>
      </c>
    </row>
    <row r="125" spans="1:11" hidden="1" x14ac:dyDescent="0.3">
      <c r="A125" s="9">
        <v>124</v>
      </c>
      <c r="B125" s="9">
        <v>134</v>
      </c>
      <c r="C125" s="9" t="s">
        <v>163</v>
      </c>
      <c r="D125" s="9" t="s">
        <v>58</v>
      </c>
      <c r="E125" s="10">
        <v>848</v>
      </c>
      <c r="F125" s="10">
        <v>661</v>
      </c>
      <c r="G125" s="10">
        <v>161</v>
      </c>
      <c r="H125" s="10">
        <v>93</v>
      </c>
      <c r="I125" s="9" t="s">
        <v>103</v>
      </c>
      <c r="J125" s="12">
        <f t="shared" si="2"/>
        <v>0.28290468986384265</v>
      </c>
      <c r="K125" s="12">
        <f t="shared" si="3"/>
        <v>0.57763975155279501</v>
      </c>
    </row>
    <row r="126" spans="1:11" hidden="1" x14ac:dyDescent="0.3">
      <c r="A126" s="7">
        <v>125</v>
      </c>
      <c r="B126" s="7">
        <v>127</v>
      </c>
      <c r="C126" s="7" t="s">
        <v>164</v>
      </c>
      <c r="D126" s="7" t="s">
        <v>10</v>
      </c>
      <c r="E126" s="8">
        <v>847</v>
      </c>
      <c r="F126" s="8">
        <v>718</v>
      </c>
      <c r="G126" s="8">
        <v>1554</v>
      </c>
      <c r="H126" s="8">
        <v>73</v>
      </c>
      <c r="I126" s="7" t="s">
        <v>13</v>
      </c>
      <c r="J126" s="11">
        <f t="shared" si="2"/>
        <v>0.1796657381615599</v>
      </c>
      <c r="K126" s="11">
        <f t="shared" si="3"/>
        <v>4.6975546975546977E-2</v>
      </c>
    </row>
    <row r="127" spans="1:11" hidden="1" x14ac:dyDescent="0.3">
      <c r="A127" s="9">
        <v>126</v>
      </c>
      <c r="B127" s="9">
        <v>121</v>
      </c>
      <c r="C127" s="9" t="s">
        <v>165</v>
      </c>
      <c r="D127" s="9" t="s">
        <v>10</v>
      </c>
      <c r="E127" s="10">
        <v>841</v>
      </c>
      <c r="F127" s="10">
        <v>770</v>
      </c>
      <c r="G127" s="10">
        <v>1761</v>
      </c>
      <c r="H127" s="10">
        <v>80</v>
      </c>
      <c r="I127" s="9" t="s">
        <v>13</v>
      </c>
      <c r="J127" s="12">
        <f t="shared" si="2"/>
        <v>9.2207792207792211E-2</v>
      </c>
      <c r="K127" s="12">
        <f t="shared" si="3"/>
        <v>4.5428733674048836E-2</v>
      </c>
    </row>
    <row r="128" spans="1:11" hidden="1" x14ac:dyDescent="0.3">
      <c r="A128" s="7">
        <v>127</v>
      </c>
      <c r="B128" s="7">
        <v>119</v>
      </c>
      <c r="C128" s="7" t="s">
        <v>166</v>
      </c>
      <c r="D128" s="7" t="s">
        <v>58</v>
      </c>
      <c r="E128" s="8">
        <v>833</v>
      </c>
      <c r="F128" s="8">
        <v>790</v>
      </c>
      <c r="G128" s="8">
        <v>91</v>
      </c>
      <c r="H128" s="8">
        <v>6</v>
      </c>
      <c r="I128" s="7" t="s">
        <v>15</v>
      </c>
      <c r="J128" s="11">
        <f t="shared" si="2"/>
        <v>5.4430379746835442E-2</v>
      </c>
      <c r="K128" s="11">
        <f t="shared" si="3"/>
        <v>6.5934065934065936E-2</v>
      </c>
    </row>
    <row r="129" spans="1:11" hidden="1" x14ac:dyDescent="0.3">
      <c r="A129" s="9">
        <v>128</v>
      </c>
      <c r="B129" s="9">
        <v>132</v>
      </c>
      <c r="C129" s="9" t="s">
        <v>168</v>
      </c>
      <c r="D129" s="9" t="s">
        <v>31</v>
      </c>
      <c r="E129" s="10">
        <v>833</v>
      </c>
      <c r="F129" s="10">
        <v>694</v>
      </c>
      <c r="G129" s="10">
        <v>2523</v>
      </c>
      <c r="H129" s="10">
        <v>386</v>
      </c>
      <c r="I129" s="9" t="s">
        <v>15</v>
      </c>
      <c r="J129" s="12">
        <f t="shared" si="2"/>
        <v>0.20028818443804033</v>
      </c>
      <c r="K129" s="12">
        <f t="shared" si="3"/>
        <v>0.15299246928260007</v>
      </c>
    </row>
    <row r="130" spans="1:11" hidden="1" x14ac:dyDescent="0.3">
      <c r="A130" s="7">
        <v>129</v>
      </c>
      <c r="B130" s="7">
        <v>124</v>
      </c>
      <c r="C130" s="7" t="s">
        <v>169</v>
      </c>
      <c r="D130" s="7" t="s">
        <v>71</v>
      </c>
      <c r="E130" s="8">
        <v>831</v>
      </c>
      <c r="F130" s="8">
        <v>742</v>
      </c>
      <c r="G130" s="8">
        <v>895</v>
      </c>
      <c r="H130" s="8">
        <v>2</v>
      </c>
      <c r="I130" s="7" t="s">
        <v>15</v>
      </c>
      <c r="J130" s="11">
        <f t="shared" ref="J130:J193" si="4">(E130-F130)/F130</f>
        <v>0.11994609164420485</v>
      </c>
      <c r="K130" s="11">
        <f t="shared" ref="K130:K193" si="5">(H130/G130)</f>
        <v>2.2346368715083797E-3</v>
      </c>
    </row>
    <row r="131" spans="1:11" hidden="1" x14ac:dyDescent="0.3">
      <c r="A131" s="9">
        <v>130</v>
      </c>
      <c r="B131" s="9">
        <v>126</v>
      </c>
      <c r="C131" s="9" t="s">
        <v>170</v>
      </c>
      <c r="D131" s="9" t="s">
        <v>28</v>
      </c>
      <c r="E131" s="10">
        <v>821</v>
      </c>
      <c r="F131" s="10">
        <v>720</v>
      </c>
      <c r="G131" s="10">
        <v>300</v>
      </c>
      <c r="H131" s="10">
        <v>37</v>
      </c>
      <c r="I131" s="9" t="s">
        <v>11</v>
      </c>
      <c r="J131" s="12">
        <f t="shared" si="4"/>
        <v>0.14027777777777778</v>
      </c>
      <c r="K131" s="12">
        <f t="shared" si="5"/>
        <v>0.12333333333333334</v>
      </c>
    </row>
    <row r="132" spans="1:11" hidden="1" x14ac:dyDescent="0.3">
      <c r="A132" s="7">
        <v>131</v>
      </c>
      <c r="B132" s="7">
        <v>118</v>
      </c>
      <c r="C132" s="7" t="s">
        <v>171</v>
      </c>
      <c r="D132" s="7" t="s">
        <v>10</v>
      </c>
      <c r="E132" s="8">
        <v>817</v>
      </c>
      <c r="F132" s="8">
        <v>792</v>
      </c>
      <c r="G132" s="8">
        <v>342</v>
      </c>
      <c r="H132" s="8">
        <v>93</v>
      </c>
      <c r="I132" s="7" t="s">
        <v>13</v>
      </c>
      <c r="J132" s="11">
        <f t="shared" si="4"/>
        <v>3.1565656565656568E-2</v>
      </c>
      <c r="K132" s="11">
        <f t="shared" si="5"/>
        <v>0.27192982456140352</v>
      </c>
    </row>
    <row r="133" spans="1:11" hidden="1" x14ac:dyDescent="0.3">
      <c r="A133" s="9">
        <v>132</v>
      </c>
      <c r="B133" s="9">
        <v>107</v>
      </c>
      <c r="C133" s="9" t="s">
        <v>172</v>
      </c>
      <c r="D133" s="9" t="s">
        <v>28</v>
      </c>
      <c r="E133" s="10">
        <v>812</v>
      </c>
      <c r="F133" s="10">
        <v>1041</v>
      </c>
      <c r="G133" s="10">
        <v>439</v>
      </c>
      <c r="H133" s="10">
        <v>22</v>
      </c>
      <c r="I133" s="9" t="s">
        <v>15</v>
      </c>
      <c r="J133" s="12">
        <f t="shared" si="4"/>
        <v>-0.21998078770413065</v>
      </c>
      <c r="K133" s="12">
        <f t="shared" si="5"/>
        <v>5.011389521640091E-2</v>
      </c>
    </row>
    <row r="134" spans="1:11" hidden="1" x14ac:dyDescent="0.3">
      <c r="A134" s="7">
        <v>133</v>
      </c>
      <c r="B134" s="7">
        <v>144</v>
      </c>
      <c r="C134" s="7" t="s">
        <v>173</v>
      </c>
      <c r="D134" s="7" t="s">
        <v>28</v>
      </c>
      <c r="E134" s="8">
        <v>788</v>
      </c>
      <c r="F134" s="8">
        <v>612</v>
      </c>
      <c r="G134" s="8">
        <v>626</v>
      </c>
      <c r="H134" s="8">
        <v>46</v>
      </c>
      <c r="I134" s="7" t="s">
        <v>15</v>
      </c>
      <c r="J134" s="11">
        <f t="shared" si="4"/>
        <v>0.28758169934640521</v>
      </c>
      <c r="K134" s="11">
        <f t="shared" si="5"/>
        <v>7.3482428115015971E-2</v>
      </c>
    </row>
    <row r="135" spans="1:11" hidden="1" x14ac:dyDescent="0.3">
      <c r="A135" s="9">
        <v>134</v>
      </c>
      <c r="B135" s="9">
        <v>133</v>
      </c>
      <c r="C135" s="9" t="s">
        <v>174</v>
      </c>
      <c r="D135" s="9" t="s">
        <v>129</v>
      </c>
      <c r="E135" s="10">
        <v>787</v>
      </c>
      <c r="F135" s="10">
        <v>683</v>
      </c>
      <c r="G135" s="10">
        <v>636</v>
      </c>
      <c r="H135" s="10">
        <v>102</v>
      </c>
      <c r="I135" s="9" t="s">
        <v>15</v>
      </c>
      <c r="J135" s="12">
        <f t="shared" si="4"/>
        <v>0.15226939970717424</v>
      </c>
      <c r="K135" s="12">
        <f t="shared" si="5"/>
        <v>0.16037735849056603</v>
      </c>
    </row>
    <row r="136" spans="1:11" hidden="1" x14ac:dyDescent="0.3">
      <c r="A136" s="7">
        <v>135</v>
      </c>
      <c r="B136" s="7">
        <v>110</v>
      </c>
      <c r="C136" s="7" t="s">
        <v>175</v>
      </c>
      <c r="D136" s="7" t="s">
        <v>31</v>
      </c>
      <c r="E136" s="8">
        <v>785</v>
      </c>
      <c r="F136" s="8">
        <v>947</v>
      </c>
      <c r="G136" s="8">
        <v>1067</v>
      </c>
      <c r="H136" s="8">
        <v>31</v>
      </c>
      <c r="I136" s="7" t="s">
        <v>11</v>
      </c>
      <c r="J136" s="11">
        <f t="shared" si="4"/>
        <v>-0.17106652587117213</v>
      </c>
      <c r="K136" s="11">
        <f t="shared" si="5"/>
        <v>2.9053420805998126E-2</v>
      </c>
    </row>
    <row r="137" spans="1:11" hidden="1" x14ac:dyDescent="0.3">
      <c r="A137" s="9">
        <v>136</v>
      </c>
      <c r="B137" s="9">
        <v>142</v>
      </c>
      <c r="C137" s="9" t="s">
        <v>176</v>
      </c>
      <c r="D137" s="9" t="s">
        <v>10</v>
      </c>
      <c r="E137" s="10">
        <v>767</v>
      </c>
      <c r="F137" s="10">
        <v>629</v>
      </c>
      <c r="G137" s="10">
        <v>2056</v>
      </c>
      <c r="H137" s="10">
        <v>64</v>
      </c>
      <c r="I137" s="9" t="s">
        <v>11</v>
      </c>
      <c r="J137" s="12">
        <f t="shared" si="4"/>
        <v>0.21939586645468998</v>
      </c>
      <c r="K137" s="12">
        <f t="shared" si="5"/>
        <v>3.1128404669260701E-2</v>
      </c>
    </row>
    <row r="138" spans="1:11" hidden="1" x14ac:dyDescent="0.3">
      <c r="A138" s="7">
        <v>137</v>
      </c>
      <c r="B138" s="7" t="s">
        <v>69</v>
      </c>
      <c r="C138" s="7" t="s">
        <v>177</v>
      </c>
      <c r="D138" s="7" t="s">
        <v>10</v>
      </c>
      <c r="E138" s="8">
        <v>759</v>
      </c>
      <c r="F138" s="8">
        <v>202</v>
      </c>
      <c r="G138" s="8">
        <v>2685</v>
      </c>
      <c r="H138" s="8">
        <v>448</v>
      </c>
      <c r="I138" s="7" t="s">
        <v>13</v>
      </c>
      <c r="J138" s="11">
        <f t="shared" si="4"/>
        <v>2.7574257425742572</v>
      </c>
      <c r="K138" s="11">
        <f t="shared" si="5"/>
        <v>0.16685288640595902</v>
      </c>
    </row>
    <row r="139" spans="1:11" hidden="1" x14ac:dyDescent="0.3">
      <c r="A139" s="9">
        <v>138</v>
      </c>
      <c r="B139" s="9">
        <v>122</v>
      </c>
      <c r="C139" s="9" t="s">
        <v>178</v>
      </c>
      <c r="D139" s="9" t="s">
        <v>10</v>
      </c>
      <c r="E139" s="10">
        <v>747</v>
      </c>
      <c r="F139" s="10">
        <v>747</v>
      </c>
      <c r="G139" s="10">
        <v>2564</v>
      </c>
      <c r="H139" s="10">
        <v>66</v>
      </c>
      <c r="I139" s="9" t="s">
        <v>103</v>
      </c>
      <c r="J139" s="12">
        <f t="shared" si="4"/>
        <v>0</v>
      </c>
      <c r="K139" s="12">
        <f t="shared" si="5"/>
        <v>2.5741029641185648E-2</v>
      </c>
    </row>
    <row r="140" spans="1:11" hidden="1" x14ac:dyDescent="0.3">
      <c r="A140" s="7">
        <v>139</v>
      </c>
      <c r="B140" s="7">
        <v>123</v>
      </c>
      <c r="C140" s="7" t="s">
        <v>179</v>
      </c>
      <c r="D140" s="7" t="s">
        <v>133</v>
      </c>
      <c r="E140" s="8">
        <v>743</v>
      </c>
      <c r="F140" s="8">
        <v>744</v>
      </c>
      <c r="G140" s="8">
        <v>420</v>
      </c>
      <c r="H140" s="8">
        <v>13</v>
      </c>
      <c r="I140" s="7" t="s">
        <v>17</v>
      </c>
      <c r="J140" s="11">
        <f t="shared" si="4"/>
        <v>-1.3440860215053765E-3</v>
      </c>
      <c r="K140" s="11">
        <f t="shared" si="5"/>
        <v>3.0952380952380953E-2</v>
      </c>
    </row>
    <row r="141" spans="1:11" hidden="1" x14ac:dyDescent="0.3">
      <c r="A141" s="9">
        <v>140</v>
      </c>
      <c r="B141" s="9">
        <v>125</v>
      </c>
      <c r="C141" s="9" t="s">
        <v>181</v>
      </c>
      <c r="D141" s="9" t="s">
        <v>133</v>
      </c>
      <c r="E141" s="10">
        <v>733</v>
      </c>
      <c r="F141" s="10">
        <v>733</v>
      </c>
      <c r="G141" s="10">
        <v>121</v>
      </c>
      <c r="H141" s="10">
        <v>16</v>
      </c>
      <c r="I141" s="9" t="s">
        <v>11</v>
      </c>
      <c r="J141" s="12">
        <f t="shared" si="4"/>
        <v>0</v>
      </c>
      <c r="K141" s="12">
        <f t="shared" si="5"/>
        <v>0.13223140495867769</v>
      </c>
    </row>
    <row r="142" spans="1:11" hidden="1" x14ac:dyDescent="0.3">
      <c r="A142" s="7">
        <v>141</v>
      </c>
      <c r="B142" s="7">
        <v>151</v>
      </c>
      <c r="C142" s="7" t="s">
        <v>182</v>
      </c>
      <c r="D142" s="7" t="s">
        <v>28</v>
      </c>
      <c r="E142" s="8">
        <v>702</v>
      </c>
      <c r="F142" s="8">
        <v>541</v>
      </c>
      <c r="G142" s="8">
        <v>322</v>
      </c>
      <c r="H142" s="8">
        <v>70</v>
      </c>
      <c r="I142" s="7" t="s">
        <v>15</v>
      </c>
      <c r="J142" s="11">
        <f t="shared" si="4"/>
        <v>0.29759704251386321</v>
      </c>
      <c r="K142" s="11">
        <f t="shared" si="5"/>
        <v>0.21739130434782608</v>
      </c>
    </row>
    <row r="143" spans="1:11" hidden="1" x14ac:dyDescent="0.3">
      <c r="A143" s="9">
        <v>142</v>
      </c>
      <c r="B143" s="9">
        <v>135</v>
      </c>
      <c r="C143" s="9" t="s">
        <v>183</v>
      </c>
      <c r="D143" s="9" t="s">
        <v>58</v>
      </c>
      <c r="E143" s="10">
        <v>699</v>
      </c>
      <c r="F143" s="10">
        <v>657</v>
      </c>
      <c r="G143" s="10">
        <v>337</v>
      </c>
      <c r="H143" s="10">
        <v>94</v>
      </c>
      <c r="I143" s="9" t="s">
        <v>15</v>
      </c>
      <c r="J143" s="12">
        <f t="shared" si="4"/>
        <v>6.3926940639269403E-2</v>
      </c>
      <c r="K143" s="12">
        <f t="shared" si="5"/>
        <v>0.27893175074183979</v>
      </c>
    </row>
    <row r="144" spans="1:11" hidden="1" x14ac:dyDescent="0.3">
      <c r="A144" s="7">
        <v>143</v>
      </c>
      <c r="B144" s="7">
        <v>172</v>
      </c>
      <c r="C144" s="7" t="s">
        <v>184</v>
      </c>
      <c r="D144" s="7" t="s">
        <v>10</v>
      </c>
      <c r="E144" s="8">
        <v>696</v>
      </c>
      <c r="F144" s="8">
        <v>453</v>
      </c>
      <c r="G144" s="8">
        <v>224</v>
      </c>
      <c r="H144" s="8">
        <v>36</v>
      </c>
      <c r="I144" s="7" t="s">
        <v>13</v>
      </c>
      <c r="J144" s="11">
        <f t="shared" si="4"/>
        <v>0.53642384105960261</v>
      </c>
      <c r="K144" s="11">
        <f t="shared" si="5"/>
        <v>0.16071428571428573</v>
      </c>
    </row>
    <row r="145" spans="1:11" hidden="1" x14ac:dyDescent="0.3">
      <c r="A145" s="9">
        <v>144</v>
      </c>
      <c r="B145" s="9">
        <v>202</v>
      </c>
      <c r="C145" s="9" t="s">
        <v>185</v>
      </c>
      <c r="D145" s="9" t="s">
        <v>10</v>
      </c>
      <c r="E145" s="10">
        <v>691</v>
      </c>
      <c r="F145" s="10">
        <v>368</v>
      </c>
      <c r="G145" s="10">
        <v>823</v>
      </c>
      <c r="H145" s="10">
        <v>69</v>
      </c>
      <c r="I145" s="9" t="s">
        <v>41</v>
      </c>
      <c r="J145" s="12">
        <f t="shared" si="4"/>
        <v>0.87771739130434778</v>
      </c>
      <c r="K145" s="12">
        <f t="shared" si="5"/>
        <v>8.3839611178614826E-2</v>
      </c>
    </row>
    <row r="146" spans="1:11" hidden="1" x14ac:dyDescent="0.3">
      <c r="A146" s="7">
        <v>145</v>
      </c>
      <c r="B146" s="7">
        <v>117</v>
      </c>
      <c r="C146" s="7" t="s">
        <v>186</v>
      </c>
      <c r="D146" s="7" t="s">
        <v>10</v>
      </c>
      <c r="E146" s="8">
        <v>688</v>
      </c>
      <c r="F146" s="8">
        <v>816</v>
      </c>
      <c r="G146" s="8">
        <v>5248</v>
      </c>
      <c r="H146" s="8">
        <v>108</v>
      </c>
      <c r="I146" s="7" t="s">
        <v>11</v>
      </c>
      <c r="J146" s="11">
        <f t="shared" si="4"/>
        <v>-0.15686274509803921</v>
      </c>
      <c r="K146" s="11">
        <f t="shared" si="5"/>
        <v>2.0579268292682928E-2</v>
      </c>
    </row>
    <row r="147" spans="1:11" hidden="1" x14ac:dyDescent="0.3">
      <c r="A147" s="9">
        <v>146</v>
      </c>
      <c r="B147" s="9">
        <v>177</v>
      </c>
      <c r="C147" s="9" t="s">
        <v>188</v>
      </c>
      <c r="D147" s="9" t="s">
        <v>84</v>
      </c>
      <c r="E147" s="10">
        <v>686</v>
      </c>
      <c r="F147" s="10">
        <v>443</v>
      </c>
      <c r="G147" s="10">
        <v>420</v>
      </c>
      <c r="H147" s="10">
        <v>122</v>
      </c>
      <c r="I147" s="9" t="s">
        <v>15</v>
      </c>
      <c r="J147" s="12">
        <f t="shared" si="4"/>
        <v>0.54853273137697522</v>
      </c>
      <c r="K147" s="12">
        <f t="shared" si="5"/>
        <v>0.2904761904761905</v>
      </c>
    </row>
    <row r="148" spans="1:11" x14ac:dyDescent="0.3">
      <c r="A148" s="7">
        <v>147</v>
      </c>
      <c r="B148" s="7" t="s">
        <v>69</v>
      </c>
      <c r="C148" s="7" t="s">
        <v>189</v>
      </c>
      <c r="D148" s="7" t="s">
        <v>71</v>
      </c>
      <c r="E148" s="8">
        <v>683</v>
      </c>
      <c r="F148" s="8"/>
      <c r="G148" s="8"/>
      <c r="H148" s="8"/>
      <c r="I148" s="7" t="s">
        <v>103</v>
      </c>
      <c r="J148" s="11" t="e">
        <f t="shared" si="4"/>
        <v>#DIV/0!</v>
      </c>
      <c r="K148" s="11"/>
    </row>
    <row r="149" spans="1:11" hidden="1" x14ac:dyDescent="0.3">
      <c r="A149" s="9">
        <v>148</v>
      </c>
      <c r="B149" s="9">
        <v>160</v>
      </c>
      <c r="C149" s="9" t="s">
        <v>190</v>
      </c>
      <c r="D149" s="9" t="s">
        <v>10</v>
      </c>
      <c r="E149" s="10">
        <v>680</v>
      </c>
      <c r="F149" s="10">
        <v>493</v>
      </c>
      <c r="G149" s="10">
        <v>400</v>
      </c>
      <c r="H149" s="10">
        <v>45</v>
      </c>
      <c r="I149" s="9" t="s">
        <v>11</v>
      </c>
      <c r="J149" s="12">
        <f t="shared" si="4"/>
        <v>0.37931034482758619</v>
      </c>
      <c r="K149" s="12">
        <f t="shared" si="5"/>
        <v>0.1125</v>
      </c>
    </row>
    <row r="150" spans="1:11" hidden="1" x14ac:dyDescent="0.3">
      <c r="A150" s="7">
        <v>149</v>
      </c>
      <c r="B150" s="7">
        <v>136</v>
      </c>
      <c r="C150" s="7" t="s">
        <v>191</v>
      </c>
      <c r="D150" s="7" t="s">
        <v>10</v>
      </c>
      <c r="E150" s="8">
        <v>664</v>
      </c>
      <c r="F150" s="8">
        <v>657</v>
      </c>
      <c r="G150" s="8">
        <v>173</v>
      </c>
      <c r="H150" s="8">
        <v>49</v>
      </c>
      <c r="I150" s="7" t="s">
        <v>15</v>
      </c>
      <c r="J150" s="11">
        <f t="shared" si="4"/>
        <v>1.06544901065449E-2</v>
      </c>
      <c r="K150" s="11">
        <f t="shared" si="5"/>
        <v>0.2832369942196532</v>
      </c>
    </row>
    <row r="151" spans="1:11" hidden="1" x14ac:dyDescent="0.3">
      <c r="A151" s="9">
        <v>150</v>
      </c>
      <c r="B151" s="9">
        <v>129</v>
      </c>
      <c r="C151" s="9" t="s">
        <v>192</v>
      </c>
      <c r="D151" s="9" t="s">
        <v>26</v>
      </c>
      <c r="E151" s="10">
        <v>656</v>
      </c>
      <c r="F151" s="10">
        <v>708</v>
      </c>
      <c r="G151" s="10">
        <v>625</v>
      </c>
      <c r="H151" s="10">
        <v>109</v>
      </c>
      <c r="I151" s="9" t="s">
        <v>15</v>
      </c>
      <c r="J151" s="12">
        <f t="shared" si="4"/>
        <v>-7.3446327683615822E-2</v>
      </c>
      <c r="K151" s="12">
        <f t="shared" si="5"/>
        <v>0.1744</v>
      </c>
    </row>
    <row r="152" spans="1:11" hidden="1" x14ac:dyDescent="0.3">
      <c r="A152" s="7">
        <v>151</v>
      </c>
      <c r="B152" s="7">
        <v>183</v>
      </c>
      <c r="C152" s="7" t="s">
        <v>193</v>
      </c>
      <c r="D152" s="7" t="s">
        <v>60</v>
      </c>
      <c r="E152" s="8">
        <v>636</v>
      </c>
      <c r="F152" s="8">
        <v>434</v>
      </c>
      <c r="G152" s="8">
        <v>172</v>
      </c>
      <c r="H152" s="8">
        <v>24</v>
      </c>
      <c r="I152" s="7" t="s">
        <v>11</v>
      </c>
      <c r="J152" s="11">
        <f t="shared" si="4"/>
        <v>0.46543778801843316</v>
      </c>
      <c r="K152" s="11">
        <f t="shared" si="5"/>
        <v>0.13953488372093023</v>
      </c>
    </row>
    <row r="153" spans="1:11" hidden="1" x14ac:dyDescent="0.3">
      <c r="A153" s="9">
        <v>152</v>
      </c>
      <c r="B153" s="9">
        <v>145</v>
      </c>
      <c r="C153" s="9" t="s">
        <v>194</v>
      </c>
      <c r="D153" s="9" t="s">
        <v>31</v>
      </c>
      <c r="E153" s="10">
        <v>633</v>
      </c>
      <c r="F153" s="10">
        <v>589</v>
      </c>
      <c r="G153" s="10">
        <v>1601</v>
      </c>
      <c r="H153" s="10">
        <v>283</v>
      </c>
      <c r="I153" s="9" t="s">
        <v>15</v>
      </c>
      <c r="J153" s="12">
        <f t="shared" si="4"/>
        <v>7.4702886247877756E-2</v>
      </c>
      <c r="K153" s="12">
        <f t="shared" si="5"/>
        <v>0.17676452217364147</v>
      </c>
    </row>
    <row r="154" spans="1:11" hidden="1" x14ac:dyDescent="0.3">
      <c r="A154" s="7">
        <v>153</v>
      </c>
      <c r="B154" s="7">
        <v>153</v>
      </c>
      <c r="C154" s="7" t="s">
        <v>195</v>
      </c>
      <c r="D154" s="7" t="s">
        <v>10</v>
      </c>
      <c r="E154" s="8">
        <v>630</v>
      </c>
      <c r="F154" s="8">
        <v>525</v>
      </c>
      <c r="G154" s="8">
        <v>505</v>
      </c>
      <c r="H154" s="8">
        <v>43</v>
      </c>
      <c r="I154" s="7" t="s">
        <v>45</v>
      </c>
      <c r="J154" s="11">
        <f t="shared" si="4"/>
        <v>0.2</v>
      </c>
      <c r="K154" s="11">
        <f t="shared" si="5"/>
        <v>8.5148514851485155E-2</v>
      </c>
    </row>
    <row r="155" spans="1:11" hidden="1" x14ac:dyDescent="0.3">
      <c r="A155" s="9">
        <v>154</v>
      </c>
      <c r="B155" s="9">
        <v>149</v>
      </c>
      <c r="C155" s="9" t="s">
        <v>196</v>
      </c>
      <c r="D155" s="9" t="s">
        <v>28</v>
      </c>
      <c r="E155" s="10">
        <v>618</v>
      </c>
      <c r="F155" s="10">
        <v>555</v>
      </c>
      <c r="G155" s="10">
        <v>683</v>
      </c>
      <c r="H155" s="10">
        <v>67</v>
      </c>
      <c r="I155" s="9" t="s">
        <v>15</v>
      </c>
      <c r="J155" s="12">
        <f t="shared" si="4"/>
        <v>0.11351351351351352</v>
      </c>
      <c r="K155" s="12">
        <f t="shared" si="5"/>
        <v>9.8096632503660325E-2</v>
      </c>
    </row>
    <row r="156" spans="1:11" hidden="1" x14ac:dyDescent="0.3">
      <c r="A156" s="7">
        <v>155</v>
      </c>
      <c r="B156" s="7">
        <v>120</v>
      </c>
      <c r="C156" s="7" t="s">
        <v>197</v>
      </c>
      <c r="D156" s="7" t="s">
        <v>129</v>
      </c>
      <c r="E156" s="8">
        <v>616</v>
      </c>
      <c r="F156" s="8">
        <v>783</v>
      </c>
      <c r="G156" s="8">
        <v>817</v>
      </c>
      <c r="H156" s="8">
        <v>27</v>
      </c>
      <c r="I156" s="7" t="s">
        <v>11</v>
      </c>
      <c r="J156" s="11">
        <f t="shared" si="4"/>
        <v>-0.21328224776500637</v>
      </c>
      <c r="K156" s="11">
        <f t="shared" si="5"/>
        <v>3.3047735618115054E-2</v>
      </c>
    </row>
    <row r="157" spans="1:11" hidden="1" x14ac:dyDescent="0.3">
      <c r="A157" s="9">
        <v>156</v>
      </c>
      <c r="B157" s="9">
        <v>209</v>
      </c>
      <c r="C157" s="9" t="s">
        <v>198</v>
      </c>
      <c r="D157" s="9" t="s">
        <v>10</v>
      </c>
      <c r="E157" s="10">
        <v>604</v>
      </c>
      <c r="F157" s="10">
        <v>355</v>
      </c>
      <c r="G157" s="10">
        <v>4109</v>
      </c>
      <c r="H157" s="10">
        <v>3</v>
      </c>
      <c r="I157" s="9" t="s">
        <v>157</v>
      </c>
      <c r="J157" s="12">
        <f t="shared" si="4"/>
        <v>0.70140845070422531</v>
      </c>
      <c r="K157" s="12">
        <f t="shared" si="5"/>
        <v>7.3010464833292768E-4</v>
      </c>
    </row>
    <row r="158" spans="1:11" hidden="1" x14ac:dyDescent="0.3">
      <c r="A158" s="7">
        <v>157</v>
      </c>
      <c r="B158" s="7">
        <v>179</v>
      </c>
      <c r="C158" s="7" t="s">
        <v>199</v>
      </c>
      <c r="D158" s="7" t="s">
        <v>26</v>
      </c>
      <c r="E158" s="8">
        <v>588</v>
      </c>
      <c r="F158" s="8">
        <v>438</v>
      </c>
      <c r="G158" s="8">
        <v>402</v>
      </c>
      <c r="H158" s="8">
        <v>39</v>
      </c>
      <c r="I158" s="7" t="s">
        <v>15</v>
      </c>
      <c r="J158" s="11">
        <f t="shared" si="4"/>
        <v>0.34246575342465752</v>
      </c>
      <c r="K158" s="11">
        <f t="shared" si="5"/>
        <v>9.7014925373134331E-2</v>
      </c>
    </row>
    <row r="159" spans="1:11" hidden="1" x14ac:dyDescent="0.3">
      <c r="A159" s="9">
        <v>158</v>
      </c>
      <c r="B159" s="9">
        <v>156</v>
      </c>
      <c r="C159" s="9" t="s">
        <v>200</v>
      </c>
      <c r="D159" s="9" t="s">
        <v>133</v>
      </c>
      <c r="E159" s="10">
        <v>582</v>
      </c>
      <c r="F159" s="10">
        <v>505</v>
      </c>
      <c r="G159" s="10">
        <v>485</v>
      </c>
      <c r="H159" s="10">
        <v>125</v>
      </c>
      <c r="I159" s="9" t="s">
        <v>15</v>
      </c>
      <c r="J159" s="12">
        <f t="shared" si="4"/>
        <v>0.15247524752475247</v>
      </c>
      <c r="K159" s="12">
        <f t="shared" si="5"/>
        <v>0.25773195876288657</v>
      </c>
    </row>
    <row r="160" spans="1:11" hidden="1" x14ac:dyDescent="0.3">
      <c r="A160" s="7">
        <v>159</v>
      </c>
      <c r="B160" s="7">
        <v>176</v>
      </c>
      <c r="C160" s="7" t="s">
        <v>201</v>
      </c>
      <c r="D160" s="7" t="s">
        <v>58</v>
      </c>
      <c r="E160" s="8">
        <v>578</v>
      </c>
      <c r="F160" s="8">
        <v>447</v>
      </c>
      <c r="G160" s="8">
        <v>2147</v>
      </c>
      <c r="H160" s="8">
        <v>296</v>
      </c>
      <c r="I160" s="7" t="s">
        <v>13</v>
      </c>
      <c r="J160" s="11">
        <f t="shared" si="4"/>
        <v>0.29306487695749439</v>
      </c>
      <c r="K160" s="11">
        <f t="shared" si="5"/>
        <v>0.13786679087098277</v>
      </c>
    </row>
    <row r="161" spans="1:11" hidden="1" x14ac:dyDescent="0.3">
      <c r="A161" s="9">
        <v>160</v>
      </c>
      <c r="B161" s="9">
        <v>161</v>
      </c>
      <c r="C161" s="9" t="s">
        <v>203</v>
      </c>
      <c r="D161" s="9" t="s">
        <v>204</v>
      </c>
      <c r="E161" s="10">
        <v>577</v>
      </c>
      <c r="F161" s="10">
        <v>492</v>
      </c>
      <c r="G161" s="10">
        <v>249</v>
      </c>
      <c r="H161" s="10">
        <v>62</v>
      </c>
      <c r="I161" s="9" t="s">
        <v>15</v>
      </c>
      <c r="J161" s="12">
        <f t="shared" si="4"/>
        <v>0.17276422764227642</v>
      </c>
      <c r="K161" s="12">
        <f t="shared" si="5"/>
        <v>0.24899598393574296</v>
      </c>
    </row>
    <row r="162" spans="1:11" hidden="1" x14ac:dyDescent="0.3">
      <c r="A162" s="7">
        <v>161</v>
      </c>
      <c r="B162" s="7">
        <v>152</v>
      </c>
      <c r="C162" s="7" t="s">
        <v>205</v>
      </c>
      <c r="D162" s="7" t="s">
        <v>10</v>
      </c>
      <c r="E162" s="8">
        <v>577</v>
      </c>
      <c r="F162" s="8">
        <v>540</v>
      </c>
      <c r="G162" s="8">
        <v>596</v>
      </c>
      <c r="H162" s="8">
        <v>100</v>
      </c>
      <c r="I162" s="7" t="s">
        <v>13</v>
      </c>
      <c r="J162" s="11">
        <f t="shared" si="4"/>
        <v>6.851851851851852E-2</v>
      </c>
      <c r="K162" s="11">
        <f t="shared" si="5"/>
        <v>0.16778523489932887</v>
      </c>
    </row>
    <row r="163" spans="1:11" hidden="1" x14ac:dyDescent="0.3">
      <c r="A163" s="9">
        <v>162</v>
      </c>
      <c r="B163" s="9">
        <v>187</v>
      </c>
      <c r="C163" s="9" t="s">
        <v>206</v>
      </c>
      <c r="D163" s="9" t="s">
        <v>84</v>
      </c>
      <c r="E163" s="10">
        <v>574</v>
      </c>
      <c r="F163" s="10">
        <v>412</v>
      </c>
      <c r="G163" s="10">
        <v>273</v>
      </c>
      <c r="H163" s="10">
        <v>54</v>
      </c>
      <c r="I163" s="9" t="s">
        <v>17</v>
      </c>
      <c r="J163" s="12">
        <f t="shared" si="4"/>
        <v>0.39320388349514562</v>
      </c>
      <c r="K163" s="12">
        <f t="shared" si="5"/>
        <v>0.19780219780219779</v>
      </c>
    </row>
    <row r="164" spans="1:11" hidden="1" x14ac:dyDescent="0.3">
      <c r="A164" s="7">
        <v>163</v>
      </c>
      <c r="B164" s="7">
        <v>141</v>
      </c>
      <c r="C164" s="7" t="s">
        <v>207</v>
      </c>
      <c r="D164" s="7" t="s">
        <v>10</v>
      </c>
      <c r="E164" s="8">
        <v>569</v>
      </c>
      <c r="F164" s="8">
        <v>633</v>
      </c>
      <c r="G164" s="8">
        <v>646</v>
      </c>
      <c r="H164" s="8">
        <v>52</v>
      </c>
      <c r="I164" s="7" t="s">
        <v>103</v>
      </c>
      <c r="J164" s="11">
        <f t="shared" si="4"/>
        <v>-0.10110584518167456</v>
      </c>
      <c r="K164" s="11">
        <f t="shared" si="5"/>
        <v>8.0495356037151702E-2</v>
      </c>
    </row>
    <row r="165" spans="1:11" hidden="1" x14ac:dyDescent="0.3">
      <c r="A165" s="9">
        <v>164</v>
      </c>
      <c r="B165" s="9">
        <v>192</v>
      </c>
      <c r="C165" s="9" t="s">
        <v>208</v>
      </c>
      <c r="D165" s="9" t="s">
        <v>209</v>
      </c>
      <c r="E165" s="10">
        <v>566</v>
      </c>
      <c r="F165" s="10">
        <v>392</v>
      </c>
      <c r="G165" s="10">
        <v>148</v>
      </c>
      <c r="H165" s="10">
        <v>30</v>
      </c>
      <c r="I165" s="9" t="s">
        <v>17</v>
      </c>
      <c r="J165" s="12">
        <f t="shared" si="4"/>
        <v>0.44387755102040816</v>
      </c>
      <c r="K165" s="12">
        <f t="shared" si="5"/>
        <v>0.20270270270270271</v>
      </c>
    </row>
    <row r="166" spans="1:11" hidden="1" x14ac:dyDescent="0.3">
      <c r="A166" s="7">
        <v>165</v>
      </c>
      <c r="B166" s="7">
        <v>215</v>
      </c>
      <c r="C166" s="7" t="s">
        <v>210</v>
      </c>
      <c r="D166" s="7" t="s">
        <v>58</v>
      </c>
      <c r="E166" s="8">
        <v>548</v>
      </c>
      <c r="F166" s="8">
        <v>339</v>
      </c>
      <c r="G166" s="8">
        <v>405</v>
      </c>
      <c r="H166" s="8">
        <v>82</v>
      </c>
      <c r="I166" s="7" t="s">
        <v>15</v>
      </c>
      <c r="J166" s="11">
        <f t="shared" si="4"/>
        <v>0.61651917404129797</v>
      </c>
      <c r="K166" s="11">
        <f t="shared" si="5"/>
        <v>0.20246913580246914</v>
      </c>
    </row>
    <row r="167" spans="1:11" hidden="1" x14ac:dyDescent="0.3">
      <c r="A167" s="9">
        <v>166</v>
      </c>
      <c r="B167" s="9">
        <v>180</v>
      </c>
      <c r="C167" s="9" t="s">
        <v>211</v>
      </c>
      <c r="D167" s="9" t="s">
        <v>84</v>
      </c>
      <c r="E167" s="10">
        <v>543</v>
      </c>
      <c r="F167" s="10">
        <v>436</v>
      </c>
      <c r="G167" s="10">
        <v>205</v>
      </c>
      <c r="H167" s="10">
        <v>60</v>
      </c>
      <c r="I167" s="9" t="s">
        <v>15</v>
      </c>
      <c r="J167" s="12">
        <f t="shared" si="4"/>
        <v>0.24541284403669725</v>
      </c>
      <c r="K167" s="12">
        <f t="shared" si="5"/>
        <v>0.29268292682926828</v>
      </c>
    </row>
    <row r="168" spans="1:11" hidden="1" x14ac:dyDescent="0.3">
      <c r="A168" s="7">
        <v>167</v>
      </c>
      <c r="B168" s="7">
        <v>195</v>
      </c>
      <c r="C168" s="7" t="s">
        <v>212</v>
      </c>
      <c r="D168" s="7" t="s">
        <v>209</v>
      </c>
      <c r="E168" s="8">
        <v>542</v>
      </c>
      <c r="F168" s="8">
        <v>387</v>
      </c>
      <c r="G168" s="8">
        <v>152</v>
      </c>
      <c r="H168" s="8">
        <v>44</v>
      </c>
      <c r="I168" s="7" t="s">
        <v>15</v>
      </c>
      <c r="J168" s="11">
        <f t="shared" si="4"/>
        <v>0.4005167958656331</v>
      </c>
      <c r="K168" s="11">
        <f t="shared" si="5"/>
        <v>0.28947368421052633</v>
      </c>
    </row>
    <row r="169" spans="1:11" hidden="1" x14ac:dyDescent="0.3">
      <c r="A169" s="9">
        <v>168</v>
      </c>
      <c r="B169" s="9" t="s">
        <v>69</v>
      </c>
      <c r="C169" s="9" t="s">
        <v>213</v>
      </c>
      <c r="D169" s="9" t="s">
        <v>10</v>
      </c>
      <c r="E169" s="10">
        <v>541</v>
      </c>
      <c r="F169" s="10">
        <v>246</v>
      </c>
      <c r="G169" s="10">
        <v>422</v>
      </c>
      <c r="H169" s="10">
        <v>18</v>
      </c>
      <c r="I169" s="9" t="s">
        <v>41</v>
      </c>
      <c r="J169" s="12">
        <f t="shared" si="4"/>
        <v>1.1991869918699187</v>
      </c>
      <c r="K169" s="12">
        <f t="shared" si="5"/>
        <v>4.2654028436018961E-2</v>
      </c>
    </row>
    <row r="170" spans="1:11" hidden="1" x14ac:dyDescent="0.3">
      <c r="A170" s="7">
        <v>169</v>
      </c>
      <c r="B170" s="7">
        <v>181</v>
      </c>
      <c r="C170" s="7" t="s">
        <v>214</v>
      </c>
      <c r="D170" s="7" t="s">
        <v>60</v>
      </c>
      <c r="E170" s="8">
        <v>540</v>
      </c>
      <c r="F170" s="8">
        <v>435</v>
      </c>
      <c r="G170" s="8">
        <v>342</v>
      </c>
      <c r="H170" s="8">
        <v>66</v>
      </c>
      <c r="I170" s="7" t="s">
        <v>15</v>
      </c>
      <c r="J170" s="11">
        <f t="shared" si="4"/>
        <v>0.2413793103448276</v>
      </c>
      <c r="K170" s="11">
        <f t="shared" si="5"/>
        <v>0.19298245614035087</v>
      </c>
    </row>
    <row r="171" spans="1:11" hidden="1" x14ac:dyDescent="0.3">
      <c r="A171" s="9">
        <v>170</v>
      </c>
      <c r="B171" s="9">
        <v>158</v>
      </c>
      <c r="C171" s="9" t="s">
        <v>215</v>
      </c>
      <c r="D171" s="9" t="s">
        <v>28</v>
      </c>
      <c r="E171" s="10">
        <v>534</v>
      </c>
      <c r="F171" s="10">
        <v>500</v>
      </c>
      <c r="G171" s="10">
        <v>512</v>
      </c>
      <c r="H171" s="10"/>
      <c r="I171" s="9" t="s">
        <v>11</v>
      </c>
      <c r="J171" s="12">
        <f t="shared" si="4"/>
        <v>6.8000000000000005E-2</v>
      </c>
      <c r="K171" s="12">
        <f t="shared" si="5"/>
        <v>0</v>
      </c>
    </row>
    <row r="172" spans="1:11" hidden="1" x14ac:dyDescent="0.3">
      <c r="A172" s="7">
        <v>171</v>
      </c>
      <c r="B172" s="7" t="s">
        <v>69</v>
      </c>
      <c r="C172" s="7" t="s">
        <v>216</v>
      </c>
      <c r="D172" s="7" t="s">
        <v>73</v>
      </c>
      <c r="E172" s="8">
        <v>531</v>
      </c>
      <c r="F172" s="8">
        <v>196</v>
      </c>
      <c r="G172" s="8">
        <v>53</v>
      </c>
      <c r="H172" s="8">
        <v>16</v>
      </c>
      <c r="I172" s="7" t="s">
        <v>11</v>
      </c>
      <c r="J172" s="11">
        <f t="shared" si="4"/>
        <v>1.7091836734693877</v>
      </c>
      <c r="K172" s="11">
        <f t="shared" si="5"/>
        <v>0.30188679245283018</v>
      </c>
    </row>
    <row r="173" spans="1:11" hidden="1" x14ac:dyDescent="0.3">
      <c r="A173" s="9">
        <v>172</v>
      </c>
      <c r="B173" s="9">
        <v>190</v>
      </c>
      <c r="C173" s="9" t="s">
        <v>217</v>
      </c>
      <c r="D173" s="9" t="s">
        <v>31</v>
      </c>
      <c r="E173" s="10">
        <v>529</v>
      </c>
      <c r="F173" s="10">
        <v>401</v>
      </c>
      <c r="G173" s="10">
        <v>2319</v>
      </c>
      <c r="H173" s="10">
        <v>261</v>
      </c>
      <c r="I173" s="9" t="s">
        <v>15</v>
      </c>
      <c r="J173" s="12">
        <f t="shared" si="4"/>
        <v>0.31920199501246882</v>
      </c>
      <c r="K173" s="12">
        <f t="shared" si="5"/>
        <v>0.11254851228978008</v>
      </c>
    </row>
    <row r="174" spans="1:11" x14ac:dyDescent="0.3">
      <c r="A174" s="7">
        <v>173</v>
      </c>
      <c r="B174" s="7" t="s">
        <v>69</v>
      </c>
      <c r="C174" s="7" t="s">
        <v>218</v>
      </c>
      <c r="D174" s="7" t="s">
        <v>28</v>
      </c>
      <c r="E174" s="8">
        <v>522</v>
      </c>
      <c r="F174" s="8"/>
      <c r="G174" s="8">
        <v>410</v>
      </c>
      <c r="H174" s="8"/>
      <c r="I174" s="7" t="s">
        <v>103</v>
      </c>
      <c r="J174" s="11" t="e">
        <f t="shared" si="4"/>
        <v>#DIV/0!</v>
      </c>
      <c r="K174" s="11">
        <f t="shared" si="5"/>
        <v>0</v>
      </c>
    </row>
    <row r="175" spans="1:11" hidden="1" x14ac:dyDescent="0.3">
      <c r="A175" s="9">
        <v>174</v>
      </c>
      <c r="B175" s="9">
        <v>167</v>
      </c>
      <c r="C175" s="9" t="s">
        <v>219</v>
      </c>
      <c r="D175" s="9" t="s">
        <v>28</v>
      </c>
      <c r="E175" s="10">
        <v>520</v>
      </c>
      <c r="F175" s="10">
        <v>469</v>
      </c>
      <c r="G175" s="10">
        <v>48</v>
      </c>
      <c r="H175" s="10">
        <v>38</v>
      </c>
      <c r="I175" s="9" t="s">
        <v>15</v>
      </c>
      <c r="J175" s="12">
        <f t="shared" si="4"/>
        <v>0.10874200426439233</v>
      </c>
      <c r="K175" s="12">
        <f t="shared" si="5"/>
        <v>0.79166666666666663</v>
      </c>
    </row>
    <row r="176" spans="1:11" hidden="1" x14ac:dyDescent="0.3">
      <c r="A176" s="7">
        <v>175</v>
      </c>
      <c r="B176" s="7" t="s">
        <v>69</v>
      </c>
      <c r="C176" s="7" t="s">
        <v>220</v>
      </c>
      <c r="D176" s="7" t="s">
        <v>58</v>
      </c>
      <c r="E176" s="8">
        <v>518</v>
      </c>
      <c r="F176" s="8">
        <v>370</v>
      </c>
      <c r="G176" s="8">
        <v>758</v>
      </c>
      <c r="H176" s="8">
        <v>132</v>
      </c>
      <c r="I176" s="7" t="s">
        <v>15</v>
      </c>
      <c r="J176" s="11">
        <f t="shared" si="4"/>
        <v>0.4</v>
      </c>
      <c r="K176" s="11">
        <f t="shared" si="5"/>
        <v>0.17414248021108181</v>
      </c>
    </row>
    <row r="177" spans="1:11" hidden="1" x14ac:dyDescent="0.3">
      <c r="A177" s="9">
        <v>176</v>
      </c>
      <c r="B177" s="9">
        <v>171</v>
      </c>
      <c r="C177" s="9" t="s">
        <v>221</v>
      </c>
      <c r="D177" s="9" t="s">
        <v>58</v>
      </c>
      <c r="E177" s="10">
        <v>509</v>
      </c>
      <c r="F177" s="10">
        <v>455</v>
      </c>
      <c r="G177" s="10">
        <v>394</v>
      </c>
      <c r="H177" s="10">
        <v>87</v>
      </c>
      <c r="I177" s="9" t="s">
        <v>15</v>
      </c>
      <c r="J177" s="12">
        <f t="shared" si="4"/>
        <v>0.11868131868131868</v>
      </c>
      <c r="K177" s="12">
        <f t="shared" si="5"/>
        <v>0.22081218274111675</v>
      </c>
    </row>
    <row r="178" spans="1:11" hidden="1" x14ac:dyDescent="0.3">
      <c r="A178" s="7">
        <v>177</v>
      </c>
      <c r="B178" s="7">
        <v>146</v>
      </c>
      <c r="C178" s="7" t="s">
        <v>222</v>
      </c>
      <c r="D178" s="7" t="s">
        <v>10</v>
      </c>
      <c r="E178" s="8">
        <v>509</v>
      </c>
      <c r="F178" s="8">
        <v>583</v>
      </c>
      <c r="G178" s="8">
        <v>515</v>
      </c>
      <c r="H178" s="8">
        <v>46</v>
      </c>
      <c r="I178" s="7" t="s">
        <v>11</v>
      </c>
      <c r="J178" s="11">
        <f t="shared" si="4"/>
        <v>-0.12692967409948541</v>
      </c>
      <c r="K178" s="11">
        <f t="shared" si="5"/>
        <v>8.9320388349514557E-2</v>
      </c>
    </row>
    <row r="179" spans="1:11" hidden="1" x14ac:dyDescent="0.3">
      <c r="A179" s="9">
        <v>178</v>
      </c>
      <c r="B179" s="9">
        <v>228</v>
      </c>
      <c r="C179" s="9" t="s">
        <v>223</v>
      </c>
      <c r="D179" s="9" t="s">
        <v>58</v>
      </c>
      <c r="E179" s="10">
        <v>500</v>
      </c>
      <c r="F179" s="10">
        <v>305</v>
      </c>
      <c r="G179" s="10">
        <v>451</v>
      </c>
      <c r="H179" s="10">
        <v>93</v>
      </c>
      <c r="I179" s="9" t="s">
        <v>13</v>
      </c>
      <c r="J179" s="12">
        <f t="shared" si="4"/>
        <v>0.63934426229508201</v>
      </c>
      <c r="K179" s="12">
        <f t="shared" si="5"/>
        <v>0.20620842572062084</v>
      </c>
    </row>
    <row r="180" spans="1:11" hidden="1" x14ac:dyDescent="0.3">
      <c r="A180" s="7">
        <v>179</v>
      </c>
      <c r="B180" s="7">
        <v>169</v>
      </c>
      <c r="C180" s="7" t="s">
        <v>225</v>
      </c>
      <c r="D180" s="7" t="s">
        <v>60</v>
      </c>
      <c r="E180" s="8">
        <v>497</v>
      </c>
      <c r="F180" s="8">
        <v>466</v>
      </c>
      <c r="G180" s="8">
        <v>361</v>
      </c>
      <c r="H180" s="8">
        <v>59</v>
      </c>
      <c r="I180" s="7" t="s">
        <v>15</v>
      </c>
      <c r="J180" s="11">
        <f t="shared" si="4"/>
        <v>6.652360515021459E-2</v>
      </c>
      <c r="K180" s="11">
        <f t="shared" si="5"/>
        <v>0.16343490304709141</v>
      </c>
    </row>
    <row r="181" spans="1:11" hidden="1" x14ac:dyDescent="0.3">
      <c r="A181" s="9">
        <v>180</v>
      </c>
      <c r="B181" s="9">
        <v>211</v>
      </c>
      <c r="C181" s="9" t="s">
        <v>226</v>
      </c>
      <c r="D181" s="9" t="s">
        <v>10</v>
      </c>
      <c r="E181" s="10">
        <v>491</v>
      </c>
      <c r="F181" s="10">
        <v>350</v>
      </c>
      <c r="G181" s="10">
        <v>536</v>
      </c>
      <c r="H181" s="10">
        <v>10</v>
      </c>
      <c r="I181" s="9" t="s">
        <v>103</v>
      </c>
      <c r="J181" s="12">
        <f t="shared" si="4"/>
        <v>0.40285714285714286</v>
      </c>
      <c r="K181" s="12">
        <f t="shared" si="5"/>
        <v>1.8656716417910446E-2</v>
      </c>
    </row>
    <row r="182" spans="1:11" hidden="1" x14ac:dyDescent="0.3">
      <c r="A182" s="7">
        <v>181</v>
      </c>
      <c r="B182" s="7">
        <v>154</v>
      </c>
      <c r="C182" s="7" t="s">
        <v>227</v>
      </c>
      <c r="D182" s="7" t="s">
        <v>28</v>
      </c>
      <c r="E182" s="8">
        <v>490</v>
      </c>
      <c r="F182" s="8">
        <v>525</v>
      </c>
      <c r="G182" s="8">
        <v>541</v>
      </c>
      <c r="H182" s="8">
        <v>16</v>
      </c>
      <c r="I182" s="7" t="s">
        <v>11</v>
      </c>
      <c r="J182" s="11">
        <f t="shared" si="4"/>
        <v>-6.6666666666666666E-2</v>
      </c>
      <c r="K182" s="11">
        <f t="shared" si="5"/>
        <v>2.9574861367837338E-2</v>
      </c>
    </row>
    <row r="183" spans="1:11" hidden="1" x14ac:dyDescent="0.3">
      <c r="A183" s="9">
        <v>182</v>
      </c>
      <c r="B183" s="9">
        <v>162</v>
      </c>
      <c r="C183" s="9" t="s">
        <v>228</v>
      </c>
      <c r="D183" s="9" t="s">
        <v>26</v>
      </c>
      <c r="E183" s="10">
        <v>472</v>
      </c>
      <c r="F183" s="10">
        <v>490</v>
      </c>
      <c r="G183" s="10">
        <v>298</v>
      </c>
      <c r="H183" s="10">
        <v>82</v>
      </c>
      <c r="I183" s="9" t="s">
        <v>15</v>
      </c>
      <c r="J183" s="12">
        <f t="shared" si="4"/>
        <v>-3.6734693877551024E-2</v>
      </c>
      <c r="K183" s="12">
        <f t="shared" si="5"/>
        <v>0.27516778523489932</v>
      </c>
    </row>
    <row r="184" spans="1:11" hidden="1" x14ac:dyDescent="0.3">
      <c r="A184" s="7">
        <v>183</v>
      </c>
      <c r="B184" s="7">
        <v>155</v>
      </c>
      <c r="C184" s="7" t="s">
        <v>229</v>
      </c>
      <c r="D184" s="7" t="s">
        <v>10</v>
      </c>
      <c r="E184" s="8">
        <v>471</v>
      </c>
      <c r="F184" s="8">
        <v>518</v>
      </c>
      <c r="G184" s="8">
        <v>818</v>
      </c>
      <c r="H184" s="8">
        <v>43</v>
      </c>
      <c r="I184" s="7" t="s">
        <v>48</v>
      </c>
      <c r="J184" s="11">
        <f t="shared" si="4"/>
        <v>-9.0733590733590733E-2</v>
      </c>
      <c r="K184" s="11">
        <f t="shared" si="5"/>
        <v>5.256723716381418E-2</v>
      </c>
    </row>
    <row r="185" spans="1:11" hidden="1" x14ac:dyDescent="0.3">
      <c r="A185" s="9">
        <v>184</v>
      </c>
      <c r="B185" s="9">
        <v>175</v>
      </c>
      <c r="C185" s="9" t="s">
        <v>230</v>
      </c>
      <c r="D185" s="9" t="s">
        <v>28</v>
      </c>
      <c r="E185" s="10">
        <v>469</v>
      </c>
      <c r="F185" s="10">
        <v>448</v>
      </c>
      <c r="G185" s="10">
        <v>565</v>
      </c>
      <c r="H185" s="10">
        <v>29</v>
      </c>
      <c r="I185" s="9" t="s">
        <v>48</v>
      </c>
      <c r="J185" s="12">
        <f t="shared" si="4"/>
        <v>4.6875E-2</v>
      </c>
      <c r="K185" s="12">
        <f t="shared" si="5"/>
        <v>5.1327433628318583E-2</v>
      </c>
    </row>
    <row r="186" spans="1:11" hidden="1" x14ac:dyDescent="0.3">
      <c r="A186" s="7">
        <v>185</v>
      </c>
      <c r="B186" s="7">
        <v>157</v>
      </c>
      <c r="C186" s="7" t="s">
        <v>231</v>
      </c>
      <c r="D186" s="7" t="s">
        <v>31</v>
      </c>
      <c r="E186" s="8">
        <v>467</v>
      </c>
      <c r="F186" s="8">
        <v>504</v>
      </c>
      <c r="G186" s="8">
        <v>673</v>
      </c>
      <c r="H186" s="8">
        <v>54</v>
      </c>
      <c r="I186" s="7" t="s">
        <v>11</v>
      </c>
      <c r="J186" s="11">
        <f t="shared" si="4"/>
        <v>-7.3412698412698416E-2</v>
      </c>
      <c r="K186" s="11">
        <f t="shared" si="5"/>
        <v>8.0237741456166425E-2</v>
      </c>
    </row>
    <row r="187" spans="1:11" hidden="1" x14ac:dyDescent="0.3">
      <c r="A187" s="9">
        <v>186</v>
      </c>
      <c r="B187" s="9">
        <v>178</v>
      </c>
      <c r="C187" s="9" t="s">
        <v>232</v>
      </c>
      <c r="D187" s="9" t="s">
        <v>10</v>
      </c>
      <c r="E187" s="10">
        <v>467</v>
      </c>
      <c r="F187" s="10">
        <v>441</v>
      </c>
      <c r="G187" s="10">
        <v>240</v>
      </c>
      <c r="H187" s="10">
        <v>18</v>
      </c>
      <c r="I187" s="9" t="s">
        <v>11</v>
      </c>
      <c r="J187" s="12">
        <f t="shared" si="4"/>
        <v>5.8956916099773243E-2</v>
      </c>
      <c r="K187" s="12">
        <f t="shared" si="5"/>
        <v>7.4999999999999997E-2</v>
      </c>
    </row>
    <row r="188" spans="1:11" hidden="1" x14ac:dyDescent="0.3">
      <c r="A188" s="7">
        <v>187</v>
      </c>
      <c r="B188" s="7">
        <v>150</v>
      </c>
      <c r="C188" s="7" t="s">
        <v>233</v>
      </c>
      <c r="D188" s="7" t="s">
        <v>129</v>
      </c>
      <c r="E188" s="8">
        <v>462</v>
      </c>
      <c r="F188" s="8">
        <v>550</v>
      </c>
      <c r="G188" s="8">
        <v>222</v>
      </c>
      <c r="H188" s="8">
        <v>55</v>
      </c>
      <c r="I188" s="7" t="s">
        <v>15</v>
      </c>
      <c r="J188" s="11">
        <f t="shared" si="4"/>
        <v>-0.16</v>
      </c>
      <c r="K188" s="11">
        <f t="shared" si="5"/>
        <v>0.24774774774774774</v>
      </c>
    </row>
    <row r="189" spans="1:11" hidden="1" x14ac:dyDescent="0.3">
      <c r="A189" s="9">
        <v>188</v>
      </c>
      <c r="B189" s="9">
        <v>165</v>
      </c>
      <c r="C189" s="9" t="s">
        <v>234</v>
      </c>
      <c r="D189" s="9" t="s">
        <v>84</v>
      </c>
      <c r="E189" s="10">
        <v>459</v>
      </c>
      <c r="F189" s="10">
        <v>482</v>
      </c>
      <c r="G189" s="10" t="s">
        <v>62</v>
      </c>
      <c r="H189" s="10"/>
      <c r="I189" s="9" t="s">
        <v>15</v>
      </c>
      <c r="J189" s="12">
        <f t="shared" si="4"/>
        <v>-4.7717842323651449E-2</v>
      </c>
      <c r="K189" s="12"/>
    </row>
    <row r="190" spans="1:11" hidden="1" x14ac:dyDescent="0.3">
      <c r="A190" s="7">
        <v>189</v>
      </c>
      <c r="B190" s="7" t="s">
        <v>235</v>
      </c>
      <c r="C190" s="7" t="s">
        <v>236</v>
      </c>
      <c r="D190" s="7" t="s">
        <v>84</v>
      </c>
      <c r="E190" s="8">
        <v>458</v>
      </c>
      <c r="F190" s="8">
        <v>165</v>
      </c>
      <c r="G190" s="8">
        <v>399</v>
      </c>
      <c r="H190" s="8">
        <v>30</v>
      </c>
      <c r="I190" s="7" t="s">
        <v>11</v>
      </c>
      <c r="J190" s="11">
        <f t="shared" si="4"/>
        <v>1.7757575757575759</v>
      </c>
      <c r="K190" s="11">
        <f t="shared" si="5"/>
        <v>7.5187969924812026E-2</v>
      </c>
    </row>
    <row r="191" spans="1:11" hidden="1" x14ac:dyDescent="0.3">
      <c r="A191" s="9">
        <v>190</v>
      </c>
      <c r="B191" s="9" t="s">
        <v>69</v>
      </c>
      <c r="C191" s="9" t="s">
        <v>237</v>
      </c>
      <c r="D191" s="9" t="s">
        <v>10</v>
      </c>
      <c r="E191" s="10">
        <v>455</v>
      </c>
      <c r="F191" s="10">
        <v>259</v>
      </c>
      <c r="G191" s="10">
        <v>546</v>
      </c>
      <c r="H191" s="10">
        <v>60</v>
      </c>
      <c r="I191" s="9" t="s">
        <v>13</v>
      </c>
      <c r="J191" s="12">
        <f t="shared" si="4"/>
        <v>0.7567567567567568</v>
      </c>
      <c r="K191" s="12">
        <f t="shared" si="5"/>
        <v>0.10989010989010989</v>
      </c>
    </row>
    <row r="192" spans="1:11" hidden="1" x14ac:dyDescent="0.3">
      <c r="A192" s="7">
        <v>191</v>
      </c>
      <c r="B192" s="7" t="s">
        <v>69</v>
      </c>
      <c r="C192" s="7" t="s">
        <v>238</v>
      </c>
      <c r="D192" s="7" t="s">
        <v>73</v>
      </c>
      <c r="E192" s="8">
        <v>449</v>
      </c>
      <c r="F192" s="8">
        <v>4</v>
      </c>
      <c r="G192" s="8">
        <v>7</v>
      </c>
      <c r="H192" s="8">
        <v>1</v>
      </c>
      <c r="I192" s="7" t="s">
        <v>11</v>
      </c>
      <c r="J192" s="11">
        <f t="shared" si="4"/>
        <v>111.25</v>
      </c>
      <c r="K192" s="11">
        <f t="shared" si="5"/>
        <v>0.14285714285714285</v>
      </c>
    </row>
    <row r="193" spans="1:11" hidden="1" x14ac:dyDescent="0.3">
      <c r="A193" s="9">
        <v>192</v>
      </c>
      <c r="B193" s="9">
        <v>184</v>
      </c>
      <c r="C193" s="9" t="s">
        <v>239</v>
      </c>
      <c r="D193" s="9" t="s">
        <v>10</v>
      </c>
      <c r="E193" s="10">
        <v>446</v>
      </c>
      <c r="F193" s="10">
        <v>426</v>
      </c>
      <c r="G193" s="10">
        <v>1070</v>
      </c>
      <c r="H193" s="10">
        <v>31</v>
      </c>
      <c r="I193" s="9" t="s">
        <v>11</v>
      </c>
      <c r="J193" s="12">
        <f t="shared" si="4"/>
        <v>4.6948356807511735E-2</v>
      </c>
      <c r="K193" s="12">
        <f t="shared" si="5"/>
        <v>2.897196261682243E-2</v>
      </c>
    </row>
    <row r="194" spans="1:11" hidden="1" x14ac:dyDescent="0.3">
      <c r="A194" s="7">
        <v>193</v>
      </c>
      <c r="B194" s="7">
        <v>173</v>
      </c>
      <c r="C194" s="7" t="s">
        <v>240</v>
      </c>
      <c r="D194" s="7" t="s">
        <v>28</v>
      </c>
      <c r="E194" s="8">
        <v>445</v>
      </c>
      <c r="F194" s="8">
        <v>451</v>
      </c>
      <c r="G194" s="8">
        <v>92</v>
      </c>
      <c r="H194" s="8"/>
      <c r="I194" s="7" t="s">
        <v>15</v>
      </c>
      <c r="J194" s="11">
        <f t="shared" ref="J194:J251" si="6">(E194-F194)/F194</f>
        <v>-1.3303769401330377E-2</v>
      </c>
      <c r="K194" s="11">
        <f t="shared" ref="K194:K251" si="7">(H194/G194)</f>
        <v>0</v>
      </c>
    </row>
    <row r="195" spans="1:11" hidden="1" x14ac:dyDescent="0.3">
      <c r="A195" s="9">
        <v>194</v>
      </c>
      <c r="B195" s="9">
        <v>168</v>
      </c>
      <c r="C195" s="9" t="s">
        <v>241</v>
      </c>
      <c r="D195" s="9" t="s">
        <v>58</v>
      </c>
      <c r="E195" s="10">
        <v>438</v>
      </c>
      <c r="F195" s="10">
        <v>468</v>
      </c>
      <c r="G195" s="10">
        <v>126</v>
      </c>
      <c r="H195" s="10">
        <v>14</v>
      </c>
      <c r="I195" s="9" t="s">
        <v>45</v>
      </c>
      <c r="J195" s="12">
        <f t="shared" si="6"/>
        <v>-6.4102564102564097E-2</v>
      </c>
      <c r="K195" s="12">
        <f t="shared" si="7"/>
        <v>0.1111111111111111</v>
      </c>
    </row>
    <row r="196" spans="1:11" hidden="1" x14ac:dyDescent="0.3">
      <c r="A196" s="7">
        <v>195</v>
      </c>
      <c r="B196" s="7">
        <v>166</v>
      </c>
      <c r="C196" s="7" t="s">
        <v>242</v>
      </c>
      <c r="D196" s="7" t="s">
        <v>129</v>
      </c>
      <c r="E196" s="8">
        <v>434</v>
      </c>
      <c r="F196" s="8">
        <v>472</v>
      </c>
      <c r="G196" s="8">
        <v>365</v>
      </c>
      <c r="H196" s="8">
        <v>60</v>
      </c>
      <c r="I196" s="7" t="s">
        <v>15</v>
      </c>
      <c r="J196" s="11">
        <f t="shared" si="6"/>
        <v>-8.050847457627118E-2</v>
      </c>
      <c r="K196" s="11">
        <f t="shared" si="7"/>
        <v>0.16438356164383561</v>
      </c>
    </row>
    <row r="197" spans="1:11" hidden="1" x14ac:dyDescent="0.3">
      <c r="A197" s="9">
        <v>196</v>
      </c>
      <c r="B197" s="9">
        <v>204</v>
      </c>
      <c r="C197" s="9" t="s">
        <v>243</v>
      </c>
      <c r="D197" s="9" t="s">
        <v>10</v>
      </c>
      <c r="E197" s="10">
        <v>433</v>
      </c>
      <c r="F197" s="10">
        <v>360</v>
      </c>
      <c r="G197" s="10">
        <v>284</v>
      </c>
      <c r="H197" s="10">
        <v>8</v>
      </c>
      <c r="I197" s="9" t="s">
        <v>41</v>
      </c>
      <c r="J197" s="12">
        <f t="shared" si="6"/>
        <v>0.20277777777777778</v>
      </c>
      <c r="K197" s="12">
        <f t="shared" si="7"/>
        <v>2.8169014084507043E-2</v>
      </c>
    </row>
    <row r="198" spans="1:11" hidden="1" x14ac:dyDescent="0.3">
      <c r="A198" s="7">
        <v>197</v>
      </c>
      <c r="B198" s="7">
        <v>250</v>
      </c>
      <c r="C198" s="7" t="s">
        <v>245</v>
      </c>
      <c r="D198" s="7" t="s">
        <v>133</v>
      </c>
      <c r="E198" s="8">
        <v>433</v>
      </c>
      <c r="F198" s="8">
        <v>259</v>
      </c>
      <c r="G198" s="8">
        <v>488</v>
      </c>
      <c r="H198" s="8">
        <v>116</v>
      </c>
      <c r="I198" s="7" t="s">
        <v>15</v>
      </c>
      <c r="J198" s="11">
        <f t="shared" si="6"/>
        <v>0.6718146718146718</v>
      </c>
      <c r="K198" s="11">
        <f t="shared" si="7"/>
        <v>0.23770491803278687</v>
      </c>
    </row>
    <row r="199" spans="1:11" hidden="1" x14ac:dyDescent="0.3">
      <c r="A199" s="9">
        <v>198</v>
      </c>
      <c r="B199" s="9">
        <v>174</v>
      </c>
      <c r="C199" s="9" t="s">
        <v>246</v>
      </c>
      <c r="D199" s="9" t="s">
        <v>204</v>
      </c>
      <c r="E199" s="10">
        <v>433</v>
      </c>
      <c r="F199" s="10">
        <v>448</v>
      </c>
      <c r="G199" s="10">
        <v>322</v>
      </c>
      <c r="H199" s="10">
        <v>46</v>
      </c>
      <c r="I199" s="9" t="s">
        <v>15</v>
      </c>
      <c r="J199" s="12">
        <f t="shared" si="6"/>
        <v>-3.3482142857142856E-2</v>
      </c>
      <c r="K199" s="12">
        <f t="shared" si="7"/>
        <v>0.14285714285714285</v>
      </c>
    </row>
    <row r="200" spans="1:11" hidden="1" x14ac:dyDescent="0.3">
      <c r="A200" s="7">
        <v>199</v>
      </c>
      <c r="B200" s="7">
        <v>182</v>
      </c>
      <c r="C200" s="7" t="s">
        <v>247</v>
      </c>
      <c r="D200" s="7" t="s">
        <v>26</v>
      </c>
      <c r="E200" s="8">
        <v>432</v>
      </c>
      <c r="F200" s="8">
        <v>434</v>
      </c>
      <c r="G200" s="8">
        <v>238</v>
      </c>
      <c r="H200" s="8">
        <v>52</v>
      </c>
      <c r="I200" s="7" t="s">
        <v>11</v>
      </c>
      <c r="J200" s="11">
        <f t="shared" si="6"/>
        <v>-4.608294930875576E-3</v>
      </c>
      <c r="K200" s="11">
        <f t="shared" si="7"/>
        <v>0.21848739495798319</v>
      </c>
    </row>
    <row r="201" spans="1:11" hidden="1" x14ac:dyDescent="0.3">
      <c r="A201" s="9">
        <v>200</v>
      </c>
      <c r="B201" s="9">
        <v>199</v>
      </c>
      <c r="C201" s="9" t="s">
        <v>248</v>
      </c>
      <c r="D201" s="9" t="s">
        <v>31</v>
      </c>
      <c r="E201" s="10">
        <v>431</v>
      </c>
      <c r="F201" s="10">
        <v>377</v>
      </c>
      <c r="G201" s="10">
        <v>393</v>
      </c>
      <c r="H201" s="10">
        <v>47</v>
      </c>
      <c r="I201" s="9" t="s">
        <v>15</v>
      </c>
      <c r="J201" s="12">
        <f t="shared" si="6"/>
        <v>0.14323607427055704</v>
      </c>
      <c r="K201" s="12">
        <f t="shared" si="7"/>
        <v>0.11959287531806616</v>
      </c>
    </row>
    <row r="202" spans="1:11" hidden="1" x14ac:dyDescent="0.3">
      <c r="A202" s="7">
        <v>201</v>
      </c>
      <c r="B202" s="7">
        <v>223</v>
      </c>
      <c r="C202" s="7" t="s">
        <v>249</v>
      </c>
      <c r="D202" s="7" t="s">
        <v>58</v>
      </c>
      <c r="E202" s="8">
        <v>428</v>
      </c>
      <c r="F202" s="8">
        <v>317</v>
      </c>
      <c r="G202" s="8">
        <v>4320</v>
      </c>
      <c r="H202" s="8">
        <v>224</v>
      </c>
      <c r="I202" s="7" t="s">
        <v>13</v>
      </c>
      <c r="J202" s="11">
        <f t="shared" si="6"/>
        <v>0.35015772870662459</v>
      </c>
      <c r="K202" s="11">
        <f t="shared" si="7"/>
        <v>5.185185185185185E-2</v>
      </c>
    </row>
    <row r="203" spans="1:11" hidden="1" x14ac:dyDescent="0.3">
      <c r="A203" s="9">
        <v>202</v>
      </c>
      <c r="B203" s="9">
        <v>194</v>
      </c>
      <c r="C203" s="9" t="s">
        <v>250</v>
      </c>
      <c r="D203" s="9" t="s">
        <v>10</v>
      </c>
      <c r="E203" s="10">
        <v>428</v>
      </c>
      <c r="F203" s="10">
        <v>389</v>
      </c>
      <c r="G203" s="10">
        <v>251</v>
      </c>
      <c r="H203" s="10">
        <v>26</v>
      </c>
      <c r="I203" s="9" t="s">
        <v>15</v>
      </c>
      <c r="J203" s="12">
        <f t="shared" si="6"/>
        <v>0.10025706940874037</v>
      </c>
      <c r="K203" s="12">
        <f t="shared" si="7"/>
        <v>0.10358565737051793</v>
      </c>
    </row>
    <row r="204" spans="1:11" hidden="1" x14ac:dyDescent="0.3">
      <c r="A204" s="7">
        <v>203</v>
      </c>
      <c r="B204" s="7">
        <v>188</v>
      </c>
      <c r="C204" s="7" t="s">
        <v>251</v>
      </c>
      <c r="D204" s="7" t="s">
        <v>58</v>
      </c>
      <c r="E204" s="8">
        <v>426</v>
      </c>
      <c r="F204" s="8">
        <v>407</v>
      </c>
      <c r="G204" s="8">
        <v>61</v>
      </c>
      <c r="H204" s="8">
        <v>21</v>
      </c>
      <c r="I204" s="7" t="s">
        <v>15</v>
      </c>
      <c r="J204" s="11">
        <f t="shared" si="6"/>
        <v>4.6683046683046681E-2</v>
      </c>
      <c r="K204" s="11">
        <f t="shared" si="7"/>
        <v>0.34426229508196721</v>
      </c>
    </row>
    <row r="205" spans="1:11" x14ac:dyDescent="0.3">
      <c r="A205" s="9">
        <v>204</v>
      </c>
      <c r="B205" s="9" t="s">
        <v>69</v>
      </c>
      <c r="C205" s="9" t="s">
        <v>252</v>
      </c>
      <c r="D205" s="9" t="s">
        <v>60</v>
      </c>
      <c r="E205" s="10">
        <v>411</v>
      </c>
      <c r="F205" s="10" t="s">
        <v>62</v>
      </c>
      <c r="G205" s="10">
        <v>189</v>
      </c>
      <c r="H205" s="10">
        <v>50</v>
      </c>
      <c r="I205" s="9" t="s">
        <v>17</v>
      </c>
      <c r="J205" s="12" t="e">
        <f t="shared" si="6"/>
        <v>#VALUE!</v>
      </c>
      <c r="K205" s="12">
        <f t="shared" si="7"/>
        <v>0.26455026455026454</v>
      </c>
    </row>
    <row r="206" spans="1:11" hidden="1" x14ac:dyDescent="0.3">
      <c r="A206" s="7">
        <v>205</v>
      </c>
      <c r="B206" s="7">
        <v>229</v>
      </c>
      <c r="C206" s="7" t="s">
        <v>253</v>
      </c>
      <c r="D206" s="7" t="s">
        <v>10</v>
      </c>
      <c r="E206" s="8">
        <v>409</v>
      </c>
      <c r="F206" s="8">
        <v>304</v>
      </c>
      <c r="G206" s="8">
        <v>853</v>
      </c>
      <c r="H206" s="8">
        <v>46</v>
      </c>
      <c r="I206" s="7" t="s">
        <v>103</v>
      </c>
      <c r="J206" s="11">
        <f t="shared" si="6"/>
        <v>0.34539473684210525</v>
      </c>
      <c r="K206" s="11">
        <f t="shared" si="7"/>
        <v>5.3927315357561546E-2</v>
      </c>
    </row>
    <row r="207" spans="1:11" hidden="1" x14ac:dyDescent="0.3">
      <c r="A207" s="9">
        <v>206</v>
      </c>
      <c r="B207" s="9">
        <v>218</v>
      </c>
      <c r="C207" s="9" t="s">
        <v>254</v>
      </c>
      <c r="D207" s="9" t="s">
        <v>73</v>
      </c>
      <c r="E207" s="10">
        <v>407</v>
      </c>
      <c r="F207" s="10">
        <v>335</v>
      </c>
      <c r="G207" s="10">
        <v>248</v>
      </c>
      <c r="H207" s="10">
        <v>17</v>
      </c>
      <c r="I207" s="9" t="s">
        <v>11</v>
      </c>
      <c r="J207" s="12">
        <f t="shared" si="6"/>
        <v>0.21492537313432836</v>
      </c>
      <c r="K207" s="12">
        <f t="shared" si="7"/>
        <v>6.8548387096774188E-2</v>
      </c>
    </row>
    <row r="208" spans="1:11" hidden="1" x14ac:dyDescent="0.3">
      <c r="A208" s="7">
        <v>207</v>
      </c>
      <c r="B208" s="7">
        <v>205</v>
      </c>
      <c r="C208" s="7" t="s">
        <v>255</v>
      </c>
      <c r="D208" s="7" t="s">
        <v>209</v>
      </c>
      <c r="E208" s="8">
        <v>402</v>
      </c>
      <c r="F208" s="8">
        <v>359</v>
      </c>
      <c r="G208" s="8">
        <v>126</v>
      </c>
      <c r="H208" s="8">
        <v>31</v>
      </c>
      <c r="I208" s="7" t="s">
        <v>15</v>
      </c>
      <c r="J208" s="11">
        <f t="shared" si="6"/>
        <v>0.11977715877437325</v>
      </c>
      <c r="K208" s="11">
        <f t="shared" si="7"/>
        <v>0.24603174603174602</v>
      </c>
    </row>
    <row r="209" spans="1:11" hidden="1" x14ac:dyDescent="0.3">
      <c r="A209" s="9">
        <v>208</v>
      </c>
      <c r="B209" s="9">
        <v>220</v>
      </c>
      <c r="C209" s="9" t="s">
        <v>256</v>
      </c>
      <c r="D209" s="9" t="s">
        <v>10</v>
      </c>
      <c r="E209" s="10">
        <v>384</v>
      </c>
      <c r="F209" s="10">
        <v>326</v>
      </c>
      <c r="G209" s="10">
        <v>1420</v>
      </c>
      <c r="H209" s="10">
        <v>5</v>
      </c>
      <c r="I209" s="9" t="s">
        <v>103</v>
      </c>
      <c r="J209" s="12">
        <f t="shared" si="6"/>
        <v>0.17791411042944785</v>
      </c>
      <c r="K209" s="12">
        <f t="shared" si="7"/>
        <v>3.5211267605633804E-3</v>
      </c>
    </row>
    <row r="210" spans="1:11" hidden="1" x14ac:dyDescent="0.3">
      <c r="A210" s="7">
        <v>209</v>
      </c>
      <c r="B210" s="7" t="s">
        <v>69</v>
      </c>
      <c r="C210" s="7" t="s">
        <v>257</v>
      </c>
      <c r="D210" s="7" t="s">
        <v>10</v>
      </c>
      <c r="E210" s="8">
        <v>381</v>
      </c>
      <c r="F210" s="8">
        <v>233</v>
      </c>
      <c r="G210" s="8">
        <v>0</v>
      </c>
      <c r="H210" s="8">
        <v>3</v>
      </c>
      <c r="I210" s="7" t="s">
        <v>54</v>
      </c>
      <c r="J210" s="11">
        <f t="shared" si="6"/>
        <v>0.63519313304721026</v>
      </c>
      <c r="K210" s="11"/>
    </row>
    <row r="211" spans="1:11" hidden="1" x14ac:dyDescent="0.3">
      <c r="A211" s="9">
        <v>210</v>
      </c>
      <c r="B211" s="9" t="s">
        <v>69</v>
      </c>
      <c r="C211" s="9" t="s">
        <v>259</v>
      </c>
      <c r="D211" s="9" t="s">
        <v>31</v>
      </c>
      <c r="E211" s="10">
        <v>375</v>
      </c>
      <c r="F211" s="10">
        <v>181</v>
      </c>
      <c r="G211" s="10">
        <v>404</v>
      </c>
      <c r="H211" s="10">
        <v>3</v>
      </c>
      <c r="I211" s="9" t="s">
        <v>11</v>
      </c>
      <c r="J211" s="12">
        <f t="shared" si="6"/>
        <v>1.0718232044198894</v>
      </c>
      <c r="K211" s="12">
        <f t="shared" si="7"/>
        <v>7.4257425742574254E-3</v>
      </c>
    </row>
    <row r="212" spans="1:11" hidden="1" x14ac:dyDescent="0.3">
      <c r="A212" s="7">
        <v>211</v>
      </c>
      <c r="B212" s="7">
        <v>213</v>
      </c>
      <c r="C212" s="7" t="s">
        <v>260</v>
      </c>
      <c r="D212" s="7" t="s">
        <v>58</v>
      </c>
      <c r="E212" s="8">
        <v>374</v>
      </c>
      <c r="F212" s="8">
        <v>340</v>
      </c>
      <c r="G212" s="8">
        <v>483</v>
      </c>
      <c r="H212" s="8">
        <v>27</v>
      </c>
      <c r="I212" s="7" t="s">
        <v>11</v>
      </c>
      <c r="J212" s="11">
        <f t="shared" si="6"/>
        <v>0.1</v>
      </c>
      <c r="K212" s="11">
        <f t="shared" si="7"/>
        <v>5.5900621118012424E-2</v>
      </c>
    </row>
    <row r="213" spans="1:11" hidden="1" x14ac:dyDescent="0.3">
      <c r="A213" s="9">
        <v>212</v>
      </c>
      <c r="B213" s="9">
        <v>197</v>
      </c>
      <c r="C213" s="9" t="s">
        <v>261</v>
      </c>
      <c r="D213" s="9" t="s">
        <v>26</v>
      </c>
      <c r="E213" s="10">
        <v>370</v>
      </c>
      <c r="F213" s="10">
        <v>379</v>
      </c>
      <c r="G213" s="10">
        <v>610</v>
      </c>
      <c r="H213" s="10">
        <v>44</v>
      </c>
      <c r="I213" s="9" t="s">
        <v>15</v>
      </c>
      <c r="J213" s="12">
        <f t="shared" si="6"/>
        <v>-2.3746701846965697E-2</v>
      </c>
      <c r="K213" s="12">
        <f t="shared" si="7"/>
        <v>7.2131147540983612E-2</v>
      </c>
    </row>
    <row r="214" spans="1:11" hidden="1" x14ac:dyDescent="0.3">
      <c r="A214" s="7">
        <v>213</v>
      </c>
      <c r="B214" s="7" t="s">
        <v>69</v>
      </c>
      <c r="C214" s="7" t="s">
        <v>262</v>
      </c>
      <c r="D214" s="7" t="s">
        <v>84</v>
      </c>
      <c r="E214" s="8">
        <v>370</v>
      </c>
      <c r="F214" s="8">
        <v>246</v>
      </c>
      <c r="G214" s="8">
        <v>163</v>
      </c>
      <c r="H214" s="8">
        <v>53</v>
      </c>
      <c r="I214" s="7" t="s">
        <v>15</v>
      </c>
      <c r="J214" s="11">
        <f t="shared" si="6"/>
        <v>0.50406504065040647</v>
      </c>
      <c r="K214" s="11">
        <f t="shared" si="7"/>
        <v>0.32515337423312884</v>
      </c>
    </row>
    <row r="215" spans="1:11" hidden="1" x14ac:dyDescent="0.3">
      <c r="A215" s="9">
        <v>214</v>
      </c>
      <c r="B215" s="9">
        <v>185</v>
      </c>
      <c r="C215" s="9" t="s">
        <v>263</v>
      </c>
      <c r="D215" s="9" t="s">
        <v>108</v>
      </c>
      <c r="E215" s="10">
        <v>362</v>
      </c>
      <c r="F215" s="10">
        <v>423</v>
      </c>
      <c r="G215" s="10">
        <v>213</v>
      </c>
      <c r="H215" s="10">
        <v>74</v>
      </c>
      <c r="I215" s="9" t="s">
        <v>15</v>
      </c>
      <c r="J215" s="12">
        <f t="shared" si="6"/>
        <v>-0.14420803782505912</v>
      </c>
      <c r="K215" s="12">
        <f t="shared" si="7"/>
        <v>0.34741784037558687</v>
      </c>
    </row>
    <row r="216" spans="1:11" hidden="1" x14ac:dyDescent="0.3">
      <c r="A216" s="7">
        <v>215</v>
      </c>
      <c r="B216" s="7">
        <v>201</v>
      </c>
      <c r="C216" s="7" t="s">
        <v>264</v>
      </c>
      <c r="D216" s="7" t="s">
        <v>142</v>
      </c>
      <c r="E216" s="8">
        <v>357</v>
      </c>
      <c r="F216" s="8">
        <v>370</v>
      </c>
      <c r="G216" s="8">
        <v>238</v>
      </c>
      <c r="H216" s="8">
        <v>65</v>
      </c>
      <c r="I216" s="7" t="s">
        <v>15</v>
      </c>
      <c r="J216" s="11">
        <f t="shared" si="6"/>
        <v>-3.5135135135135137E-2</v>
      </c>
      <c r="K216" s="11">
        <f t="shared" si="7"/>
        <v>0.27310924369747897</v>
      </c>
    </row>
    <row r="217" spans="1:11" hidden="1" x14ac:dyDescent="0.3">
      <c r="A217" s="9">
        <v>216</v>
      </c>
      <c r="B217" s="9">
        <v>232</v>
      </c>
      <c r="C217" s="9" t="s">
        <v>265</v>
      </c>
      <c r="D217" s="9" t="s">
        <v>26</v>
      </c>
      <c r="E217" s="10">
        <v>354</v>
      </c>
      <c r="F217" s="10">
        <v>294</v>
      </c>
      <c r="G217" s="10">
        <v>228</v>
      </c>
      <c r="H217" s="10">
        <v>66</v>
      </c>
      <c r="I217" s="9" t="s">
        <v>15</v>
      </c>
      <c r="J217" s="12">
        <f t="shared" si="6"/>
        <v>0.20408163265306123</v>
      </c>
      <c r="K217" s="12">
        <f t="shared" si="7"/>
        <v>0.28947368421052633</v>
      </c>
    </row>
    <row r="218" spans="1:11" hidden="1" x14ac:dyDescent="0.3">
      <c r="A218" s="7">
        <v>217</v>
      </c>
      <c r="B218" s="7" t="s">
        <v>69</v>
      </c>
      <c r="C218" s="7" t="s">
        <v>266</v>
      </c>
      <c r="D218" s="7" t="s">
        <v>84</v>
      </c>
      <c r="E218" s="8">
        <v>354</v>
      </c>
      <c r="F218" s="8">
        <v>136</v>
      </c>
      <c r="G218" s="8">
        <v>172</v>
      </c>
      <c r="H218" s="8">
        <v>7</v>
      </c>
      <c r="I218" s="7" t="s">
        <v>48</v>
      </c>
      <c r="J218" s="11">
        <f t="shared" si="6"/>
        <v>1.6029411764705883</v>
      </c>
      <c r="K218" s="11">
        <f t="shared" si="7"/>
        <v>4.0697674418604654E-2</v>
      </c>
    </row>
    <row r="219" spans="1:11" hidden="1" x14ac:dyDescent="0.3">
      <c r="A219" s="9">
        <v>218</v>
      </c>
      <c r="B219" s="9">
        <v>214</v>
      </c>
      <c r="C219" s="9" t="s">
        <v>267</v>
      </c>
      <c r="D219" s="9" t="s">
        <v>204</v>
      </c>
      <c r="E219" s="10">
        <v>350</v>
      </c>
      <c r="F219" s="10">
        <v>339</v>
      </c>
      <c r="G219" s="10">
        <v>187</v>
      </c>
      <c r="H219" s="10">
        <v>45</v>
      </c>
      <c r="I219" s="9" t="s">
        <v>15</v>
      </c>
      <c r="J219" s="12">
        <f t="shared" si="6"/>
        <v>3.2448377581120944E-2</v>
      </c>
      <c r="K219" s="12">
        <f t="shared" si="7"/>
        <v>0.24064171122994651</v>
      </c>
    </row>
    <row r="220" spans="1:11" hidden="1" x14ac:dyDescent="0.3">
      <c r="A220" s="7">
        <v>219</v>
      </c>
      <c r="B220" s="7" t="s">
        <v>69</v>
      </c>
      <c r="C220" s="7" t="s">
        <v>268</v>
      </c>
      <c r="D220" s="7" t="s">
        <v>31</v>
      </c>
      <c r="E220" s="8">
        <v>343</v>
      </c>
      <c r="F220" s="8">
        <v>210</v>
      </c>
      <c r="G220" s="8">
        <v>91</v>
      </c>
      <c r="H220" s="8">
        <v>34</v>
      </c>
      <c r="I220" s="7" t="s">
        <v>11</v>
      </c>
      <c r="J220" s="11">
        <f t="shared" si="6"/>
        <v>0.6333333333333333</v>
      </c>
      <c r="K220" s="11">
        <f t="shared" si="7"/>
        <v>0.37362637362637363</v>
      </c>
    </row>
    <row r="221" spans="1:11" hidden="1" x14ac:dyDescent="0.3">
      <c r="A221" s="9">
        <v>220</v>
      </c>
      <c r="B221" s="9">
        <v>236</v>
      </c>
      <c r="C221" s="9" t="s">
        <v>269</v>
      </c>
      <c r="D221" s="9" t="s">
        <v>58</v>
      </c>
      <c r="E221" s="10">
        <v>343</v>
      </c>
      <c r="F221" s="10">
        <v>281</v>
      </c>
      <c r="G221" s="10">
        <v>475</v>
      </c>
      <c r="H221" s="10">
        <v>130</v>
      </c>
      <c r="I221" s="9" t="s">
        <v>15</v>
      </c>
      <c r="J221" s="12">
        <f t="shared" si="6"/>
        <v>0.2206405693950178</v>
      </c>
      <c r="K221" s="12">
        <f t="shared" si="7"/>
        <v>0.27368421052631581</v>
      </c>
    </row>
    <row r="222" spans="1:11" hidden="1" x14ac:dyDescent="0.3">
      <c r="A222" s="7">
        <v>221</v>
      </c>
      <c r="B222" s="7" t="s">
        <v>69</v>
      </c>
      <c r="C222" s="7" t="s">
        <v>270</v>
      </c>
      <c r="D222" s="7" t="s">
        <v>10</v>
      </c>
      <c r="E222" s="8">
        <v>342</v>
      </c>
      <c r="F222" s="8">
        <v>212</v>
      </c>
      <c r="G222" s="8">
        <v>71</v>
      </c>
      <c r="H222" s="8">
        <v>55</v>
      </c>
      <c r="I222" s="7" t="s">
        <v>41</v>
      </c>
      <c r="J222" s="11">
        <f t="shared" si="6"/>
        <v>0.6132075471698113</v>
      </c>
      <c r="K222" s="11">
        <f t="shared" si="7"/>
        <v>0.77464788732394363</v>
      </c>
    </row>
    <row r="223" spans="1:11" hidden="1" x14ac:dyDescent="0.3">
      <c r="A223" s="9">
        <v>222</v>
      </c>
      <c r="B223" s="9">
        <v>249</v>
      </c>
      <c r="C223" s="9" t="s">
        <v>272</v>
      </c>
      <c r="D223" s="9" t="s">
        <v>71</v>
      </c>
      <c r="E223" s="10">
        <v>337</v>
      </c>
      <c r="F223" s="10">
        <v>261</v>
      </c>
      <c r="G223" s="10">
        <v>367</v>
      </c>
      <c r="H223" s="10">
        <v>42</v>
      </c>
      <c r="I223" s="9" t="s">
        <v>15</v>
      </c>
      <c r="J223" s="12">
        <f t="shared" si="6"/>
        <v>0.29118773946360155</v>
      </c>
      <c r="K223" s="12">
        <f t="shared" si="7"/>
        <v>0.11444141689373297</v>
      </c>
    </row>
    <row r="224" spans="1:11" hidden="1" x14ac:dyDescent="0.3">
      <c r="A224" s="7">
        <v>223</v>
      </c>
      <c r="B224" s="7" t="s">
        <v>69</v>
      </c>
      <c r="C224" s="7" t="s">
        <v>273</v>
      </c>
      <c r="D224" s="7" t="s">
        <v>204</v>
      </c>
      <c r="E224" s="8">
        <v>337</v>
      </c>
      <c r="F224" s="8">
        <v>134</v>
      </c>
      <c r="G224" s="8">
        <v>312</v>
      </c>
      <c r="H224" s="8">
        <v>61</v>
      </c>
      <c r="I224" s="7" t="s">
        <v>15</v>
      </c>
      <c r="J224" s="11">
        <f t="shared" si="6"/>
        <v>1.5149253731343284</v>
      </c>
      <c r="K224" s="11">
        <f t="shared" si="7"/>
        <v>0.19551282051282051</v>
      </c>
    </row>
    <row r="225" spans="1:11" hidden="1" x14ac:dyDescent="0.3">
      <c r="A225" s="9">
        <v>224</v>
      </c>
      <c r="B225" s="9" t="s">
        <v>69</v>
      </c>
      <c r="C225" s="9" t="s">
        <v>274</v>
      </c>
      <c r="D225" s="9" t="s">
        <v>10</v>
      </c>
      <c r="E225" s="10">
        <v>335</v>
      </c>
      <c r="F225" s="10">
        <v>201</v>
      </c>
      <c r="G225" s="10">
        <v>781</v>
      </c>
      <c r="H225" s="10">
        <v>35</v>
      </c>
      <c r="I225" s="9" t="s">
        <v>13</v>
      </c>
      <c r="J225" s="12">
        <f t="shared" si="6"/>
        <v>0.66666666666666663</v>
      </c>
      <c r="K225" s="12">
        <f t="shared" si="7"/>
        <v>4.4814340588988477E-2</v>
      </c>
    </row>
    <row r="226" spans="1:11" hidden="1" x14ac:dyDescent="0.3">
      <c r="A226" s="7">
        <v>225</v>
      </c>
      <c r="B226" s="7">
        <v>147</v>
      </c>
      <c r="C226" s="7" t="s">
        <v>275</v>
      </c>
      <c r="D226" s="7" t="s">
        <v>73</v>
      </c>
      <c r="E226" s="8">
        <v>333</v>
      </c>
      <c r="F226" s="8">
        <v>570</v>
      </c>
      <c r="G226" s="8">
        <v>257</v>
      </c>
      <c r="H226" s="8">
        <v>98</v>
      </c>
      <c r="I226" s="7" t="s">
        <v>15</v>
      </c>
      <c r="J226" s="11">
        <f t="shared" si="6"/>
        <v>-0.41578947368421054</v>
      </c>
      <c r="K226" s="11">
        <f t="shared" si="7"/>
        <v>0.38132295719844356</v>
      </c>
    </row>
    <row r="227" spans="1:11" hidden="1" x14ac:dyDescent="0.3">
      <c r="A227" s="9">
        <v>226</v>
      </c>
      <c r="B227" s="9">
        <v>191</v>
      </c>
      <c r="C227" s="9" t="s">
        <v>276</v>
      </c>
      <c r="D227" s="9" t="s">
        <v>10</v>
      </c>
      <c r="E227" s="10">
        <v>332</v>
      </c>
      <c r="F227" s="10">
        <v>397</v>
      </c>
      <c r="G227" s="10">
        <v>2487</v>
      </c>
      <c r="H227" s="10">
        <v>21</v>
      </c>
      <c r="I227" s="9" t="s">
        <v>103</v>
      </c>
      <c r="J227" s="12">
        <f t="shared" si="6"/>
        <v>-0.16372795969773299</v>
      </c>
      <c r="K227" s="12">
        <f t="shared" si="7"/>
        <v>8.4439083232810616E-3</v>
      </c>
    </row>
    <row r="228" spans="1:11" hidden="1" x14ac:dyDescent="0.3">
      <c r="A228" s="7">
        <v>227</v>
      </c>
      <c r="B228" s="7" t="s">
        <v>69</v>
      </c>
      <c r="C228" s="7" t="s">
        <v>277</v>
      </c>
      <c r="D228" s="7" t="s">
        <v>10</v>
      </c>
      <c r="E228" s="8">
        <v>332</v>
      </c>
      <c r="F228" s="8">
        <v>219</v>
      </c>
      <c r="G228" s="8">
        <v>494</v>
      </c>
      <c r="H228" s="8">
        <v>34</v>
      </c>
      <c r="I228" s="7" t="s">
        <v>103</v>
      </c>
      <c r="J228" s="11">
        <f t="shared" si="6"/>
        <v>0.51598173515981738</v>
      </c>
      <c r="K228" s="11">
        <f t="shared" si="7"/>
        <v>6.8825910931174086E-2</v>
      </c>
    </row>
    <row r="229" spans="1:11" hidden="1" x14ac:dyDescent="0.3">
      <c r="A229" s="9">
        <v>228</v>
      </c>
      <c r="B229" s="9">
        <v>163</v>
      </c>
      <c r="C229" s="9" t="s">
        <v>278</v>
      </c>
      <c r="D229" s="9" t="s">
        <v>58</v>
      </c>
      <c r="E229" s="10">
        <v>328</v>
      </c>
      <c r="F229" s="10">
        <v>488</v>
      </c>
      <c r="G229" s="10">
        <v>89</v>
      </c>
      <c r="H229" s="10">
        <v>17</v>
      </c>
      <c r="I229" s="9" t="s">
        <v>11</v>
      </c>
      <c r="J229" s="12">
        <f t="shared" si="6"/>
        <v>-0.32786885245901637</v>
      </c>
      <c r="K229" s="12">
        <f t="shared" si="7"/>
        <v>0.19101123595505617</v>
      </c>
    </row>
    <row r="230" spans="1:11" hidden="1" x14ac:dyDescent="0.3">
      <c r="A230" s="7">
        <v>229</v>
      </c>
      <c r="B230" s="7">
        <v>225</v>
      </c>
      <c r="C230" s="7" t="s">
        <v>279</v>
      </c>
      <c r="D230" s="7" t="s">
        <v>58</v>
      </c>
      <c r="E230" s="8">
        <v>324</v>
      </c>
      <c r="F230" s="8">
        <v>308</v>
      </c>
      <c r="G230" s="8">
        <v>603</v>
      </c>
      <c r="H230" s="8">
        <v>46</v>
      </c>
      <c r="I230" s="7" t="s">
        <v>11</v>
      </c>
      <c r="J230" s="11">
        <f t="shared" si="6"/>
        <v>5.1948051948051951E-2</v>
      </c>
      <c r="K230" s="11">
        <f t="shared" si="7"/>
        <v>7.6285240464344942E-2</v>
      </c>
    </row>
    <row r="231" spans="1:11" hidden="1" x14ac:dyDescent="0.3">
      <c r="A231" s="9">
        <v>230</v>
      </c>
      <c r="B231" s="9" t="s">
        <v>69</v>
      </c>
      <c r="C231" s="9" t="s">
        <v>280</v>
      </c>
      <c r="D231" s="9" t="s">
        <v>10</v>
      </c>
      <c r="E231" s="10">
        <v>323</v>
      </c>
      <c r="F231" s="10">
        <v>227</v>
      </c>
      <c r="G231" s="10">
        <v>228</v>
      </c>
      <c r="H231" s="10">
        <v>22</v>
      </c>
      <c r="I231" s="9" t="s">
        <v>103</v>
      </c>
      <c r="J231" s="12">
        <f t="shared" si="6"/>
        <v>0.42290748898678415</v>
      </c>
      <c r="K231" s="12">
        <f t="shared" si="7"/>
        <v>9.6491228070175433E-2</v>
      </c>
    </row>
    <row r="232" spans="1:11" hidden="1" x14ac:dyDescent="0.3">
      <c r="A232" s="7">
        <v>231</v>
      </c>
      <c r="B232" s="7" t="s">
        <v>69</v>
      </c>
      <c r="C232" s="7" t="s">
        <v>282</v>
      </c>
      <c r="D232" s="7" t="s">
        <v>31</v>
      </c>
      <c r="E232" s="8">
        <v>320</v>
      </c>
      <c r="F232" s="8">
        <v>176</v>
      </c>
      <c r="G232" s="8">
        <v>115</v>
      </c>
      <c r="H232" s="8">
        <v>46</v>
      </c>
      <c r="I232" s="7" t="s">
        <v>11</v>
      </c>
      <c r="J232" s="11">
        <f t="shared" si="6"/>
        <v>0.81818181818181823</v>
      </c>
      <c r="K232" s="11">
        <f t="shared" si="7"/>
        <v>0.4</v>
      </c>
    </row>
    <row r="233" spans="1:11" hidden="1" x14ac:dyDescent="0.3">
      <c r="A233" s="9">
        <v>232</v>
      </c>
      <c r="B233" s="9" t="s">
        <v>69</v>
      </c>
      <c r="C233" s="9" t="s">
        <v>283</v>
      </c>
      <c r="D233" s="9" t="s">
        <v>133</v>
      </c>
      <c r="E233" s="10">
        <v>318</v>
      </c>
      <c r="F233" s="10">
        <v>194</v>
      </c>
      <c r="G233" s="10">
        <v>170</v>
      </c>
      <c r="H233" s="10">
        <v>32</v>
      </c>
      <c r="I233" s="9" t="s">
        <v>13</v>
      </c>
      <c r="J233" s="12">
        <f t="shared" si="6"/>
        <v>0.63917525773195871</v>
      </c>
      <c r="K233" s="12">
        <f t="shared" si="7"/>
        <v>0.18823529411764706</v>
      </c>
    </row>
    <row r="234" spans="1:11" hidden="1" x14ac:dyDescent="0.3">
      <c r="A234" s="7">
        <v>233</v>
      </c>
      <c r="B234" s="7">
        <v>224</v>
      </c>
      <c r="C234" s="7" t="s">
        <v>284</v>
      </c>
      <c r="D234" s="7" t="s">
        <v>28</v>
      </c>
      <c r="E234" s="8">
        <v>314</v>
      </c>
      <c r="F234" s="8">
        <v>313</v>
      </c>
      <c r="G234" s="8">
        <v>45</v>
      </c>
      <c r="H234" s="8">
        <v>5</v>
      </c>
      <c r="I234" s="7" t="s">
        <v>13</v>
      </c>
      <c r="J234" s="11">
        <f t="shared" si="6"/>
        <v>3.1948881789137379E-3</v>
      </c>
      <c r="K234" s="11">
        <f t="shared" si="7"/>
        <v>0.1111111111111111</v>
      </c>
    </row>
    <row r="235" spans="1:11" hidden="1" x14ac:dyDescent="0.3">
      <c r="A235" s="9">
        <v>234</v>
      </c>
      <c r="B235" s="9" t="s">
        <v>69</v>
      </c>
      <c r="C235" s="9" t="s">
        <v>285</v>
      </c>
      <c r="D235" s="9" t="s">
        <v>10</v>
      </c>
      <c r="E235" s="10">
        <v>313</v>
      </c>
      <c r="F235" s="10">
        <v>131</v>
      </c>
      <c r="G235" s="10">
        <v>545</v>
      </c>
      <c r="H235" s="10">
        <v>113</v>
      </c>
      <c r="I235" s="9" t="s">
        <v>13</v>
      </c>
      <c r="J235" s="12">
        <f t="shared" si="6"/>
        <v>1.3893129770992367</v>
      </c>
      <c r="K235" s="12">
        <f t="shared" si="7"/>
        <v>0.20733944954128442</v>
      </c>
    </row>
    <row r="236" spans="1:11" hidden="1" x14ac:dyDescent="0.3">
      <c r="A236" s="7">
        <v>235</v>
      </c>
      <c r="B236" s="7" t="s">
        <v>69</v>
      </c>
      <c r="C236" s="7" t="s">
        <v>286</v>
      </c>
      <c r="D236" s="7" t="s">
        <v>73</v>
      </c>
      <c r="E236" s="8">
        <v>312</v>
      </c>
      <c r="F236" s="8">
        <v>63</v>
      </c>
      <c r="G236" s="8">
        <v>87</v>
      </c>
      <c r="H236" s="8">
        <v>12</v>
      </c>
      <c r="I236" s="7" t="s">
        <v>11</v>
      </c>
      <c r="J236" s="11">
        <f t="shared" si="6"/>
        <v>3.9523809523809526</v>
      </c>
      <c r="K236" s="11">
        <f t="shared" si="7"/>
        <v>0.13793103448275862</v>
      </c>
    </row>
    <row r="237" spans="1:11" hidden="1" x14ac:dyDescent="0.3">
      <c r="A237" s="9">
        <v>236</v>
      </c>
      <c r="B237" s="9" t="s">
        <v>69</v>
      </c>
      <c r="C237" s="9" t="s">
        <v>287</v>
      </c>
      <c r="D237" s="9" t="s">
        <v>288</v>
      </c>
      <c r="E237" s="10">
        <v>310</v>
      </c>
      <c r="F237" s="10">
        <v>93</v>
      </c>
      <c r="G237" s="10">
        <v>343</v>
      </c>
      <c r="H237" s="10">
        <v>51</v>
      </c>
      <c r="I237" s="9" t="s">
        <v>88</v>
      </c>
      <c r="J237" s="12">
        <f t="shared" si="6"/>
        <v>2.3333333333333335</v>
      </c>
      <c r="K237" s="12">
        <f t="shared" si="7"/>
        <v>0.14868804664723032</v>
      </c>
    </row>
    <row r="238" spans="1:11" hidden="1" x14ac:dyDescent="0.3">
      <c r="A238" s="7">
        <v>237</v>
      </c>
      <c r="B238" s="7" t="s">
        <v>69</v>
      </c>
      <c r="C238" s="7" t="s">
        <v>289</v>
      </c>
      <c r="D238" s="7" t="s">
        <v>288</v>
      </c>
      <c r="E238" s="8">
        <v>308</v>
      </c>
      <c r="F238" s="8">
        <v>37</v>
      </c>
      <c r="G238" s="8">
        <v>236</v>
      </c>
      <c r="H238" s="8">
        <v>51</v>
      </c>
      <c r="I238" s="7" t="s">
        <v>11</v>
      </c>
      <c r="J238" s="11">
        <f t="shared" si="6"/>
        <v>7.3243243243243246</v>
      </c>
      <c r="K238" s="11">
        <f t="shared" si="7"/>
        <v>0.21610169491525424</v>
      </c>
    </row>
    <row r="239" spans="1:11" hidden="1" x14ac:dyDescent="0.3">
      <c r="A239" s="9">
        <v>238</v>
      </c>
      <c r="B239" s="9" t="s">
        <v>69</v>
      </c>
      <c r="C239" s="9" t="s">
        <v>290</v>
      </c>
      <c r="D239" s="9" t="s">
        <v>28</v>
      </c>
      <c r="E239" s="10">
        <v>307</v>
      </c>
      <c r="F239" s="10">
        <v>230</v>
      </c>
      <c r="G239" s="10">
        <v>193</v>
      </c>
      <c r="H239" s="10">
        <v>5</v>
      </c>
      <c r="I239" s="9" t="s">
        <v>11</v>
      </c>
      <c r="J239" s="12">
        <f t="shared" si="6"/>
        <v>0.33478260869565218</v>
      </c>
      <c r="K239" s="12">
        <f t="shared" si="7"/>
        <v>2.5906735751295335E-2</v>
      </c>
    </row>
    <row r="240" spans="1:11" hidden="1" x14ac:dyDescent="0.3">
      <c r="A240" s="7">
        <v>239</v>
      </c>
      <c r="B240" s="7">
        <v>227</v>
      </c>
      <c r="C240" s="7" t="s">
        <v>291</v>
      </c>
      <c r="D240" s="7" t="s">
        <v>10</v>
      </c>
      <c r="E240" s="8">
        <v>303</v>
      </c>
      <c r="F240" s="8">
        <v>306</v>
      </c>
      <c r="G240" s="8">
        <v>676</v>
      </c>
      <c r="H240" s="8">
        <v>21</v>
      </c>
      <c r="I240" s="7" t="s">
        <v>11</v>
      </c>
      <c r="J240" s="11">
        <f t="shared" si="6"/>
        <v>-9.8039215686274508E-3</v>
      </c>
      <c r="K240" s="11">
        <f t="shared" si="7"/>
        <v>3.1065088757396449E-2</v>
      </c>
    </row>
    <row r="241" spans="1:11" hidden="1" x14ac:dyDescent="0.3">
      <c r="A241" s="9">
        <v>240</v>
      </c>
      <c r="B241" s="9">
        <v>240</v>
      </c>
      <c r="C241" s="9" t="s">
        <v>292</v>
      </c>
      <c r="D241" s="9" t="s">
        <v>28</v>
      </c>
      <c r="E241" s="10">
        <v>302</v>
      </c>
      <c r="F241" s="10">
        <v>275</v>
      </c>
      <c r="G241" s="10">
        <v>133</v>
      </c>
      <c r="H241" s="10">
        <v>10</v>
      </c>
      <c r="I241" s="9" t="s">
        <v>15</v>
      </c>
      <c r="J241" s="12">
        <f t="shared" si="6"/>
        <v>9.8181818181818176E-2</v>
      </c>
      <c r="K241" s="12">
        <f t="shared" si="7"/>
        <v>7.5187969924812026E-2</v>
      </c>
    </row>
    <row r="242" spans="1:11" hidden="1" x14ac:dyDescent="0.3">
      <c r="A242" s="7">
        <v>241</v>
      </c>
      <c r="B242" s="7" t="s">
        <v>69</v>
      </c>
      <c r="C242" s="7" t="s">
        <v>294</v>
      </c>
      <c r="D242" s="7" t="s">
        <v>58</v>
      </c>
      <c r="E242" s="8">
        <v>301</v>
      </c>
      <c r="F242" s="8">
        <v>350</v>
      </c>
      <c r="G242" s="8">
        <v>206</v>
      </c>
      <c r="H242" s="8">
        <v>2</v>
      </c>
      <c r="I242" s="7" t="s">
        <v>41</v>
      </c>
      <c r="J242" s="11">
        <f t="shared" si="6"/>
        <v>-0.14000000000000001</v>
      </c>
      <c r="K242" s="11">
        <f t="shared" si="7"/>
        <v>9.7087378640776691E-3</v>
      </c>
    </row>
    <row r="243" spans="1:11" hidden="1" x14ac:dyDescent="0.3">
      <c r="A243" s="9">
        <v>242</v>
      </c>
      <c r="B243" s="9">
        <v>198</v>
      </c>
      <c r="C243" s="9" t="s">
        <v>295</v>
      </c>
      <c r="D243" s="9" t="s">
        <v>26</v>
      </c>
      <c r="E243" s="10">
        <v>301</v>
      </c>
      <c r="F243" s="10">
        <v>378</v>
      </c>
      <c r="G243" s="10">
        <v>342</v>
      </c>
      <c r="H243" s="10">
        <v>76</v>
      </c>
      <c r="I243" s="9" t="s">
        <v>15</v>
      </c>
      <c r="J243" s="12">
        <f t="shared" si="6"/>
        <v>-0.20370370370370369</v>
      </c>
      <c r="K243" s="12">
        <f t="shared" si="7"/>
        <v>0.22222222222222221</v>
      </c>
    </row>
    <row r="244" spans="1:11" hidden="1" x14ac:dyDescent="0.3">
      <c r="A244" s="7">
        <v>243</v>
      </c>
      <c r="B244" s="7">
        <v>216</v>
      </c>
      <c r="C244" s="7" t="s">
        <v>296</v>
      </c>
      <c r="D244" s="7" t="s">
        <v>58</v>
      </c>
      <c r="E244" s="8">
        <v>300</v>
      </c>
      <c r="F244" s="8">
        <v>338</v>
      </c>
      <c r="G244" s="8">
        <v>219</v>
      </c>
      <c r="H244" s="8">
        <v>2</v>
      </c>
      <c r="I244" s="7" t="s">
        <v>13</v>
      </c>
      <c r="J244" s="11">
        <f t="shared" si="6"/>
        <v>-0.11242603550295859</v>
      </c>
      <c r="K244" s="11">
        <f t="shared" si="7"/>
        <v>9.1324200913242004E-3</v>
      </c>
    </row>
    <row r="245" spans="1:11" hidden="1" x14ac:dyDescent="0.3">
      <c r="A245" s="9">
        <v>244</v>
      </c>
      <c r="B245" s="9" t="s">
        <v>69</v>
      </c>
      <c r="C245" s="9" t="s">
        <v>297</v>
      </c>
      <c r="D245" s="9" t="s">
        <v>28</v>
      </c>
      <c r="E245" s="10">
        <v>300</v>
      </c>
      <c r="F245" s="10">
        <v>155</v>
      </c>
      <c r="G245" s="10">
        <v>500</v>
      </c>
      <c r="H245" s="10">
        <v>12</v>
      </c>
      <c r="I245" s="9" t="s">
        <v>13</v>
      </c>
      <c r="J245" s="12">
        <f t="shared" si="6"/>
        <v>0.93548387096774188</v>
      </c>
      <c r="K245" s="12">
        <f t="shared" si="7"/>
        <v>2.4E-2</v>
      </c>
    </row>
    <row r="246" spans="1:11" hidden="1" x14ac:dyDescent="0.3">
      <c r="A246" s="7">
        <v>245</v>
      </c>
      <c r="B246" s="7" t="s">
        <v>69</v>
      </c>
      <c r="C246" s="7" t="s">
        <v>298</v>
      </c>
      <c r="D246" s="7" t="s">
        <v>71</v>
      </c>
      <c r="E246" s="8">
        <v>299</v>
      </c>
      <c r="F246" s="8">
        <v>299</v>
      </c>
      <c r="G246" s="8" t="s">
        <v>62</v>
      </c>
      <c r="H246" s="8"/>
      <c r="I246" s="7" t="s">
        <v>103</v>
      </c>
      <c r="J246" s="11">
        <f t="shared" si="6"/>
        <v>0</v>
      </c>
      <c r="K246" s="11"/>
    </row>
    <row r="247" spans="1:11" hidden="1" x14ac:dyDescent="0.3">
      <c r="A247" s="9">
        <v>246</v>
      </c>
      <c r="B247" s="9" t="s">
        <v>69</v>
      </c>
      <c r="C247" s="9" t="s">
        <v>299</v>
      </c>
      <c r="D247" s="9" t="s">
        <v>60</v>
      </c>
      <c r="E247" s="10">
        <v>298</v>
      </c>
      <c r="F247" s="10">
        <v>155</v>
      </c>
      <c r="G247" s="10" t="s">
        <v>62</v>
      </c>
      <c r="H247" s="10"/>
      <c r="I247" s="9" t="s">
        <v>54</v>
      </c>
      <c r="J247" s="12">
        <f t="shared" si="6"/>
        <v>0.92258064516129035</v>
      </c>
      <c r="K247" s="12"/>
    </row>
    <row r="248" spans="1:11" hidden="1" x14ac:dyDescent="0.3">
      <c r="A248" s="7">
        <v>247</v>
      </c>
      <c r="B248" s="7">
        <v>193</v>
      </c>
      <c r="C248" s="7" t="s">
        <v>300</v>
      </c>
      <c r="D248" s="7" t="s">
        <v>58</v>
      </c>
      <c r="E248" s="8">
        <v>297</v>
      </c>
      <c r="F248" s="8">
        <v>392</v>
      </c>
      <c r="G248" s="8">
        <v>335</v>
      </c>
      <c r="H248" s="8">
        <v>30</v>
      </c>
      <c r="I248" s="7" t="s">
        <v>11</v>
      </c>
      <c r="J248" s="11">
        <f t="shared" si="6"/>
        <v>-0.2423469387755102</v>
      </c>
      <c r="K248" s="11">
        <f t="shared" si="7"/>
        <v>8.9552238805970144E-2</v>
      </c>
    </row>
    <row r="249" spans="1:11" hidden="1" x14ac:dyDescent="0.3">
      <c r="A249" s="9">
        <v>248</v>
      </c>
      <c r="B249" s="9" t="s">
        <v>69</v>
      </c>
      <c r="C249" s="9" t="s">
        <v>301</v>
      </c>
      <c r="D249" s="9" t="s">
        <v>10</v>
      </c>
      <c r="E249" s="10">
        <v>292</v>
      </c>
      <c r="F249" s="10">
        <v>171</v>
      </c>
      <c r="G249" s="10">
        <v>217</v>
      </c>
      <c r="H249" s="10">
        <v>14</v>
      </c>
      <c r="I249" s="9" t="s">
        <v>48</v>
      </c>
      <c r="J249" s="12">
        <f t="shared" si="6"/>
        <v>0.70760233918128657</v>
      </c>
      <c r="K249" s="12">
        <f t="shared" si="7"/>
        <v>6.4516129032258063E-2</v>
      </c>
    </row>
    <row r="250" spans="1:11" hidden="1" x14ac:dyDescent="0.3">
      <c r="A250" s="7">
        <v>249</v>
      </c>
      <c r="B250" s="7">
        <v>234</v>
      </c>
      <c r="C250" s="7" t="s">
        <v>302</v>
      </c>
      <c r="D250" s="7" t="s">
        <v>129</v>
      </c>
      <c r="E250" s="8">
        <v>289</v>
      </c>
      <c r="F250" s="8">
        <v>285</v>
      </c>
      <c r="G250" s="8">
        <v>425</v>
      </c>
      <c r="H250" s="8"/>
      <c r="I250" s="7" t="s">
        <v>11</v>
      </c>
      <c r="J250" s="11">
        <f t="shared" si="6"/>
        <v>1.4035087719298246E-2</v>
      </c>
      <c r="K250" s="11">
        <f t="shared" si="7"/>
        <v>0</v>
      </c>
    </row>
    <row r="251" spans="1:11" hidden="1" x14ac:dyDescent="0.3">
      <c r="A251" s="9">
        <v>250</v>
      </c>
      <c r="B251" s="9">
        <v>231</v>
      </c>
      <c r="C251" s="9" t="s">
        <v>303</v>
      </c>
      <c r="D251" s="9" t="s">
        <v>10</v>
      </c>
      <c r="E251" s="10">
        <v>286</v>
      </c>
      <c r="F251" s="10">
        <v>299</v>
      </c>
      <c r="G251" s="10">
        <v>266</v>
      </c>
      <c r="H251" s="10">
        <v>26</v>
      </c>
      <c r="I251" s="9" t="s">
        <v>11</v>
      </c>
      <c r="J251" s="12">
        <f t="shared" si="6"/>
        <v>-4.3478260869565216E-2</v>
      </c>
      <c r="K251" s="12">
        <f t="shared" si="7"/>
        <v>9.7744360902255634E-2</v>
      </c>
    </row>
  </sheetData>
  <phoneticPr fontId="18"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F7052-9371-4D62-B77E-F612184E682C}">
  <dimension ref="A1"/>
  <sheetViews>
    <sheetView showGridLines="0" zoomScale="90" zoomScaleNormal="90" workbookViewId="0">
      <selection activeCell="R20" sqref="R20"/>
    </sheetView>
  </sheetViews>
  <sheetFormatPr defaultRowHeight="14.4" x14ac:dyDescent="0.3"/>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9FC8D-F58B-4AA4-9D53-04E04B49C7C9}">
  <dimension ref="A1"/>
  <sheetViews>
    <sheetView showGridLines="0" zoomScale="80" zoomScaleNormal="80" workbookViewId="0"/>
  </sheetViews>
  <sheetFormatPr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FD506-09E8-42CC-987E-64AA369CB923}">
  <dimension ref="A1"/>
  <sheetViews>
    <sheetView showGridLines="0" zoomScale="80" zoomScaleNormal="80" workbookViewId="0">
      <selection activeCell="J14" sqref="J14"/>
    </sheetView>
  </sheetViews>
  <sheetFormatPr defaultRowHeight="14.4" x14ac:dyDescent="0.3"/>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61C9D-E9DB-4E70-93BF-0A0281C96D87}">
  <dimension ref="A1"/>
  <sheetViews>
    <sheetView showGridLines="0" workbookViewId="0">
      <selection activeCell="L12" sqref="L12"/>
    </sheetView>
  </sheetViews>
  <sheetFormatPr defaultRowHeight="14.4" x14ac:dyDescent="0.3"/>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B1247-5835-4E5E-B027-3A930B0CA933}">
  <dimension ref="A1"/>
  <sheetViews>
    <sheetView showGridLines="0" zoomScale="80" zoomScaleNormal="80" workbookViewId="0">
      <selection activeCell="AD21" sqref="AD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africas_top_250_companies_2022</vt:lpstr>
      <vt:lpstr>TOP COUNTRIES BY MCAP</vt:lpstr>
      <vt:lpstr>SECTOR SHARE OF TOTAL MCAP</vt:lpstr>
      <vt:lpstr>TOP 5 GAINERS</vt:lpstr>
      <vt:lpstr>TOP 5 LOSERS</vt:lpstr>
      <vt:lpstr>MARKET CAP BY COMPANY</vt:lpstr>
      <vt:lpstr>PROFITABILITY BY SECTOR</vt:lpstr>
      <vt:lpstr>DASHBOARD SKETCH</vt:lpstr>
      <vt:lpstr>DASHBOARD</vt:lpstr>
      <vt:lpstr>CLEANED DATA</vt:lpstr>
      <vt:lpstr>PRE ANALYSIS BOARD</vt:lpstr>
      <vt:lpstr>POST ANALYSIS BOARD</vt:lpstr>
      <vt:lpstr>RECOMMENDATIONS</vt:lpstr>
      <vt:lpstr>CHARTS TODO</vt:lpstr>
      <vt:lpstr>Dashboard Replication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Nzubechi George</dc:creator>
  <cp:lastModifiedBy>Nzubechi George</cp:lastModifiedBy>
  <dcterms:created xsi:type="dcterms:W3CDTF">2026-07-24T23:55:30Z</dcterms:created>
  <dcterms:modified xsi:type="dcterms:W3CDTF">2026-08-02T11:24:08Z</dcterms:modified>
</cp:coreProperties>
</file>